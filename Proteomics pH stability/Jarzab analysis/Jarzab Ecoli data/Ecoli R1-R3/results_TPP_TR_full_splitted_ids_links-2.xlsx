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<sst xmlns="http://schemas.openxmlformats.org/spreadsheetml/2006/main" count="13164" uniqueCount="8237">
  <si>
    <t>Protein_ID</t>
  </si>
  <si>
    <t>norm_FC_TMT126</t>
  </si>
  <si>
    <t>norm_FC_TMT127L</t>
  </si>
  <si>
    <t>norm_FC_TMT127H</t>
  </si>
  <si>
    <t>norm_FC_TMT128L</t>
  </si>
  <si>
    <t>norm_FC_TMT128H</t>
  </si>
  <si>
    <t>norm_FC_TMT129L</t>
  </si>
  <si>
    <t>norm_FC_TMT129H</t>
  </si>
  <si>
    <t>norm_FC_TMT130L</t>
  </si>
  <si>
    <t>norm_FC_TMT130H</t>
  </si>
  <si>
    <t>norm_FC_TMT131L</t>
  </si>
  <si>
    <t>a</t>
  </si>
  <si>
    <t>b</t>
  </si>
  <si>
    <t>meltPoint</t>
  </si>
  <si>
    <t>inflPoint</t>
  </si>
  <si>
    <t>slope</t>
  </si>
  <si>
    <t>plateau</t>
  </si>
  <si>
    <t>R_sq</t>
  </si>
  <si>
    <t>plot</t>
  </si>
  <si>
    <t>protein_identified_in</t>
  </si>
  <si>
    <t>model_converged</t>
  </si>
  <si>
    <t>sufficient_data_for_fit</t>
  </si>
  <si>
    <t>Proteinname</t>
  </si>
  <si>
    <t>numSpec</t>
  </si>
  <si>
    <t>uniprot_ac</t>
  </si>
  <si>
    <t>gene_name</t>
  </si>
  <si>
    <t>auc</t>
  </si>
  <si>
    <t>plot_link</t>
  </si>
  <si>
    <t>G0ZKW2_lacZ</t>
  </si>
  <si>
    <t>P00350_gnd</t>
  </si>
  <si>
    <t>P00363_frdA</t>
  </si>
  <si>
    <t>P00370_gdhA</t>
  </si>
  <si>
    <t>P00393_ndh</t>
  </si>
  <si>
    <t>P00448_sodA</t>
  </si>
  <si>
    <t>P00452_nrdA</t>
  </si>
  <si>
    <t>P00490_malP</t>
  </si>
  <si>
    <t>P00509_aspC</t>
  </si>
  <si>
    <t>P00547_thrB</t>
  </si>
  <si>
    <t>P00550_mtlA</t>
  </si>
  <si>
    <t>P00561_thrA</t>
  </si>
  <si>
    <t>P00579_rpoD</t>
  </si>
  <si>
    <t>P00582_polA</t>
  </si>
  <si>
    <t>P00634_phoA</t>
  </si>
  <si>
    <t>P00803_lepB</t>
  </si>
  <si>
    <t>P00805_ansB</t>
  </si>
  <si>
    <t>P00811_ampC</t>
  </si>
  <si>
    <t>P00864_ppc</t>
  </si>
  <si>
    <t>P00895_trpE</t>
  </si>
  <si>
    <t>P00904_trpGD</t>
  </si>
  <si>
    <t>P00909_trpC</t>
  </si>
  <si>
    <t>P00926_dsdA</t>
  </si>
  <si>
    <t>P00934_thrC</t>
  </si>
  <si>
    <t>P00935_metB</t>
  </si>
  <si>
    <t>P00946_manA</t>
  </si>
  <si>
    <t>P00954_trpS</t>
  </si>
  <si>
    <t>P00956_ileS</t>
  </si>
  <si>
    <t>P00957_alaS</t>
  </si>
  <si>
    <t>P00959_metG</t>
  </si>
  <si>
    <t>P00960_glyQ</t>
  </si>
  <si>
    <t>P00961_glyS</t>
  </si>
  <si>
    <t>P00962_glnS</t>
  </si>
  <si>
    <t>P02358_rpsF</t>
  </si>
  <si>
    <t>P02359_rpsG</t>
  </si>
  <si>
    <t>P02413_rplO</t>
  </si>
  <si>
    <t>P02916_malF</t>
  </si>
  <si>
    <t>P02918_mrcA</t>
  </si>
  <si>
    <t>P02919_mrcB</t>
  </si>
  <si>
    <t>P02924_araF</t>
  </si>
  <si>
    <t>P02925_rbsB</t>
  </si>
  <si>
    <t>P02930_tolC</t>
  </si>
  <si>
    <t>P02931_ompF</t>
  </si>
  <si>
    <t>P02942_tsr</t>
  </si>
  <si>
    <t>P02943_lamB</t>
  </si>
  <si>
    <t>P03813_ygeA</t>
  </si>
  <si>
    <t>P03817_mioC</t>
  </si>
  <si>
    <t>P03841_malM</t>
  </si>
  <si>
    <t>P04036_dapB</t>
  </si>
  <si>
    <t>P04079_guaA</t>
  </si>
  <si>
    <t>P04335_frsA</t>
  </si>
  <si>
    <t>P04425_gshB</t>
  </si>
  <si>
    <t>P04693_tyrB</t>
  </si>
  <si>
    <t>P04805_gltX</t>
  </si>
  <si>
    <t>P04816_livK</t>
  </si>
  <si>
    <t>P04825_pepN</t>
  </si>
  <si>
    <t>P04846_nlpA</t>
  </si>
  <si>
    <t>P04949_fliC</t>
  </si>
  <si>
    <t>P04951_kdsB</t>
  </si>
  <si>
    <t>P04982_rbsD</t>
  </si>
  <si>
    <t>P04983_rbsA</t>
  </si>
  <si>
    <t>P05020_pyrC</t>
  </si>
  <si>
    <t>P05041_pabB</t>
  </si>
  <si>
    <t>P05042_fumC</t>
  </si>
  <si>
    <t>P05055_pnp</t>
  </si>
  <si>
    <t>P05194_aroD</t>
  </si>
  <si>
    <t>P05458_ptrA</t>
  </si>
  <si>
    <t>P05459_pdxB</t>
  </si>
  <si>
    <t>P05637_apaH</t>
  </si>
  <si>
    <t>P05704_trg</t>
  </si>
  <si>
    <t>P05707_srlD</t>
  </si>
  <si>
    <t>P05791_ilvD</t>
  </si>
  <si>
    <t>P05793_ilvC</t>
  </si>
  <si>
    <t>P05804_uidA</t>
  </si>
  <si>
    <t>P06149_dld</t>
  </si>
  <si>
    <t>P06282_cdh</t>
  </si>
  <si>
    <t>P06610_btuE</t>
  </si>
  <si>
    <t>P06612_topA</t>
  </si>
  <si>
    <t>P06616_era</t>
  </si>
  <si>
    <t>P06710_dnaX</t>
  </si>
  <si>
    <t>P06715_gor</t>
  </si>
  <si>
    <t>P06720_melA</t>
  </si>
  <si>
    <t>P06846_ebgR</t>
  </si>
  <si>
    <t>P06959_aceF</t>
  </si>
  <si>
    <t>P06961_cca</t>
  </si>
  <si>
    <t>P06966_dicA</t>
  </si>
  <si>
    <t>P06968_dut</t>
  </si>
  <si>
    <t>P06974_fliM</t>
  </si>
  <si>
    <t>P06983_hemC</t>
  </si>
  <si>
    <t>P06986_hisC</t>
  </si>
  <si>
    <t>P06987_hisB</t>
  </si>
  <si>
    <t>P06988_hisD</t>
  </si>
  <si>
    <t>P06989_hisI</t>
  </si>
  <si>
    <t>P06992_rsmA</t>
  </si>
  <si>
    <t>P06996_ompC</t>
  </si>
  <si>
    <t>P06999_pfkB</t>
  </si>
  <si>
    <t>P07001_pntA</t>
  </si>
  <si>
    <t>P07003_poxB</t>
  </si>
  <si>
    <t>P07004_proA</t>
  </si>
  <si>
    <t>P07012_prfB</t>
  </si>
  <si>
    <t>P07014_sdhB</t>
  </si>
  <si>
    <t>P07017_tar</t>
  </si>
  <si>
    <t>P07018_tap</t>
  </si>
  <si>
    <t>P07023_tyrA</t>
  </si>
  <si>
    <t>P07024_ushA</t>
  </si>
  <si>
    <t>P07102_appA</t>
  </si>
  <si>
    <t>P07117_putP</t>
  </si>
  <si>
    <t>P07118_valS</t>
  </si>
  <si>
    <t>P07330_cheB</t>
  </si>
  <si>
    <t>P07363_cheA</t>
  </si>
  <si>
    <t>P07395_pheT</t>
  </si>
  <si>
    <t>P07604_tyrR</t>
  </si>
  <si>
    <t>P07639_aroB</t>
  </si>
  <si>
    <t>P07650_deoA</t>
  </si>
  <si>
    <t>P07762_glgB</t>
  </si>
  <si>
    <t>P07813_leuS</t>
  </si>
  <si>
    <t>P07822_fhuD</t>
  </si>
  <si>
    <t>P07862_ddlB</t>
  </si>
  <si>
    <t>P07913_tdh</t>
  </si>
  <si>
    <t>P08178_purM</t>
  </si>
  <si>
    <t>P08179_purN</t>
  </si>
  <si>
    <t>P08192_folC</t>
  </si>
  <si>
    <t>P08200_icd</t>
  </si>
  <si>
    <t>P08202_araA</t>
  </si>
  <si>
    <t>P08244_pyrF</t>
  </si>
  <si>
    <t>P08312_pheS</t>
  </si>
  <si>
    <t>P08331_cpdB</t>
  </si>
  <si>
    <t>P08337_mutT</t>
  </si>
  <si>
    <t>P08373_murB</t>
  </si>
  <si>
    <t>P08390_usg</t>
  </si>
  <si>
    <t>P08395_sppA</t>
  </si>
  <si>
    <t>P08506_dacC</t>
  </si>
  <si>
    <t>P08550_cvpA</t>
  </si>
  <si>
    <t>P08622_dnaJ</t>
  </si>
  <si>
    <t>P08839_ptsI</t>
  </si>
  <si>
    <t>P08956_hsdR</t>
  </si>
  <si>
    <t>P08957_hsdM</t>
  </si>
  <si>
    <t>P08997_aceB</t>
  </si>
  <si>
    <t>P09029_purK</t>
  </si>
  <si>
    <t>P09030_xthA</t>
  </si>
  <si>
    <t>P09127_hemX</t>
  </si>
  <si>
    <t>P09147_galE</t>
  </si>
  <si>
    <t>P09148_galT</t>
  </si>
  <si>
    <t>P09152_narG</t>
  </si>
  <si>
    <t>P09153_tfaE</t>
  </si>
  <si>
    <t>P09155_rnd</t>
  </si>
  <si>
    <t>P09158_speE</t>
  </si>
  <si>
    <t>P09169_ompT</t>
  </si>
  <si>
    <t>P09323_nagE</t>
  </si>
  <si>
    <t>P09372_grpE</t>
  </si>
  <si>
    <t>P09373_pflB</t>
  </si>
  <si>
    <t>P09391_glpG</t>
  </si>
  <si>
    <t>P09394_glpQ</t>
  </si>
  <si>
    <t>P09424_mtlD</t>
  </si>
  <si>
    <t>P09546_putA</t>
  </si>
  <si>
    <t>P09549_dedD</t>
  </si>
  <si>
    <t>P09551_argT</t>
  </si>
  <si>
    <t>P09831_gltB</t>
  </si>
  <si>
    <t>P09832_gltD</t>
  </si>
  <si>
    <t>P09833_modC</t>
  </si>
  <si>
    <t>P0A698_uvrA</t>
  </si>
  <si>
    <t>P0A6A3_ackA</t>
  </si>
  <si>
    <t>P0A6A8_acpP</t>
  </si>
  <si>
    <t>P0A6B4_alr</t>
  </si>
  <si>
    <t>P0A6B7_iscS</t>
  </si>
  <si>
    <t>P0A6C1_nfo</t>
  </si>
  <si>
    <t>P0A6D0_argR</t>
  </si>
  <si>
    <t>P0A6D3_aroA</t>
  </si>
  <si>
    <t>P0A6D7_aroK</t>
  </si>
  <si>
    <t>P0A6E1_aroL</t>
  </si>
  <si>
    <t>P0A6E4_argG</t>
  </si>
  <si>
    <t>P0A6E9_bioD2</t>
  </si>
  <si>
    <t>P0A6F1_carA</t>
  </si>
  <si>
    <t>P0A6F3_glpK</t>
  </si>
  <si>
    <t>P0A6F5_groL</t>
  </si>
  <si>
    <t>P0A6F9_groS</t>
  </si>
  <si>
    <t>P0A6G3_pncC</t>
  </si>
  <si>
    <t>P0A6G7_clpP</t>
  </si>
  <si>
    <t>P0A6H1_clpX</t>
  </si>
  <si>
    <t>P0A6H5_hslU</t>
  </si>
  <si>
    <t>P0A6I0_cmk</t>
  </si>
  <si>
    <t>P0A6I3_coaA</t>
  </si>
  <si>
    <t>P0A6I6_coaD</t>
  </si>
  <si>
    <t>P0A6I9_coaE</t>
  </si>
  <si>
    <t>P0A6J3_cysZ</t>
  </si>
  <si>
    <t>P0A6J5_dadA</t>
  </si>
  <si>
    <t>P0A6J8_ddlA</t>
  </si>
  <si>
    <t>P0A6K1_dapF</t>
  </si>
  <si>
    <t>P0A6K3_def</t>
  </si>
  <si>
    <t>P0A6K6_deoB</t>
  </si>
  <si>
    <t>P0A6L0_deoC</t>
  </si>
  <si>
    <t>P0A6L2_dapA</t>
  </si>
  <si>
    <t>P0A6L7_uxaB</t>
  </si>
  <si>
    <t>P0A6L9_hscB</t>
  </si>
  <si>
    <t>P0A6M4_dtd</t>
  </si>
  <si>
    <t>P0A6M8_fusA</t>
  </si>
  <si>
    <t>P0A6N4_efp</t>
  </si>
  <si>
    <t>P0A6N8_yeiP</t>
  </si>
  <si>
    <t>P0A6P1_tsf</t>
  </si>
  <si>
    <t>P0A6P5_der</t>
  </si>
  <si>
    <t>P0A6P7_engB</t>
  </si>
  <si>
    <t>P0A6P9_eno</t>
  </si>
  <si>
    <t>P0A6Q3_fabA</t>
  </si>
  <si>
    <t>P0A6Q6_fabZ</t>
  </si>
  <si>
    <t>P0A6R0_fabH</t>
  </si>
  <si>
    <t>P0A6S0_flgH</t>
  </si>
  <si>
    <t>P0A6S7_gpsA</t>
  </si>
  <si>
    <t>P0A6T1_pgi</t>
  </si>
  <si>
    <t>P0A6T3_galK</t>
  </si>
  <si>
    <t>P0A6T5_folE</t>
  </si>
  <si>
    <t>P0A6T9_gcvH</t>
  </si>
  <si>
    <t>P0A6U5_rsmG</t>
  </si>
  <si>
    <t>P0A6U8_glgA</t>
  </si>
  <si>
    <t>P0A6V1_glgC</t>
  </si>
  <si>
    <t>P0A6V8_glk</t>
  </si>
  <si>
    <t>P0A6W3_mraY</t>
  </si>
  <si>
    <t>P0A6W5_greA</t>
  </si>
  <si>
    <t>P0A6W9_gshA</t>
  </si>
  <si>
    <t>P0A6X3_hfq</t>
  </si>
  <si>
    <t>P0A6X7_ihfA</t>
  </si>
  <si>
    <t>P0A6Y1_ihfB</t>
  </si>
  <si>
    <t>P0A6Y5_hslO</t>
  </si>
  <si>
    <t>P0A6Y8_dnaK</t>
  </si>
  <si>
    <t>P0A6Z1_hscA</t>
  </si>
  <si>
    <t>P0A6Z3_htpG</t>
  </si>
  <si>
    <t>P0A705_infB</t>
  </si>
  <si>
    <t>P0A707_infC</t>
  </si>
  <si>
    <t>P0A715_kdsA</t>
  </si>
  <si>
    <t>P0A717_prs</t>
  </si>
  <si>
    <t>P0A720_tmk</t>
  </si>
  <si>
    <t>P0A722_lpxA</t>
  </si>
  <si>
    <t>P0A725_lpxC</t>
  </si>
  <si>
    <t>P0A729_yceF</t>
  </si>
  <si>
    <t>P0A731_mgsA</t>
  </si>
  <si>
    <t>P0A734_minE</t>
  </si>
  <si>
    <t>P0A738_moaC</t>
  </si>
  <si>
    <t>P0A742_mscL</t>
  </si>
  <si>
    <t>P0A744_msrA</t>
  </si>
  <si>
    <t>P0A746_msrB</t>
  </si>
  <si>
    <t>P0A749_murA</t>
  </si>
  <si>
    <t>P0A759_nagB</t>
  </si>
  <si>
    <t>P0A761_nanE</t>
  </si>
  <si>
    <t>P0A763_ndk</t>
  </si>
  <si>
    <t>P0A780_nusB</t>
  </si>
  <si>
    <t>P0A784_orn</t>
  </si>
  <si>
    <t>P0A790_panD</t>
  </si>
  <si>
    <t>P0A794_pdxJ</t>
  </si>
  <si>
    <t>P0A796_pfkA</t>
  </si>
  <si>
    <t>P0A799_pgk</t>
  </si>
  <si>
    <t>P0A7A2_gpmB</t>
  </si>
  <si>
    <t>P0A7A9_ppa</t>
  </si>
  <si>
    <t>P0A7B3_nadK</t>
  </si>
  <si>
    <t>P0A7B5_proB</t>
  </si>
  <si>
    <t>P0A7B8_hslV</t>
  </si>
  <si>
    <t>P0A7C2_lexA</t>
  </si>
  <si>
    <t>P0A7C6_pepE</t>
  </si>
  <si>
    <t>P0A7D1_pth</t>
  </si>
  <si>
    <t>P0A7D4_purA</t>
  </si>
  <si>
    <t>P0A7D7_purC</t>
  </si>
  <si>
    <t>P0A7E1_pyrD</t>
  </si>
  <si>
    <t>P0A7E5_pyrG</t>
  </si>
  <si>
    <t>P0A7E9_pyrH</t>
  </si>
  <si>
    <t>P0A7F3_pyrI</t>
  </si>
  <si>
    <t>P0A7F6_speD</t>
  </si>
  <si>
    <t>P0A7G2_rbfA</t>
  </si>
  <si>
    <t>P0A7G6_recA</t>
  </si>
  <si>
    <t>P0A7H6_recR</t>
  </si>
  <si>
    <t>P0A7I0_prfA</t>
  </si>
  <si>
    <t>P0A7I4_prfC</t>
  </si>
  <si>
    <t>P0A7I7_ribA</t>
  </si>
  <si>
    <t>P0A7J0_ribB</t>
  </si>
  <si>
    <t>P0A7J3_rplJ</t>
  </si>
  <si>
    <t>P0A7J7_rplK</t>
  </si>
  <si>
    <t>P0A7K2_rplL</t>
  </si>
  <si>
    <t>P0A7K6_rplS</t>
  </si>
  <si>
    <t>P0A7L0_rplA</t>
  </si>
  <si>
    <t>P0A7L3_rplT</t>
  </si>
  <si>
    <t>P0A7L8_rpmA</t>
  </si>
  <si>
    <t>P0A7M2_rpmB</t>
  </si>
  <si>
    <t>P0A7M9_rpmE</t>
  </si>
  <si>
    <t>P0A7Q6_rpmJ</t>
  </si>
  <si>
    <t>P0A7R1_rplI</t>
  </si>
  <si>
    <t>P0A7R5_rpsJ</t>
  </si>
  <si>
    <t>P0A7R9_rpsK</t>
  </si>
  <si>
    <t>P0A7S3_rpsL</t>
  </si>
  <si>
    <t>P0A7S9_rpsM</t>
  </si>
  <si>
    <t>P0A7T3_rpsP</t>
  </si>
  <si>
    <t>P0A7T7_rpsR</t>
  </si>
  <si>
    <t>P0A7U3_rpsS</t>
  </si>
  <si>
    <t>P0A7U7_rpsT</t>
  </si>
  <si>
    <t>P0A7V0_rpsB</t>
  </si>
  <si>
    <t>P0A7V3_rpsC</t>
  </si>
  <si>
    <t>P0A7V8_rpsD</t>
  </si>
  <si>
    <t>P0A7W1_rpsE</t>
  </si>
  <si>
    <t>P0A7W7_rpsH</t>
  </si>
  <si>
    <t>P0A7X3_rpsI</t>
  </si>
  <si>
    <t>P0A7X6_rimM</t>
  </si>
  <si>
    <t>P0A7Y0_rnc</t>
  </si>
  <si>
    <t>P0A7Z0_rpiA</t>
  </si>
  <si>
    <t>P0A7Z4_rpoA</t>
  </si>
  <si>
    <t>P0A805_frr</t>
  </si>
  <si>
    <t>P0A809_ruvA</t>
  </si>
  <si>
    <t>P0A817_metK</t>
  </si>
  <si>
    <t>P0A821_selA</t>
  </si>
  <si>
    <t>P0A823_sfsA</t>
  </si>
  <si>
    <t>P0A825_glyA</t>
  </si>
  <si>
    <t>P0A830_dctA</t>
  </si>
  <si>
    <t>P0A832_smpB</t>
  </si>
  <si>
    <t>P0A836_sucC</t>
  </si>
  <si>
    <t>P0A840_surE</t>
  </si>
  <si>
    <t>P0A847_tgt</t>
  </si>
  <si>
    <t>P0A850_tig</t>
  </si>
  <si>
    <t>P0A853_tnaA</t>
  </si>
  <si>
    <t>P0A855_tolB</t>
  </si>
  <si>
    <t>P0A858_tpiA</t>
  </si>
  <si>
    <t>P0A862_tpx</t>
  </si>
  <si>
    <t>P0A867_talA</t>
  </si>
  <si>
    <t>P0A870_talB</t>
  </si>
  <si>
    <t>P0A873_trmD</t>
  </si>
  <si>
    <t>P0A877_trpA</t>
  </si>
  <si>
    <t>P0A879_trpB</t>
  </si>
  <si>
    <t>P0A884_thyA</t>
  </si>
  <si>
    <t>P0A887_ubiE</t>
  </si>
  <si>
    <t>P0A898_ybeY</t>
  </si>
  <si>
    <t>P0A8A0_yebC</t>
  </si>
  <si>
    <t>P0A8A2_yeeN</t>
  </si>
  <si>
    <t>P0A8A4_ppsR</t>
  </si>
  <si>
    <t>P0A8B5_ybaB</t>
  </si>
  <si>
    <t>P0A8C1_ybjQ</t>
  </si>
  <si>
    <t>P0A8D0_nrdR</t>
  </si>
  <si>
    <t>P0A8D3_yaiI</t>
  </si>
  <si>
    <t>P0A8D6_ymdB</t>
  </si>
  <si>
    <t>P0A8E1_ycfP</t>
  </si>
  <si>
    <t>P0A8E5_yacL</t>
  </si>
  <si>
    <t>P0A8E7_yajQ</t>
  </si>
  <si>
    <t>P0A8F0_upp</t>
  </si>
  <si>
    <t>P0A8F4_udk</t>
  </si>
  <si>
    <t>P0A8F8_uvrB</t>
  </si>
  <si>
    <t>P0A8G3_uxaC</t>
  </si>
  <si>
    <t>P0A8G6_wrbA</t>
  </si>
  <si>
    <t>P0A8H6_yihI</t>
  </si>
  <si>
    <t>P0A8I1_yqgF</t>
  </si>
  <si>
    <t>P0A8I3_yaaA</t>
  </si>
  <si>
    <t>P0A8I5_trmB</t>
  </si>
  <si>
    <t>P0A8J8_rhlB</t>
  </si>
  <si>
    <t>P0A8K1_psd</t>
  </si>
  <si>
    <t>P0A8L1_serS</t>
  </si>
  <si>
    <t>P0A8M0_asnS</t>
  </si>
  <si>
    <t>P0A8M3_thrS</t>
  </si>
  <si>
    <t>P0A8M6_yeeX</t>
  </si>
  <si>
    <t>P0A8N0_matP</t>
  </si>
  <si>
    <t>P0A8N3_lysS</t>
  </si>
  <si>
    <t>P0A8N5_lysU</t>
  </si>
  <si>
    <t>P0A8P3_yggX</t>
  </si>
  <si>
    <t>P0A8Q0_frdC</t>
  </si>
  <si>
    <t>P0A8Q3_frdD</t>
  </si>
  <si>
    <t>P0A8R0_rraA</t>
  </si>
  <si>
    <t>P0A8R4_slyX</t>
  </si>
  <si>
    <t>P0A8R7_ycjF</t>
  </si>
  <si>
    <t>P0A8S1_argP</t>
  </si>
  <si>
    <t>P0A8T1_prmA</t>
  </si>
  <si>
    <t>P0A8T7_rpoC</t>
  </si>
  <si>
    <t>P0A8U0_syd</t>
  </si>
  <si>
    <t>P0A8U2_yafD</t>
  </si>
  <si>
    <t>P0A8U6_metJ</t>
  </si>
  <si>
    <t>P0A8V0_rbn</t>
  </si>
  <si>
    <t>P0A8V2_rpoB</t>
  </si>
  <si>
    <t>P0A8V6_fadR</t>
  </si>
  <si>
    <t>P0A8W0_nanR</t>
  </si>
  <si>
    <t>P0A8W2_slyA</t>
  </si>
  <si>
    <t>P0A8W5_yqgE</t>
  </si>
  <si>
    <t>P0A8W8_yfbU</t>
  </si>
  <si>
    <t>P0A8X0_yjgA</t>
  </si>
  <si>
    <t>P0A8X2_yceI</t>
  </si>
  <si>
    <t>P0A8Y3_yihX</t>
  </si>
  <si>
    <t>P0A8Y5_yidA</t>
  </si>
  <si>
    <t>P0A8Z0_yciA</t>
  </si>
  <si>
    <t>P0A901_blc</t>
  </si>
  <si>
    <t>P0A903_bamC</t>
  </si>
  <si>
    <t>P0A905_slyB</t>
  </si>
  <si>
    <t>P0A910_ompA</t>
  </si>
  <si>
    <t>P0A912_pal</t>
  </si>
  <si>
    <t>P0A915_ompW</t>
  </si>
  <si>
    <t>P0A917_ompX</t>
  </si>
  <si>
    <t>P0A927_tsx</t>
  </si>
  <si>
    <t>P0A937_bamE</t>
  </si>
  <si>
    <t>P0A940_bamA</t>
  </si>
  <si>
    <t>P0A948_rimJ</t>
  </si>
  <si>
    <t>P0A953_fabB</t>
  </si>
  <si>
    <t>P0A955_eda</t>
  </si>
  <si>
    <t>P0A962_ansA</t>
  </si>
  <si>
    <t>P0A964_cheW</t>
  </si>
  <si>
    <t>P0A972_cspE</t>
  </si>
  <si>
    <t>P0A988_dnaN</t>
  </si>
  <si>
    <t>P0A991_fbaB</t>
  </si>
  <si>
    <t>P0A993_fbp</t>
  </si>
  <si>
    <t>P0A998_ftnA</t>
  </si>
  <si>
    <t>P0A9A6_ftsZ</t>
  </si>
  <si>
    <t>P0A9A9_fur</t>
  </si>
  <si>
    <t>P0A9B2_gapA</t>
  </si>
  <si>
    <t>P0A9B6_epd</t>
  </si>
  <si>
    <t>P0A9C3_galM</t>
  </si>
  <si>
    <t>P0A9C5_glnA</t>
  </si>
  <si>
    <t>P0A9C9_glpX</t>
  </si>
  <si>
    <t>P0A9D2_gstA</t>
  </si>
  <si>
    <t>P0A9D4_cysE</t>
  </si>
  <si>
    <t>P0A9D8_dapD</t>
  </si>
  <si>
    <t>P0A9E5_fnr</t>
  </si>
  <si>
    <t>P0A9F1_mntR</t>
  </si>
  <si>
    <t>P0A9F3_cysB</t>
  </si>
  <si>
    <t>P0A9G6_aceA</t>
  </si>
  <si>
    <t>P0A9G8_modE</t>
  </si>
  <si>
    <t>P0A9H1_mug</t>
  </si>
  <si>
    <t>P0A9H5_btuR</t>
  </si>
  <si>
    <t>P0A9H9_cheZ</t>
  </si>
  <si>
    <t>P0A9J0_rng</t>
  </si>
  <si>
    <t>P0A9J6_rbsK</t>
  </si>
  <si>
    <t>P0A9J8_pheA</t>
  </si>
  <si>
    <t>P0A9K3_ybeZ</t>
  </si>
  <si>
    <t>P0A9K7_phoU</t>
  </si>
  <si>
    <t>P0A9K9_slyD</t>
  </si>
  <si>
    <t>P0A9L3_fklB</t>
  </si>
  <si>
    <t>P0A9L5_ppiC</t>
  </si>
  <si>
    <t>P0A9L8_proC</t>
  </si>
  <si>
    <t>P0A9M0_lon</t>
  </si>
  <si>
    <t>P0A9M2_hpt</t>
  </si>
  <si>
    <t>P0A9M5_gpt</t>
  </si>
  <si>
    <t>P0A9M8_pta</t>
  </si>
  <si>
    <t>P0A9N0_ptsO</t>
  </si>
  <si>
    <t>P0A9N4_pflA</t>
  </si>
  <si>
    <t>P0A9P0_lpdA</t>
  </si>
  <si>
    <t>P0A9P4_trxB</t>
  </si>
  <si>
    <t>P0A9Q1_arcA</t>
  </si>
  <si>
    <t>P0A9Q5_accD</t>
  </si>
  <si>
    <t>P0A9Q7_adhE</t>
  </si>
  <si>
    <t>P0A9Q9_asd</t>
  </si>
  <si>
    <t>P0A9R4_fdx</t>
  </si>
  <si>
    <t>P0A9R7_ftsE</t>
  </si>
  <si>
    <t>P0A9S1_fucO</t>
  </si>
  <si>
    <t>P0A9S3_gatD</t>
  </si>
  <si>
    <t>P0A9S5_gldA</t>
  </si>
  <si>
    <t>P0A9T0_serA</t>
  </si>
  <si>
    <t>P0A9T4_tas</t>
  </si>
  <si>
    <t>P0A9T8_ybbA</t>
  </si>
  <si>
    <t>P0A9U3_ybiT</t>
  </si>
  <si>
    <t>P0A9U6_puuR</t>
  </si>
  <si>
    <t>P0A9V1_lptB</t>
  </si>
  <si>
    <t>P0A9V5_yiaG</t>
  </si>
  <si>
    <t>P0A9W0_ulaR</t>
  </si>
  <si>
    <t>P0A9W3_ettA</t>
  </si>
  <si>
    <t>P0A9W6_ibaG</t>
  </si>
  <si>
    <t>P0A9X4_mreB</t>
  </si>
  <si>
    <t>P0A9X9_cspA</t>
  </si>
  <si>
    <t>P0A9Y6_cspC</t>
  </si>
  <si>
    <t>P0A9Z1_glnB</t>
  </si>
  <si>
    <t>P0AA04_ptsH</t>
  </si>
  <si>
    <t>P0AA10_rplM</t>
  </si>
  <si>
    <t>P0AA16_ompR</t>
  </si>
  <si>
    <t>P0AA25_trxA</t>
  </si>
  <si>
    <t>P0AA37_rluA</t>
  </si>
  <si>
    <t>P0AA39_rluC</t>
  </si>
  <si>
    <t>P0AA43_rsuA</t>
  </si>
  <si>
    <t>P0AA53_qmcA</t>
  </si>
  <si>
    <t>P0AA57_yobA</t>
  </si>
  <si>
    <t>P0AA91_yeaY</t>
  </si>
  <si>
    <t>P0AAA1_yagU</t>
  </si>
  <si>
    <t>P0AAB4_ubiD</t>
  </si>
  <si>
    <t>P0AAB6_galF</t>
  </si>
  <si>
    <t>P0AAB8_uspD</t>
  </si>
  <si>
    <t>P0AAC0_uspE</t>
  </si>
  <si>
    <t>P0AAC4_ybhL</t>
  </si>
  <si>
    <t>P0AAC8_iscA</t>
  </si>
  <si>
    <t>P0AAE0_cycA</t>
  </si>
  <si>
    <t>P0AAF6_artP</t>
  </si>
  <si>
    <t>P0AAG0_dppD</t>
  </si>
  <si>
    <t>P0AAH8_sapF</t>
  </si>
  <si>
    <t>P0AAI3_ftsH</t>
  </si>
  <si>
    <t>P0AAI5_fabF</t>
  </si>
  <si>
    <t>P0AAI9_fabD</t>
  </si>
  <si>
    <t>P0AAJ1_ynfG</t>
  </si>
  <si>
    <t>P0AAJ5_fdoH</t>
  </si>
  <si>
    <t>P0AAJ8_hybA</t>
  </si>
  <si>
    <t>P0AAN3_hypB</t>
  </si>
  <si>
    <t>P0AAN5_yaiA</t>
  </si>
  <si>
    <t>P0AAN9_iraP</t>
  </si>
  <si>
    <t>P0AAP3_frmR</t>
  </si>
  <si>
    <t>P0AAQ2_yajD</t>
  </si>
  <si>
    <t>P0AAQ6_ybaA</t>
  </si>
  <si>
    <t>P0AAR3_ybaK</t>
  </si>
  <si>
    <t>P0AAS0_ylaC</t>
  </si>
  <si>
    <t>P0AAS3_ybbJ</t>
  </si>
  <si>
    <t>P0AAS7_ybcJ</t>
  </si>
  <si>
    <t>P0AAT2_ybdF</t>
  </si>
  <si>
    <t>P0AAT9_ybeL</t>
  </si>
  <si>
    <t>P0AAV0_ybgE</t>
  </si>
  <si>
    <t>P0AAV4_ybgJ</t>
  </si>
  <si>
    <t>P0AAV6_ybgS</t>
  </si>
  <si>
    <t>P0AAW1_ybhP</t>
  </si>
  <si>
    <t>P0AAX8_ybiS</t>
  </si>
  <si>
    <t>P0AAZ7_ycaR</t>
  </si>
  <si>
    <t>P0AB12_yccF</t>
  </si>
  <si>
    <t>P0AB18_tusE</t>
  </si>
  <si>
    <t>P0AB20_hspQ</t>
  </si>
  <si>
    <t>P0AB24_efeO</t>
  </si>
  <si>
    <t>P0AB26_yceB</t>
  </si>
  <si>
    <t>P0AB28_yceD</t>
  </si>
  <si>
    <t>P0AB38_lpoB</t>
  </si>
  <si>
    <t>P0AB43_ycgL</t>
  </si>
  <si>
    <t>P0AB55_yciI</t>
  </si>
  <si>
    <t>P0AB61_yciN</t>
  </si>
  <si>
    <t>P0AB65_yccX</t>
  </si>
  <si>
    <t>P0AB67_pntB</t>
  </si>
  <si>
    <t>P0AB71_fbaA</t>
  </si>
  <si>
    <t>P0AB77_kbl</t>
  </si>
  <si>
    <t>P0AB80_ilvE</t>
  </si>
  <si>
    <t>P0AB85_apbE</t>
  </si>
  <si>
    <t>P0AB89_purB</t>
  </si>
  <si>
    <t>P0AB91_aroG</t>
  </si>
  <si>
    <t>P0AB98_atpB</t>
  </si>
  <si>
    <t>P0ABA0_atpF</t>
  </si>
  <si>
    <t>P0ABA4_atpH</t>
  </si>
  <si>
    <t>P0ABA6_atpG</t>
  </si>
  <si>
    <t>P0ABB0_atpA</t>
  </si>
  <si>
    <t>P0ABB4_atpD</t>
  </si>
  <si>
    <t>P0ABB8_mgtA</t>
  </si>
  <si>
    <t>P0ABC3_hflC</t>
  </si>
  <si>
    <t>P0ABC7_hflK</t>
  </si>
  <si>
    <t>P0ABD3_bfr</t>
  </si>
  <si>
    <t>P0ABD5_accA</t>
  </si>
  <si>
    <t>P0ABD8_accB</t>
  </si>
  <si>
    <t>P0ABE2_bolA</t>
  </si>
  <si>
    <t>P0ABE5_cybB</t>
  </si>
  <si>
    <t>P0ABF1_pcnB</t>
  </si>
  <si>
    <t>P0ABF4_eutM</t>
  </si>
  <si>
    <t>P0ABF6_cdd</t>
  </si>
  <si>
    <t>P0ABF8_pgsA</t>
  </si>
  <si>
    <t>P0ABH0_ftsA</t>
  </si>
  <si>
    <t>P0ABH7_gltA</t>
  </si>
  <si>
    <t>P0ABH9_clpA</t>
  </si>
  <si>
    <t>P0ABI8_cyoB</t>
  </si>
  <si>
    <t>P0ABJ1_cyoA</t>
  </si>
  <si>
    <t>P0ABJ9_cydA</t>
  </si>
  <si>
    <t>P0ABK2_cydB</t>
  </si>
  <si>
    <t>P0ABK5_cysK</t>
  </si>
  <si>
    <t>P0ABL5_napC</t>
  </si>
  <si>
    <t>P0ABN1_dgkA</t>
  </si>
  <si>
    <t>P0ABN5_dcuA</t>
  </si>
  <si>
    <t>P0ABP8_deoD</t>
  </si>
  <si>
    <t>P0ABQ0_coaBC</t>
  </si>
  <si>
    <t>P0ABQ2_garR</t>
  </si>
  <si>
    <t>P0ABQ4_folA</t>
  </si>
  <si>
    <t>P0ABS1_dksA</t>
  </si>
  <si>
    <t>P0ABS5_dnaG</t>
  </si>
  <si>
    <t>P0ABT2_dps</t>
  </si>
  <si>
    <t>P0ABU0_menB</t>
  </si>
  <si>
    <t>P0ABU2_ychF</t>
  </si>
  <si>
    <t>P0ABU5_elbB</t>
  </si>
  <si>
    <t>P0ABU7_exbB</t>
  </si>
  <si>
    <t>P0ABU9_tolQ</t>
  </si>
  <si>
    <t>P0ABV2_exbD</t>
  </si>
  <si>
    <t>P0ABV6_tolR</t>
  </si>
  <si>
    <t>P0ABY4_fldB</t>
  </si>
  <si>
    <t>P0ABZ1_fliG</t>
  </si>
  <si>
    <t>P0ABZ4_kdsC</t>
  </si>
  <si>
    <t>P0ABZ6_surA</t>
  </si>
  <si>
    <t>P0AC02_bamD</t>
  </si>
  <si>
    <t>P0AC13_folP</t>
  </si>
  <si>
    <t>P0AC16_folB</t>
  </si>
  <si>
    <t>P0AC19_folX</t>
  </si>
  <si>
    <t>P0AC23_focA</t>
  </si>
  <si>
    <t>P0AC30_ftsX</t>
  </si>
  <si>
    <t>P0AC33_fumA</t>
  </si>
  <si>
    <t>P0AC38_aspA</t>
  </si>
  <si>
    <t>P0AC41_sdhA</t>
  </si>
  <si>
    <t>P0AC44_sdhD</t>
  </si>
  <si>
    <t>P0AC47_frdB</t>
  </si>
  <si>
    <t>P0AC51_zur</t>
  </si>
  <si>
    <t>P0AC53_zwf</t>
  </si>
  <si>
    <t>P0AC59_grxB</t>
  </si>
  <si>
    <t>P0AC62_grxC</t>
  </si>
  <si>
    <t>P0AC69_grxD</t>
  </si>
  <si>
    <t>P0AC81_gloA</t>
  </si>
  <si>
    <t>P0AC84_gloB</t>
  </si>
  <si>
    <t>P0AC86_glgP</t>
  </si>
  <si>
    <t>P0AC92_gnsA</t>
  </si>
  <si>
    <t>P0ACA1_yibF</t>
  </si>
  <si>
    <t>P0ACA3_sspA</t>
  </si>
  <si>
    <t>P0ACA7_gstB</t>
  </si>
  <si>
    <t>P0ACB0_dnaB</t>
  </si>
  <si>
    <t>P0ACB2_hemB</t>
  </si>
  <si>
    <t>P0ACB7_hemY</t>
  </si>
  <si>
    <t>P0ACC3_erpA</t>
  </si>
  <si>
    <t>P0ACC7_glmU</t>
  </si>
  <si>
    <t>P0ACD4_iscU</t>
  </si>
  <si>
    <t>P0ACD8_hyaB</t>
  </si>
  <si>
    <t>P0ACE0_hybC</t>
  </si>
  <si>
    <t>P0ACE7_hinT</t>
  </si>
  <si>
    <t>P0ACF0_hupA</t>
  </si>
  <si>
    <t>P0ACF4_hupB</t>
  </si>
  <si>
    <t>P0ACF8_hns</t>
  </si>
  <si>
    <t>P0ACG1_stpA</t>
  </si>
  <si>
    <t>P0ACI0_rob</t>
  </si>
  <si>
    <t>P0ACJ0_lrp</t>
  </si>
  <si>
    <t>P0ACJ8_crp</t>
  </si>
  <si>
    <t>P0ACK2_agaR</t>
  </si>
  <si>
    <t>P0ACL2_exuR</t>
  </si>
  <si>
    <t>P0ACM5_yegW</t>
  </si>
  <si>
    <t>P0ACN4_allR</t>
  </si>
  <si>
    <t>P0ACN7_cytR</t>
  </si>
  <si>
    <t>P0ACP5_gntR</t>
  </si>
  <si>
    <t>P0ACP7_purR</t>
  </si>
  <si>
    <t>P0ACQ4_oxyR</t>
  </si>
  <si>
    <t>P0ACR4_yeiE</t>
  </si>
  <si>
    <t>P0ACR9_mprA</t>
  </si>
  <si>
    <t>P0ACS7_rpiR</t>
  </si>
  <si>
    <t>P0ACU7_yjdC</t>
  </si>
  <si>
    <t>P0ACV4_lapA</t>
  </si>
  <si>
    <t>P0ACV6_mpaA</t>
  </si>
  <si>
    <t>P0ACW6_ydcH</t>
  </si>
  <si>
    <t>P0ACX3_ydhR</t>
  </si>
  <si>
    <t>P0ACX5_ydhZ</t>
  </si>
  <si>
    <t>P0ACY1_ydjA</t>
  </si>
  <si>
    <t>P0ACY3_yeaG</t>
  </si>
  <si>
    <t>P0ACZ4_evgA</t>
  </si>
  <si>
    <t>P0AD05_yecA</t>
  </si>
  <si>
    <t>P0AD10_yecJ</t>
  </si>
  <si>
    <t>P0AD12_yeeZ</t>
  </si>
  <si>
    <t>P0AD33_yfcZ</t>
  </si>
  <si>
    <t>P0AD44_yfhG</t>
  </si>
  <si>
    <t>P0AD47_yphA</t>
  </si>
  <si>
    <t>P0AD49_raiA</t>
  </si>
  <si>
    <t>P0AD57_ispB</t>
  </si>
  <si>
    <t>P0AD59_ivy</t>
  </si>
  <si>
    <t>P0AD61_pykF</t>
  </si>
  <si>
    <t>P0AD96_livJ</t>
  </si>
  <si>
    <t>P0ADA1_tesA</t>
  </si>
  <si>
    <t>P0ADA3_nlpD</t>
  </si>
  <si>
    <t>P0ADA5_yajG</t>
  </si>
  <si>
    <t>P0ADB1_osmE</t>
  </si>
  <si>
    <t>P0ADC1_lptE</t>
  </si>
  <si>
    <t>P0ADC3_lolC</t>
  </si>
  <si>
    <t>P0ADE6_ygaU</t>
  </si>
  <si>
    <t>P0ADE8_ygfZ</t>
  </si>
  <si>
    <t>P0ADF8_ilvN</t>
  </si>
  <si>
    <t>P0ADG4_suhB</t>
  </si>
  <si>
    <t>P0ADG7_guaB</t>
  </si>
  <si>
    <t>P0ADI4_entB</t>
  </si>
  <si>
    <t>P0ADI7_yecD</t>
  </si>
  <si>
    <t>P0ADK0_yiaF</t>
  </si>
  <si>
    <t>P0ADK8_yibL</t>
  </si>
  <si>
    <t>P0ADN2_yifE</t>
  </si>
  <si>
    <t>P0ADN6_yifL</t>
  </si>
  <si>
    <t>P0ADP7_ubiJ</t>
  </si>
  <si>
    <t>P0ADP9_yihD</t>
  </si>
  <si>
    <t>P0ADQ7_ygaM</t>
  </si>
  <si>
    <t>P0ADR6_rlmM</t>
  </si>
  <si>
    <t>P0ADR8_ygdH</t>
  </si>
  <si>
    <t>P0ADS2_zapA</t>
  </si>
  <si>
    <t>P0ADS6_yggE</t>
  </si>
  <si>
    <t>P0ADS9_yggN</t>
  </si>
  <si>
    <t>P0ADT2_ygiB</t>
  </si>
  <si>
    <t>P0ADT5_ygiC</t>
  </si>
  <si>
    <t>P0ADT8_ygiM</t>
  </si>
  <si>
    <t>P0ADU2_ygiN</t>
  </si>
  <si>
    <t>P0ADU5_ygiW</t>
  </si>
  <si>
    <t>P0ADV1_lptA</t>
  </si>
  <si>
    <t>P0ADV5_yhbW</t>
  </si>
  <si>
    <t>P0ADV7_mlaC</t>
  </si>
  <si>
    <t>P0ADV9_lptC</t>
  </si>
  <si>
    <t>P0ADW3_yhcB</t>
  </si>
  <si>
    <t>P0ADX1_yhfA</t>
  </si>
  <si>
    <t>P0ADX7_yhhA</t>
  </si>
  <si>
    <t>P0ADY1_ppiD</t>
  </si>
  <si>
    <t>P0ADY3_rplN</t>
  </si>
  <si>
    <t>P0ADY7_rplP</t>
  </si>
  <si>
    <t>P0ADZ0_rplW</t>
  </si>
  <si>
    <t>P0ADZ4_rpsO</t>
  </si>
  <si>
    <t>P0ADZ7_yajC</t>
  </si>
  <si>
    <t>P0AE01_trmJ</t>
  </si>
  <si>
    <t>P0AE06_acrA</t>
  </si>
  <si>
    <t>P0AE08_ahpC</t>
  </si>
  <si>
    <t>P0AE12_amn</t>
  </si>
  <si>
    <t>P0AE18_map</t>
  </si>
  <si>
    <t>P0AE22_aphA</t>
  </si>
  <si>
    <t>P0AE37_astA</t>
  </si>
  <si>
    <t>P0AE48_ytfP</t>
  </si>
  <si>
    <t>P0AE52_bcp</t>
  </si>
  <si>
    <t>P0AE60_cedA</t>
  </si>
  <si>
    <t>P0AE63_chaB</t>
  </si>
  <si>
    <t>P0AE67_cheY</t>
  </si>
  <si>
    <t>P0AE70_mazF</t>
  </si>
  <si>
    <t>P0AE78_corC</t>
  </si>
  <si>
    <t>P0AE82_cpxA</t>
  </si>
  <si>
    <t>P0AE85_cpxP</t>
  </si>
  <si>
    <t>P0AE88_cpxR</t>
  </si>
  <si>
    <t>P0AE91_creA</t>
  </si>
  <si>
    <t>P0AEA8_cysG</t>
  </si>
  <si>
    <t>P0AEB2_dacA</t>
  </si>
  <si>
    <t>P0AEB7_yoaB</t>
  </si>
  <si>
    <t>P0AEC5_barA</t>
  </si>
  <si>
    <t>P0AED0_uspA</t>
  </si>
  <si>
    <t>P0AED7_dapE</t>
  </si>
  <si>
    <t>P0AEE1_dcrB</t>
  </si>
  <si>
    <t>P0AEE3_degS</t>
  </si>
  <si>
    <t>P0AEE5_mglB</t>
  </si>
  <si>
    <t>P0AEG1_dppC</t>
  </si>
  <si>
    <t>P0AEG4_dsbA</t>
  </si>
  <si>
    <t>P0AEG6_dsbC</t>
  </si>
  <si>
    <t>P0AEH1_rseP</t>
  </si>
  <si>
    <t>P0AEH3_elaA</t>
  </si>
  <si>
    <t>P0AEH5_elaB</t>
  </si>
  <si>
    <t>P0AEI1_miaB</t>
  </si>
  <si>
    <t>P0AEI4_rimO</t>
  </si>
  <si>
    <t>P0AEI6_nudJ</t>
  </si>
  <si>
    <t>P0AEJ2_entC</t>
  </si>
  <si>
    <t>P0AEJ4_envZ</t>
  </si>
  <si>
    <t>P0AEJ6_eutB</t>
  </si>
  <si>
    <t>P0AEK2_fabG</t>
  </si>
  <si>
    <t>P0AEK4_fabI</t>
  </si>
  <si>
    <t>P0AEL6_fepB</t>
  </si>
  <si>
    <t>P0AEM4_flgM</t>
  </si>
  <si>
    <t>P0AEM6_fliA</t>
  </si>
  <si>
    <t>P0AEM9_fliY</t>
  </si>
  <si>
    <t>P0AEN1_fre</t>
  </si>
  <si>
    <t>P0AEN8_fucU</t>
  </si>
  <si>
    <t>P0AEP3_galU</t>
  </si>
  <si>
    <t>P0AEP7_gcl</t>
  </si>
  <si>
    <t>P0AEQ1_glcG</t>
  </si>
  <si>
    <t>P0AEQ3_glnH</t>
  </si>
  <si>
    <t>P0AEQ6_glnP</t>
  </si>
  <si>
    <t>P0AER3_gltJ</t>
  </si>
  <si>
    <t>P0AES0_gss</t>
  </si>
  <si>
    <t>P0AES2_gudD</t>
  </si>
  <si>
    <t>P0AES4_gyrA</t>
  </si>
  <si>
    <t>P0AES6_gyrB</t>
  </si>
  <si>
    <t>P0AES9_hdeA</t>
  </si>
  <si>
    <t>P0AET2_hdeB</t>
  </si>
  <si>
    <t>P0AET5_hdeD</t>
  </si>
  <si>
    <t>P0AET8_hdhA</t>
  </si>
  <si>
    <t>P0AEU0_hisJ</t>
  </si>
  <si>
    <t>P0AEU7_skp</t>
  </si>
  <si>
    <t>P0AEV1_rssB</t>
  </si>
  <si>
    <t>P0AEV9_hycI</t>
  </si>
  <si>
    <t>P0AEW4_cpdA</t>
  </si>
  <si>
    <t>P0AEX5_prkB</t>
  </si>
  <si>
    <t>P0AEX9_malE</t>
  </si>
  <si>
    <t>P0AEY1_marC</t>
  </si>
  <si>
    <t>P0AEY3_mazG</t>
  </si>
  <si>
    <t>P0AEY5_mdaB</t>
  </si>
  <si>
    <t>P0AEZ3_minD</t>
  </si>
  <si>
    <t>P0AEZ9_moaB</t>
  </si>
  <si>
    <t>P0AF03_mog</t>
  </si>
  <si>
    <t>P0AF08_mrp</t>
  </si>
  <si>
    <t>P0AF12_mtnN</t>
  </si>
  <si>
    <t>P0AF18_nagA</t>
  </si>
  <si>
    <t>P0AF20_nagC</t>
  </si>
  <si>
    <t>P0AF24_nagD</t>
  </si>
  <si>
    <t>P0AF28_narL</t>
  </si>
  <si>
    <t>P0AF36_zapB</t>
  </si>
  <si>
    <t>P0AF48_yjbQ</t>
  </si>
  <si>
    <t>P0AF50_yjbR</t>
  </si>
  <si>
    <t>P0AF54_yjcH</t>
  </si>
  <si>
    <t>P0AF59_yjdI</t>
  </si>
  <si>
    <t>P0AF63_nsrR</t>
  </si>
  <si>
    <t>P0AF67_tsaE</t>
  </si>
  <si>
    <t>P0AF90_rraB</t>
  </si>
  <si>
    <t>P0AF93_ridA</t>
  </si>
  <si>
    <t>P0AF98_lptF</t>
  </si>
  <si>
    <t>P0AFA7_nhaB</t>
  </si>
  <si>
    <t>P0AFB5_glnL</t>
  </si>
  <si>
    <t>P0AFC7_nuoB</t>
  </si>
  <si>
    <t>P0AFD1_nuoE</t>
  </si>
  <si>
    <t>P0AFD4_nuoH</t>
  </si>
  <si>
    <t>P0AFD6_nuoI</t>
  </si>
  <si>
    <t>P0AFE0_nuoJ</t>
  </si>
  <si>
    <t>P0AFE4_nuoK</t>
  </si>
  <si>
    <t>P0AFE8_nuoM</t>
  </si>
  <si>
    <t>P0AFF0_nuoN</t>
  </si>
  <si>
    <t>P0AFF2_nupC</t>
  </si>
  <si>
    <t>P0AFF6_nusA</t>
  </si>
  <si>
    <t>P0AFG0_nusG</t>
  </si>
  <si>
    <t>P0AFG3_sucA</t>
  </si>
  <si>
    <t>P0AFG6_sucB</t>
  </si>
  <si>
    <t>P0AFG8_aceE</t>
  </si>
  <si>
    <t>P0AFH2_oppB</t>
  </si>
  <si>
    <t>P0AFH6_oppC</t>
  </si>
  <si>
    <t>P0AFH8_osmY</t>
  </si>
  <si>
    <t>P0AFI2_parC</t>
  </si>
  <si>
    <t>P0AFI7_pdxH</t>
  </si>
  <si>
    <t>P0AFI9_perM</t>
  </si>
  <si>
    <t>P0AFJ1_phnA</t>
  </si>
  <si>
    <t>P0AFJ5_phoB</t>
  </si>
  <si>
    <t>P0AFJ7_pitA</t>
  </si>
  <si>
    <t>P0AFK0_pmbA</t>
  </si>
  <si>
    <t>P0AFK2_pnuC</t>
  </si>
  <si>
    <t>P0AFK9_potD</t>
  </si>
  <si>
    <t>P0AFL3_ppiA</t>
  </si>
  <si>
    <t>P0AFM4_psiF</t>
  </si>
  <si>
    <t>P0AFM6_pspA</t>
  </si>
  <si>
    <t>P0AFN2_pspC</t>
  </si>
  <si>
    <t>P0AFP6_ybgI</t>
  </si>
  <si>
    <t>P0AFQ7_ycfH</t>
  </si>
  <si>
    <t>P0AFR0_rssA</t>
  </si>
  <si>
    <t>P0AFR2_dauA</t>
  </si>
  <si>
    <t>P0AFR4_yciO</t>
  </si>
  <si>
    <t>P0AFS3_folM</t>
  </si>
  <si>
    <t>P0AFS7_ydiK</t>
  </si>
  <si>
    <t>P0AFT2_yecS</t>
  </si>
  <si>
    <t>P0AFU8_ribC</t>
  </si>
  <si>
    <t>P0AFW4_rnk</t>
  </si>
  <si>
    <t>P0AFW8_rof</t>
  </si>
  <si>
    <t>P0AFX0_hpf</t>
  </si>
  <si>
    <t>P0AFX4_rsd</t>
  </si>
  <si>
    <t>P0AFX9_rseB</t>
  </si>
  <si>
    <t>P0AFY8_seqA</t>
  </si>
  <si>
    <t>P0AFZ1_sseB</t>
  </si>
  <si>
    <t>P0AFZ3_sspB</t>
  </si>
  <si>
    <t>P0AG00_wzzE</t>
  </si>
  <si>
    <t>P0AG07_rpe</t>
  </si>
  <si>
    <t>P0AG18_purE</t>
  </si>
  <si>
    <t>P0AG20_relA</t>
  </si>
  <si>
    <t>P0AG27_yibN</t>
  </si>
  <si>
    <t>P0AG30_rho</t>
  </si>
  <si>
    <t>P0AG40_ribF</t>
  </si>
  <si>
    <t>P0AG44_rplQ</t>
  </si>
  <si>
    <t>P0AG48_rplU</t>
  </si>
  <si>
    <t>P0AG51_rpmD</t>
  </si>
  <si>
    <t>P0AG55_rplF</t>
  </si>
  <si>
    <t>P0AG59_rpsN</t>
  </si>
  <si>
    <t>P0AG63_rpsQ</t>
  </si>
  <si>
    <t>P0AG67_rpsA</t>
  </si>
  <si>
    <t>P0AG78_sbp</t>
  </si>
  <si>
    <t>P0AG80_ugpB</t>
  </si>
  <si>
    <t>P0AG82_pstS</t>
  </si>
  <si>
    <t>P0AG84_yghA</t>
  </si>
  <si>
    <t>P0AG86_secB</t>
  </si>
  <si>
    <t>P0AG90_secD</t>
  </si>
  <si>
    <t>P0AG96_secE</t>
  </si>
  <si>
    <t>P0AG99_secG</t>
  </si>
  <si>
    <t>P0AGA2_secY</t>
  </si>
  <si>
    <t>P0AGB0_serB</t>
  </si>
  <si>
    <t>P0AGB6_rpoE</t>
  </si>
  <si>
    <t>P0AGC3_slt</t>
  </si>
  <si>
    <t>P0AGD1_sodC</t>
  </si>
  <si>
    <t>P0AGD3_sodB</t>
  </si>
  <si>
    <t>P0AGD7_ffh</t>
  </si>
  <si>
    <t>P0AGE0_ssb</t>
  </si>
  <si>
    <t>P0AGE6_chrR</t>
  </si>
  <si>
    <t>P0AGE9_sucD</t>
  </si>
  <si>
    <t>P0AGF2_csdE</t>
  </si>
  <si>
    <t>P0AGG2_tesB</t>
  </si>
  <si>
    <t>P0AGG4_trxC</t>
  </si>
  <si>
    <t>P0AGG8_tldD</t>
  </si>
  <si>
    <t>P0AGI1_rbsC</t>
  </si>
  <si>
    <t>P0AGI8_trkA</t>
  </si>
  <si>
    <t>P0AGJ2_trmH</t>
  </si>
  <si>
    <t>P0AGJ5_yfiF</t>
  </si>
  <si>
    <t>P0AGJ7_trmL</t>
  </si>
  <si>
    <t>P0AGJ9_tyrS</t>
  </si>
  <si>
    <t>P0AGK4_yhbY</t>
  </si>
  <si>
    <t>P0AGL2_tdcF</t>
  </si>
  <si>
    <t>P0AGL5_ratA</t>
  </si>
  <si>
    <t>P0AGL7_rsmE</t>
  </si>
  <si>
    <t>P0C018_rplR</t>
  </si>
  <si>
    <t>P0C037_yaiE</t>
  </si>
  <si>
    <t>P0C054_ibpA</t>
  </si>
  <si>
    <t>P0C079_relB</t>
  </si>
  <si>
    <t>P0C0L2_osmC</t>
  </si>
  <si>
    <t>P0C0L7_proP</t>
  </si>
  <si>
    <t>P0C0S1_mscS</t>
  </si>
  <si>
    <t>P0C0U4_rimK</t>
  </si>
  <si>
    <t>P0C0V0_degP</t>
  </si>
  <si>
    <t>P0C8J6_gatY</t>
  </si>
  <si>
    <t>P0C8J8_gatZ</t>
  </si>
  <si>
    <t>P0CB39_eptC</t>
  </si>
  <si>
    <t>P0CE47_tufA</t>
  </si>
  <si>
    <t>P0DMC5_rcsC</t>
  </si>
  <si>
    <t>P0DMC7_rcsB</t>
  </si>
  <si>
    <t>P10100_rlpA</t>
  </si>
  <si>
    <t>P10121_ftsY</t>
  </si>
  <si>
    <t>P10346_glnQ</t>
  </si>
  <si>
    <t>P10371_hisA</t>
  </si>
  <si>
    <t>P10378_entE</t>
  </si>
  <si>
    <t>P10384_fadL</t>
  </si>
  <si>
    <t>P10408_secA</t>
  </si>
  <si>
    <t>P10441_lpxB</t>
  </si>
  <si>
    <t>P10908_ugpQ</t>
  </si>
  <si>
    <t>P11349_narH</t>
  </si>
  <si>
    <t>P11447_argH</t>
  </si>
  <si>
    <t>P11454_entF</t>
  </si>
  <si>
    <t>P11557_damX</t>
  </si>
  <si>
    <t>P11875_argS</t>
  </si>
  <si>
    <t>P11880_murF</t>
  </si>
  <si>
    <t>P12008_aroC</t>
  </si>
  <si>
    <t>P12281_moeA</t>
  </si>
  <si>
    <t>P12282_moeB</t>
  </si>
  <si>
    <t>P12295_ung</t>
  </si>
  <si>
    <t>P12758_udp</t>
  </si>
  <si>
    <t>P12994_ybhB</t>
  </si>
  <si>
    <t>P13009_metH</t>
  </si>
  <si>
    <t>P13016_ampD</t>
  </si>
  <si>
    <t>P13024_fdhE</t>
  </si>
  <si>
    <t>P13029_katG</t>
  </si>
  <si>
    <t>P13036_fecA</t>
  </si>
  <si>
    <t>P13482_treA</t>
  </si>
  <si>
    <t>P13656_chiA</t>
  </si>
  <si>
    <t>P13857_rimL</t>
  </si>
  <si>
    <t>P14900_murD</t>
  </si>
  <si>
    <t>P15028_fecB</t>
  </si>
  <si>
    <t>P15034_pepP</t>
  </si>
  <si>
    <t>P15038_helD</t>
  </si>
  <si>
    <t>P15042_ligA</t>
  </si>
  <si>
    <t>P15067_glgX</t>
  </si>
  <si>
    <t>P15070_fliN</t>
  </si>
  <si>
    <t>P15078_cstA</t>
  </si>
  <si>
    <t>P15082_srlR</t>
  </si>
  <si>
    <t>P15254_purL</t>
  </si>
  <si>
    <t>P15286_flk</t>
  </si>
  <si>
    <t>P15288_pepD</t>
  </si>
  <si>
    <t>P15373_prlF</t>
  </si>
  <si>
    <t>P15639_purH</t>
  </si>
  <si>
    <t>P15640_purD</t>
  </si>
  <si>
    <t>P15770_aroE</t>
  </si>
  <si>
    <t>P15877_gcd</t>
  </si>
  <si>
    <t>P15977_malQ</t>
  </si>
  <si>
    <t>P16095_sdaA</t>
  </si>
  <si>
    <t>P16456_selD</t>
  </si>
  <si>
    <t>P16525_tus</t>
  </si>
  <si>
    <t>P16659_proS</t>
  </si>
  <si>
    <t>P16681_phnB</t>
  </si>
  <si>
    <t>P16700_cysP</t>
  </si>
  <si>
    <t>P16703_cysM</t>
  </si>
  <si>
    <t>P16926_mreC</t>
  </si>
  <si>
    <t>P17115_gutQ</t>
  </si>
  <si>
    <t>P17117_nfsA</t>
  </si>
  <si>
    <t>P17169_glmS</t>
  </si>
  <si>
    <t>P17443_murG</t>
  </si>
  <si>
    <t>P17854_cysH</t>
  </si>
  <si>
    <t>P17952_murC</t>
  </si>
  <si>
    <t>P17993_ubiG</t>
  </si>
  <si>
    <t>P18196_minC</t>
  </si>
  <si>
    <t>P18335_argD</t>
  </si>
  <si>
    <t>P18775_dmsA</t>
  </si>
  <si>
    <t>P18776_dmsB</t>
  </si>
  <si>
    <t>P18843_nadE</t>
  </si>
  <si>
    <t>P18956_ggt</t>
  </si>
  <si>
    <t>P19318_narY</t>
  </si>
  <si>
    <t>P19319_narZ</t>
  </si>
  <si>
    <t>P19624_pdxA</t>
  </si>
  <si>
    <t>P19636_eutC</t>
  </si>
  <si>
    <t>P19926_agp</t>
  </si>
  <si>
    <t>P19934_tolA</t>
  </si>
  <si>
    <t>P20083_parE</t>
  </si>
  <si>
    <t>P20099_bisC</t>
  </si>
  <si>
    <t>P20605_fic</t>
  </si>
  <si>
    <t>P20966_fruA</t>
  </si>
  <si>
    <t>P21151_fadA</t>
  </si>
  <si>
    <t>P21156_cysD</t>
  </si>
  <si>
    <t>P21165_pepQ</t>
  </si>
  <si>
    <t>P21169_speC</t>
  </si>
  <si>
    <t>P21170_speA</t>
  </si>
  <si>
    <t>P21177_fadB</t>
  </si>
  <si>
    <t>P21179_katE</t>
  </si>
  <si>
    <t>P21338_rna</t>
  </si>
  <si>
    <t>P21362_yciF</t>
  </si>
  <si>
    <t>P21363_yciE</t>
  </si>
  <si>
    <t>P21367_ycaC</t>
  </si>
  <si>
    <t>P21369_pncA</t>
  </si>
  <si>
    <t>P21499_rnr</t>
  </si>
  <si>
    <t>P21507_srmB</t>
  </si>
  <si>
    <t>P21513_rne</t>
  </si>
  <si>
    <t>P21599_pykA</t>
  </si>
  <si>
    <t>P21645_lpxD</t>
  </si>
  <si>
    <t>P21888_cysS</t>
  </si>
  <si>
    <t>P21889_aspS</t>
  </si>
  <si>
    <t>P22106_asnB</t>
  </si>
  <si>
    <t>P22186_mraZ</t>
  </si>
  <si>
    <t>P22188_murE</t>
  </si>
  <si>
    <t>P22255_cysQ</t>
  </si>
  <si>
    <t>P22256_gabT</t>
  </si>
  <si>
    <t>P22259_pckA</t>
  </si>
  <si>
    <t>P22333_add</t>
  </si>
  <si>
    <t>P22524_mukE</t>
  </si>
  <si>
    <t>P22564_rihC</t>
  </si>
  <si>
    <t>P22939_ispA</t>
  </si>
  <si>
    <t>P23003_trmA</t>
  </si>
  <si>
    <t>P23173_tnaB</t>
  </si>
  <si>
    <t>P23200_mglC</t>
  </si>
  <si>
    <t>P23256_malY</t>
  </si>
  <si>
    <t>P23331_tdk</t>
  </si>
  <si>
    <t>P23367_mutL</t>
  </si>
  <si>
    <t>P23522_garL</t>
  </si>
  <si>
    <t>P23538_ppsA</t>
  </si>
  <si>
    <t>P23721_serC</t>
  </si>
  <si>
    <t>P23827_eco</t>
  </si>
  <si>
    <t>P23830_pssA</t>
  </si>
  <si>
    <t>P23836_phoP</t>
  </si>
  <si>
    <t>P23837_phoQ</t>
  </si>
  <si>
    <t>P23839_yicC</t>
  </si>
  <si>
    <t>P23843_oppA</t>
  </si>
  <si>
    <t>P23847_dppA</t>
  </si>
  <si>
    <t>P23857_pspE</t>
  </si>
  <si>
    <t>P23865_prc</t>
  </si>
  <si>
    <t>P23869_ppiB</t>
  </si>
  <si>
    <t>P23871_hemH</t>
  </si>
  <si>
    <t>P23882_fmt</t>
  </si>
  <si>
    <t>P23893_hemL</t>
  </si>
  <si>
    <t>P23894_htpX</t>
  </si>
  <si>
    <t>P23908_argE</t>
  </si>
  <si>
    <t>P23930_lnt</t>
  </si>
  <si>
    <t>P24171_dcp</t>
  </si>
  <si>
    <t>P24173_rfaC</t>
  </si>
  <si>
    <t>P24178_yffB</t>
  </si>
  <si>
    <t>P24182_accC</t>
  </si>
  <si>
    <t>P24183_fdnG</t>
  </si>
  <si>
    <t>P24186_folD</t>
  </si>
  <si>
    <t>P24202_mrr</t>
  </si>
  <si>
    <t>P24203_yjiA</t>
  </si>
  <si>
    <t>P24205_lpxM</t>
  </si>
  <si>
    <t>P24215_uxuA</t>
  </si>
  <si>
    <t>P24232_hmp</t>
  </si>
  <si>
    <t>P24242_ascG</t>
  </si>
  <si>
    <t>P24251_crl</t>
  </si>
  <si>
    <t>P24255_rpoN</t>
  </si>
  <si>
    <t>P24555_ptrB</t>
  </si>
  <si>
    <t>P25397_tehB</t>
  </si>
  <si>
    <t>P25437_frmA</t>
  </si>
  <si>
    <t>P25516_acnA</t>
  </si>
  <si>
    <t>P25519_hflX</t>
  </si>
  <si>
    <t>P25522_mnmE</t>
  </si>
  <si>
    <t>P25524_codA</t>
  </si>
  <si>
    <t>P25526_gabD</t>
  </si>
  <si>
    <t>P25539_ribD</t>
  </si>
  <si>
    <t>P25552_gppA</t>
  </si>
  <si>
    <t>P25553_aldA</t>
  </si>
  <si>
    <t>P25714_yidC</t>
  </si>
  <si>
    <t>P25745_mnmA</t>
  </si>
  <si>
    <t>P25894_loiP</t>
  </si>
  <si>
    <t>P25906_ydbC</t>
  </si>
  <si>
    <t>P26612_amyA</t>
  </si>
  <si>
    <t>P26616_maeA</t>
  </si>
  <si>
    <t>P26646_acuI</t>
  </si>
  <si>
    <t>P26647_plsC</t>
  </si>
  <si>
    <t>P26648_ftsP</t>
  </si>
  <si>
    <t>P26649_glgS</t>
  </si>
  <si>
    <t>P27238_yfeD</t>
  </si>
  <si>
    <t>P27247_plsX</t>
  </si>
  <si>
    <t>P27248_gcvT</t>
  </si>
  <si>
    <t>P27250_ahr</t>
  </si>
  <si>
    <t>P27278_nadR</t>
  </si>
  <si>
    <t>P27298_prlC</t>
  </si>
  <si>
    <t>P27302_tktA</t>
  </si>
  <si>
    <t>P27303_emrA</t>
  </si>
  <si>
    <t>P27306_sthA</t>
  </si>
  <si>
    <t>P27431_roxA</t>
  </si>
  <si>
    <t>P27434_rodZ</t>
  </si>
  <si>
    <t>P27550_acs</t>
  </si>
  <si>
    <t>P27828_wecB</t>
  </si>
  <si>
    <t>P27829_wecC</t>
  </si>
  <si>
    <t>P27833_wecE</t>
  </si>
  <si>
    <t>P27848_yigL</t>
  </si>
  <si>
    <t>P27862_yigZ</t>
  </si>
  <si>
    <t>P28248_dcd</t>
  </si>
  <si>
    <t>P28249_asmA</t>
  </si>
  <si>
    <t>P28304_qorA</t>
  </si>
  <si>
    <t>P28306_mltG</t>
  </si>
  <si>
    <t>P28634_trmO</t>
  </si>
  <si>
    <t>P28635_metQ</t>
  </si>
  <si>
    <t>P28861_fpr</t>
  </si>
  <si>
    <t>P28903_nrdD</t>
  </si>
  <si>
    <t>P28904_treC</t>
  </si>
  <si>
    <t>P28905_holC</t>
  </si>
  <si>
    <t>P29012_dadX</t>
  </si>
  <si>
    <t>P29013_ycgB</t>
  </si>
  <si>
    <t>P29018_cydD</t>
  </si>
  <si>
    <t>P29131_ftsN</t>
  </si>
  <si>
    <t>P29208_menC</t>
  </si>
  <si>
    <t>P29217_yceH</t>
  </si>
  <si>
    <t>P29680_hemE</t>
  </si>
  <si>
    <t>P29745_pepT</t>
  </si>
  <si>
    <t>P30011_nadC</t>
  </si>
  <si>
    <t>P30125_leuB</t>
  </si>
  <si>
    <t>P30126_leuD</t>
  </si>
  <si>
    <t>P30136_thiC</t>
  </si>
  <si>
    <t>P30177_ybiB</t>
  </si>
  <si>
    <t>P30750_metN</t>
  </si>
  <si>
    <t>P30850_rnb</t>
  </si>
  <si>
    <t>P30859_artI</t>
  </si>
  <si>
    <t>P30860_artJ</t>
  </si>
  <si>
    <t>P30863_dkgB</t>
  </si>
  <si>
    <t>P30864_yafC</t>
  </si>
  <si>
    <t>P30870_glnE</t>
  </si>
  <si>
    <t>P30871_ygiF</t>
  </si>
  <si>
    <t>P30958_mfd</t>
  </si>
  <si>
    <t>P31057_panB</t>
  </si>
  <si>
    <t>P31063_yedD</t>
  </si>
  <si>
    <t>P31068_fliH</t>
  </si>
  <si>
    <t>P31069_kch</t>
  </si>
  <si>
    <t>P31119_aas</t>
  </si>
  <si>
    <t>P31120_glmM</t>
  </si>
  <si>
    <t>P31130_ydeI</t>
  </si>
  <si>
    <t>P31131_ydeJ</t>
  </si>
  <si>
    <t>P31133_potF</t>
  </si>
  <si>
    <t>P31142_sseA</t>
  </si>
  <si>
    <t>P31224_acrB</t>
  </si>
  <si>
    <t>P31433_yicH</t>
  </si>
  <si>
    <t>P31455_yidR</t>
  </si>
  <si>
    <t>P31460_dgoR</t>
  </si>
  <si>
    <t>P31473_ravA</t>
  </si>
  <si>
    <t>P31475_yieP</t>
  </si>
  <si>
    <t>P31550_thiB</t>
  </si>
  <si>
    <t>P31554_lptD</t>
  </si>
  <si>
    <t>P31658_hchA</t>
  </si>
  <si>
    <t>P31660_prpC</t>
  </si>
  <si>
    <t>P31663_panC</t>
  </si>
  <si>
    <t>P31677_otsA</t>
  </si>
  <si>
    <t>P31802_narP</t>
  </si>
  <si>
    <t>P31806_nnr</t>
  </si>
  <si>
    <t>P31808_yciK</t>
  </si>
  <si>
    <t>P31979_nuoF</t>
  </si>
  <si>
    <t>P32099_lplA</t>
  </si>
  <si>
    <t>P32131_hemN</t>
  </si>
  <si>
    <t>P32132_typA</t>
  </si>
  <si>
    <t>P32157_yiiM</t>
  </si>
  <si>
    <t>P32160_yiiQ</t>
  </si>
  <si>
    <t>P32162_yiiS</t>
  </si>
  <si>
    <t>P32176_fdoG</t>
  </si>
  <si>
    <t>P32177_fdhD</t>
  </si>
  <si>
    <t>P32662_gph</t>
  </si>
  <si>
    <t>P32664_nudC</t>
  </si>
  <si>
    <t>P32669_fsaB</t>
  </si>
  <si>
    <t>P32680_yjaG</t>
  </si>
  <si>
    <t>P32684_rluF</t>
  </si>
  <si>
    <t>P32695_dusA</t>
  </si>
  <si>
    <t>P32705_actP</t>
  </si>
  <si>
    <t>P32715_mdtO</t>
  </si>
  <si>
    <t>P33030_yeiR</t>
  </si>
  <si>
    <t>P33136_mdoG</t>
  </si>
  <si>
    <t>P33195_gcvP</t>
  </si>
  <si>
    <t>P33218_yebE</t>
  </si>
  <si>
    <t>P33219_yebF</t>
  </si>
  <si>
    <t>P33221_purT</t>
  </si>
  <si>
    <t>P33224_aidB</t>
  </si>
  <si>
    <t>P33362_yehZ</t>
  </si>
  <si>
    <t>P33363_bglX</t>
  </si>
  <si>
    <t>P33368_yohF</t>
  </si>
  <si>
    <t>P33570_tktB</t>
  </si>
  <si>
    <t>P33590_nikA</t>
  </si>
  <si>
    <t>P33596_recX</t>
  </si>
  <si>
    <t>P33599_nuoC</t>
  </si>
  <si>
    <t>P33602_nuoG</t>
  </si>
  <si>
    <t>P33607_nuoL</t>
  </si>
  <si>
    <t>P33643_rluD</t>
  </si>
  <si>
    <t>P33644_yfiH</t>
  </si>
  <si>
    <t>P33913_yejA</t>
  </si>
  <si>
    <t>P33916_yejF</t>
  </si>
  <si>
    <t>P33937_napA</t>
  </si>
  <si>
    <t>P34209_ydcF</t>
  </si>
  <si>
    <t>P35340_ahpF</t>
  </si>
  <si>
    <t>P36649_cueO</t>
  </si>
  <si>
    <t>P36655_dsbD</t>
  </si>
  <si>
    <t>P36659_cbpA</t>
  </si>
  <si>
    <t>P36672_treB</t>
  </si>
  <si>
    <t>P36680_zapD</t>
  </si>
  <si>
    <t>P36683_acnB</t>
  </si>
  <si>
    <t>P36767_rdgC</t>
  </si>
  <si>
    <t>P36771_lrhA</t>
  </si>
  <si>
    <t>P36938_pgm</t>
  </si>
  <si>
    <t>P36979_rlmN</t>
  </si>
  <si>
    <t>P37051_purU</t>
  </si>
  <si>
    <t>P37095_pepB</t>
  </si>
  <si>
    <t>P37128_nudK</t>
  </si>
  <si>
    <t>P37147_fxsA</t>
  </si>
  <si>
    <t>P37182_hybD</t>
  </si>
  <si>
    <t>P37188_gatB</t>
  </si>
  <si>
    <t>P37194_slp</t>
  </si>
  <si>
    <t>P37313_dppF</t>
  </si>
  <si>
    <t>P37325_ybcH</t>
  </si>
  <si>
    <t>P37329_modA</t>
  </si>
  <si>
    <t>P37330_glcB</t>
  </si>
  <si>
    <t>P37339_lhgO</t>
  </si>
  <si>
    <t>P37342_yjjI</t>
  </si>
  <si>
    <t>P37349_dhaM</t>
  </si>
  <si>
    <t>P37351_rpiB</t>
  </si>
  <si>
    <t>P37387_xylF</t>
  </si>
  <si>
    <t>P37440_ucpA</t>
  </si>
  <si>
    <t>P37595_iaaA</t>
  </si>
  <si>
    <t>P37613_panM</t>
  </si>
  <si>
    <t>P37617_zntA</t>
  </si>
  <si>
    <t>P37626_yhiI</t>
  </si>
  <si>
    <t>P37631_yhiN</t>
  </si>
  <si>
    <t>P37634_rlmJ</t>
  </si>
  <si>
    <t>P37636_mdtE</t>
  </si>
  <si>
    <t>P37637_mdtF</t>
  </si>
  <si>
    <t>P37642_yhjD</t>
  </si>
  <si>
    <t>P37645_yhjG</t>
  </si>
  <si>
    <t>P37647_kdgK</t>
  </si>
  <si>
    <t>P37648_yhjJ</t>
  </si>
  <si>
    <t>P37649_yhjK</t>
  </si>
  <si>
    <t>P37665_yiaD</t>
  </si>
  <si>
    <t>P37666_ghrB</t>
  </si>
  <si>
    <t>P37685_aldB</t>
  </si>
  <si>
    <t>P37689_gpmI</t>
  </si>
  <si>
    <t>P37690_envC</t>
  </si>
  <si>
    <t>P37692_rfaF</t>
  </si>
  <si>
    <t>P37744_rfbA</t>
  </si>
  <si>
    <t>P37747_glf</t>
  </si>
  <si>
    <t>P37759_rfbB</t>
  </si>
  <si>
    <t>P37760_rfbD</t>
  </si>
  <si>
    <t>P37765_rluB</t>
  </si>
  <si>
    <t>P37767_yfhH</t>
  </si>
  <si>
    <t>P37773_mpl</t>
  </si>
  <si>
    <t>P37902_gltI</t>
  </si>
  <si>
    <t>P37903_uspF</t>
  </si>
  <si>
    <t>P38038_cysJ</t>
  </si>
  <si>
    <t>P38051_menF</t>
  </si>
  <si>
    <t>P38489_nfsB</t>
  </si>
  <si>
    <t>P39099_degQ</t>
  </si>
  <si>
    <t>P39160_uxuB</t>
  </si>
  <si>
    <t>P39161_uxuR</t>
  </si>
  <si>
    <t>P39172_znuA</t>
  </si>
  <si>
    <t>P39173_yeaD</t>
  </si>
  <si>
    <t>P39176_erfK</t>
  </si>
  <si>
    <t>P39177_uspG</t>
  </si>
  <si>
    <t>P39187_ytfJ</t>
  </si>
  <si>
    <t>P39199_prmB</t>
  </si>
  <si>
    <t>P39265_alsB</t>
  </si>
  <si>
    <t>P39274_yjdJ</t>
  </si>
  <si>
    <t>P39285_mscM</t>
  </si>
  <si>
    <t>P39286_rsgA</t>
  </si>
  <si>
    <t>P39297_bsmA</t>
  </si>
  <si>
    <t>P39298_yjfP</t>
  </si>
  <si>
    <t>P39310_ytfB</t>
  </si>
  <si>
    <t>P39315_qorB</t>
  </si>
  <si>
    <t>P39321_tamB</t>
  </si>
  <si>
    <t>P39325_ytfQ</t>
  </si>
  <si>
    <t>P39332_yjgH</t>
  </si>
  <si>
    <t>P39337_yjgM</t>
  </si>
  <si>
    <t>P39342_yjgR</t>
  </si>
  <si>
    <t>P39356_yjhU</t>
  </si>
  <si>
    <t>P39358_yjhG</t>
  </si>
  <si>
    <t>P39363_sgcA</t>
  </si>
  <si>
    <t>P39366_sgcX</t>
  </si>
  <si>
    <t>P39371_nanM</t>
  </si>
  <si>
    <t>P39377_iadA</t>
  </si>
  <si>
    <t>P39385_yjiN</t>
  </si>
  <si>
    <t>P39396_yjiY</t>
  </si>
  <si>
    <t>P39406_rsmC</t>
  </si>
  <si>
    <t>P39407_yjjU</t>
  </si>
  <si>
    <t>P39408_yjjV</t>
  </si>
  <si>
    <t>P39411_yjjX</t>
  </si>
  <si>
    <t>P39451_adhP</t>
  </si>
  <si>
    <t>P39829_garD</t>
  </si>
  <si>
    <t>P39830_ybaL</t>
  </si>
  <si>
    <t>P39831_ydfG</t>
  </si>
  <si>
    <t>P39838_rcsD</t>
  </si>
  <si>
    <t>P40120_mdoD</t>
  </si>
  <si>
    <t>P40191_pdxK</t>
  </si>
  <si>
    <t>P40710_nlpE</t>
  </si>
  <si>
    <t>P40874_solA</t>
  </si>
  <si>
    <t>P41407_azoR</t>
  </si>
  <si>
    <t>P41409_rihA</t>
  </si>
  <si>
    <t>P42592_ygjK</t>
  </si>
  <si>
    <t>P42593_fadH</t>
  </si>
  <si>
    <t>P42599_ygjR</t>
  </si>
  <si>
    <t>P42604_uxaA</t>
  </si>
  <si>
    <t>P42616_yqjC</t>
  </si>
  <si>
    <t>P42620_yqjG</t>
  </si>
  <si>
    <t>P42632_tdcE</t>
  </si>
  <si>
    <t>P42641_obgE</t>
  </si>
  <si>
    <t>P42904_agaV</t>
  </si>
  <si>
    <t>P43341_lpxH</t>
  </si>
  <si>
    <t>P43671_pqiB</t>
  </si>
  <si>
    <t>P43672_uup</t>
  </si>
  <si>
    <t>P45395_kdsD</t>
  </si>
  <si>
    <t>P45424_yhcH</t>
  </si>
  <si>
    <t>P45425_nanK</t>
  </si>
  <si>
    <t>P45464_lpoA</t>
  </si>
  <si>
    <t>P45470_yhbO</t>
  </si>
  <si>
    <t>P45523_fkpA</t>
  </si>
  <si>
    <t>P45530_tusB</t>
  </si>
  <si>
    <t>P45568_dxr</t>
  </si>
  <si>
    <t>P45577_proQ</t>
  </si>
  <si>
    <t>P45578_luxS</t>
  </si>
  <si>
    <t>P45748_tsaC</t>
  </si>
  <si>
    <t>P45771_yrdD</t>
  </si>
  <si>
    <t>P45799_nudE</t>
  </si>
  <si>
    <t>P45800_yrfF</t>
  </si>
  <si>
    <t>P45955_cpoB</t>
  </si>
  <si>
    <t>P46122_yajI</t>
  </si>
  <si>
    <t>P46125_yedI</t>
  </si>
  <si>
    <t>P46130_ybhC</t>
  </si>
  <si>
    <t>P46474_yhdP</t>
  </si>
  <si>
    <t>P46837_yhgF</t>
  </si>
  <si>
    <t>P46849_rtcA</t>
  </si>
  <si>
    <t>P46852_yhhW</t>
  </si>
  <si>
    <t>P46853_yhhX</t>
  </si>
  <si>
    <t>P46923_torZ</t>
  </si>
  <si>
    <t>P50466_aer</t>
  </si>
  <si>
    <t>P51024_yaiL</t>
  </si>
  <si>
    <t>P51981_ycjG</t>
  </si>
  <si>
    <t>P52007_yecM</t>
  </si>
  <si>
    <t>P52061_rdgB</t>
  </si>
  <si>
    <t>P52073_glcE</t>
  </si>
  <si>
    <t>P52096_yaeR</t>
  </si>
  <si>
    <t>P52108_rstA</t>
  </si>
  <si>
    <t>P52119_ratB</t>
  </si>
  <si>
    <t>P52612_fliI</t>
  </si>
  <si>
    <t>P52643_ldhA</t>
  </si>
  <si>
    <t>P52647_ydbK</t>
  </si>
  <si>
    <t>P52697_pgl</t>
  </si>
  <si>
    <t>P55734_ygaP</t>
  </si>
  <si>
    <t>P56262_ysgA</t>
  </si>
  <si>
    <t>P56580_srlE</t>
  </si>
  <si>
    <t>P60240_rapA</t>
  </si>
  <si>
    <t>P60293_mukF</t>
  </si>
  <si>
    <t>P60340_truB</t>
  </si>
  <si>
    <t>P60390_rsmH</t>
  </si>
  <si>
    <t>P60422_rplB</t>
  </si>
  <si>
    <t>P60438_rplC</t>
  </si>
  <si>
    <t>P60472_ispU</t>
  </si>
  <si>
    <t>P60546_gmk</t>
  </si>
  <si>
    <t>P60560_guaC</t>
  </si>
  <si>
    <t>P60566_fixA</t>
  </si>
  <si>
    <t>P60595_hisH</t>
  </si>
  <si>
    <t>P60624_rplX</t>
  </si>
  <si>
    <t>P60651_speB</t>
  </si>
  <si>
    <t>P60664_hisF</t>
  </si>
  <si>
    <t>P60723_rplD</t>
  </si>
  <si>
    <t>P60752_msbA</t>
  </si>
  <si>
    <t>P60757_hisG</t>
  </si>
  <si>
    <t>P60785_lepA</t>
  </si>
  <si>
    <t>P60872_yidE</t>
  </si>
  <si>
    <t>P60906_hisS</t>
  </si>
  <si>
    <t>P61175_rplV</t>
  </si>
  <si>
    <t>P61316_lolA</t>
  </si>
  <si>
    <t>P61320_lolB</t>
  </si>
  <si>
    <t>P61517_can</t>
  </si>
  <si>
    <t>P61714_ribE</t>
  </si>
  <si>
    <t>P61889_mdh</t>
  </si>
  <si>
    <t>P61949_fldA</t>
  </si>
  <si>
    <t>P62399_rplE</t>
  </si>
  <si>
    <t>P62517_mdoH</t>
  </si>
  <si>
    <t>P62615_ispE</t>
  </si>
  <si>
    <t>P62617_ispF</t>
  </si>
  <si>
    <t>P62620_ispG</t>
  </si>
  <si>
    <t>P62623_ispH</t>
  </si>
  <si>
    <t>P62672_apaG</t>
  </si>
  <si>
    <t>P62707_gpmA</t>
  </si>
  <si>
    <t>P62768_yaeH</t>
  </si>
  <si>
    <t>P63020_nfuA</t>
  </si>
  <si>
    <t>P63177_rlmB</t>
  </si>
  <si>
    <t>P63204_gadE</t>
  </si>
  <si>
    <t>P63224_gmhA</t>
  </si>
  <si>
    <t>P63229_gmhB</t>
  </si>
  <si>
    <t>P63235_gadC</t>
  </si>
  <si>
    <t>P63284_clpB</t>
  </si>
  <si>
    <t>P63340_yqeG</t>
  </si>
  <si>
    <t>P63386_mlaF</t>
  </si>
  <si>
    <t>P63389_yheS</t>
  </si>
  <si>
    <t>P63883_amiC</t>
  </si>
  <si>
    <t>P64429_ypfJ</t>
  </si>
  <si>
    <t>P64451_ydcL</t>
  </si>
  <si>
    <t>P64455_ydcY</t>
  </si>
  <si>
    <t>P64461_lsrG</t>
  </si>
  <si>
    <t>P64463_ydfZ</t>
  </si>
  <si>
    <t>P64467_cnu</t>
  </si>
  <si>
    <t>P64479_ydiZ</t>
  </si>
  <si>
    <t>P64483_yeaK</t>
  </si>
  <si>
    <t>P64503_yebV</t>
  </si>
  <si>
    <t>P64506_yebY</t>
  </si>
  <si>
    <t>P64515_yecN</t>
  </si>
  <si>
    <t>P64519_yodD</t>
  </si>
  <si>
    <t>P64530_rcnR</t>
  </si>
  <si>
    <t>P64534_rcnB</t>
  </si>
  <si>
    <t>P64554_queE</t>
  </si>
  <si>
    <t>P64564_yggT</t>
  </si>
  <si>
    <t>P64581_yqjD</t>
  </si>
  <si>
    <t>P64585_yqjE</t>
  </si>
  <si>
    <t>P64588_yqjI</t>
  </si>
  <si>
    <t>P64594_yhaV</t>
  </si>
  <si>
    <t>P64596_yraP</t>
  </si>
  <si>
    <t>P64602_mlaB</t>
  </si>
  <si>
    <t>P64604_mlaD</t>
  </si>
  <si>
    <t>P64606_mlaE</t>
  </si>
  <si>
    <t>P64616_yhcO</t>
  </si>
  <si>
    <t>P64624_yheO</t>
  </si>
  <si>
    <t>P65292_ygdI</t>
  </si>
  <si>
    <t>P65367_yqcA</t>
  </si>
  <si>
    <t>P65556_yfcD</t>
  </si>
  <si>
    <t>P65807_ygeY</t>
  </si>
  <si>
    <t>P65870_queD</t>
  </si>
  <si>
    <t>P66899_ygeX</t>
  </si>
  <si>
    <t>P66948_bepA</t>
  </si>
  <si>
    <t>P67080_yggS</t>
  </si>
  <si>
    <t>P67095_yfcE</t>
  </si>
  <si>
    <t>P67244_yqhA</t>
  </si>
  <si>
    <t>P67603_yqfB</t>
  </si>
  <si>
    <t>P67660_yhaJ</t>
  </si>
  <si>
    <t>P67826_cutC</t>
  </si>
  <si>
    <t>P67910_hldD</t>
  </si>
  <si>
    <t>P68066_grcA</t>
  </si>
  <si>
    <t>P68187_malK</t>
  </si>
  <si>
    <t>P68191_sra</t>
  </si>
  <si>
    <t>P68206_yjbJ</t>
  </si>
  <si>
    <t>P68679_rpsU</t>
  </si>
  <si>
    <t>P68688_grxA</t>
  </si>
  <si>
    <t>P68699_atpE</t>
  </si>
  <si>
    <t>P68767_pepA</t>
  </si>
  <si>
    <t>P68919_rplY</t>
  </si>
  <si>
    <t>P69054_sdhC</t>
  </si>
  <si>
    <t>P69222_infA</t>
  </si>
  <si>
    <t>P69228_baeR</t>
  </si>
  <si>
    <t>P69346_yefM</t>
  </si>
  <si>
    <t>P69411_rcsF</t>
  </si>
  <si>
    <t>P69425_tatB</t>
  </si>
  <si>
    <t>P69428_tatA</t>
  </si>
  <si>
    <t>P69441_adk</t>
  </si>
  <si>
    <t>P69451_fadD</t>
  </si>
  <si>
    <t>P69503_apt</t>
  </si>
  <si>
    <t>P69506_ytfE</t>
  </si>
  <si>
    <t>P69739_hyaA</t>
  </si>
  <si>
    <t>P69741_hybO</t>
  </si>
  <si>
    <t>P69776_lpp</t>
  </si>
  <si>
    <t>P69783_crr</t>
  </si>
  <si>
    <t>P69786_ptsG</t>
  </si>
  <si>
    <t>P69795_chbB</t>
  </si>
  <si>
    <t>P69797_manX</t>
  </si>
  <si>
    <t>P69801_manY</t>
  </si>
  <si>
    <t>P69805_manZ</t>
  </si>
  <si>
    <t>P69811_fruB</t>
  </si>
  <si>
    <t>P69820_ulaC</t>
  </si>
  <si>
    <t>P69822_ulaB</t>
  </si>
  <si>
    <t>P69828_gatA</t>
  </si>
  <si>
    <t>P69829_ptsN</t>
  </si>
  <si>
    <t>P69831_gatC</t>
  </si>
  <si>
    <t>P69853_dmsD</t>
  </si>
  <si>
    <t>P69874_potA</t>
  </si>
  <si>
    <t>P69908_gadA</t>
  </si>
  <si>
    <t>P69910_gadB</t>
  </si>
  <si>
    <t>P69913_csrA</t>
  </si>
  <si>
    <t>P69922_fucI</t>
  </si>
  <si>
    <t>P69924_nrdB</t>
  </si>
  <si>
    <t>P75682_yagE</t>
  </si>
  <si>
    <t>P75691_yahK</t>
  </si>
  <si>
    <t>P75694_yahO</t>
  </si>
  <si>
    <t>P75713_allE</t>
  </si>
  <si>
    <t>P75728_ubiF</t>
  </si>
  <si>
    <t>P75736_ybfF</t>
  </si>
  <si>
    <t>P75745_ybgK</t>
  </si>
  <si>
    <t>P75767_ybhK</t>
  </si>
  <si>
    <t>P75777_ybhG</t>
  </si>
  <si>
    <t>P75782_rlmF</t>
  </si>
  <si>
    <t>P75792_ybiV</t>
  </si>
  <si>
    <t>P75797_gsiB</t>
  </si>
  <si>
    <t>P75818_ybjP</t>
  </si>
  <si>
    <t>P75823_ltaE</t>
  </si>
  <si>
    <t>P75863_ycbX</t>
  </si>
  <si>
    <t>P75864_rlmL</t>
  </si>
  <si>
    <t>P75874_yccU</t>
  </si>
  <si>
    <t>P75876_rlmI</t>
  </si>
  <si>
    <t>P75913_ghrA</t>
  </si>
  <si>
    <t>P75914_ycdX</t>
  </si>
  <si>
    <t>P75915_ycdY</t>
  </si>
  <si>
    <t>P75931_yceM</t>
  </si>
  <si>
    <t>P75937_flgE</t>
  </si>
  <si>
    <t>P75952_comR</t>
  </si>
  <si>
    <t>P75959_nagK</t>
  </si>
  <si>
    <t>P75960_cobB</t>
  </si>
  <si>
    <t>P75966_rluE</t>
  </si>
  <si>
    <t>P75974_cohE</t>
  </si>
  <si>
    <t>P76001_ycgJ</t>
  </si>
  <si>
    <t>P76002_pliG</t>
  </si>
  <si>
    <t>P76004_ycgM</t>
  </si>
  <si>
    <t>P76008_ldcA</t>
  </si>
  <si>
    <t>P76014_dhaL</t>
  </si>
  <si>
    <t>P76015_dhaK</t>
  </si>
  <si>
    <t>P76027_oppD</t>
  </si>
  <si>
    <t>P76046_ycjX</t>
  </si>
  <si>
    <t>P76049_ycjY</t>
  </si>
  <si>
    <t>P76055_ttcA</t>
  </si>
  <si>
    <t>P76062_racR</t>
  </si>
  <si>
    <t>P76086_paaX</t>
  </si>
  <si>
    <t>P76097_ydcJ</t>
  </si>
  <si>
    <t>P76100_ydcK</t>
  </si>
  <si>
    <t>P76108_ydcS</t>
  </si>
  <si>
    <t>P76113_curA</t>
  </si>
  <si>
    <t>P76116_yncE</t>
  </si>
  <si>
    <t>P76121_yddH</t>
  </si>
  <si>
    <t>P76128_ddpA</t>
  </si>
  <si>
    <t>P76142_lsrB</t>
  </si>
  <si>
    <t>P76143_lsrF</t>
  </si>
  <si>
    <t>P76145_tam</t>
  </si>
  <si>
    <t>P76149_sad</t>
  </si>
  <si>
    <t>P76172_ynfD</t>
  </si>
  <si>
    <t>P76173_ynfH</t>
  </si>
  <si>
    <t>P76176_ydgD</t>
  </si>
  <si>
    <t>P76177_ydgH</t>
  </si>
  <si>
    <t>P76187_ydhF</t>
  </si>
  <si>
    <t>P76192_ydhV</t>
  </si>
  <si>
    <t>P76193_ynhG</t>
  </si>
  <si>
    <t>P76194_sufE</t>
  </si>
  <si>
    <t>P76206_ydiY</t>
  </si>
  <si>
    <t>P76216_astB</t>
  </si>
  <si>
    <t>P76217_astD</t>
  </si>
  <si>
    <t>P76220_ydjY</t>
  </si>
  <si>
    <t>P76223_ynjB</t>
  </si>
  <si>
    <t>P76227_ynjH</t>
  </si>
  <si>
    <t>P76235_yeaH</t>
  </si>
  <si>
    <t>P76243_yeaO</t>
  </si>
  <si>
    <t>P76251_dmlA</t>
  </si>
  <si>
    <t>P76256_tsaB</t>
  </si>
  <si>
    <t>P76268_kdgR</t>
  </si>
  <si>
    <t>P76270_msrC</t>
  </si>
  <si>
    <t>P76272_yebT</t>
  </si>
  <si>
    <t>P76290_cmoA</t>
  </si>
  <si>
    <t>P76298_flhA</t>
  </si>
  <si>
    <t>P76316_dcyD</t>
  </si>
  <si>
    <t>P76318_yedK</t>
  </si>
  <si>
    <t>P76329_yedP</t>
  </si>
  <si>
    <t>P76342_msrP</t>
  </si>
  <si>
    <t>P76346_mtfA</t>
  </si>
  <si>
    <t>P76372_wzzB</t>
  </si>
  <si>
    <t>P76397_mdtA</t>
  </si>
  <si>
    <t>P76402_yegP</t>
  </si>
  <si>
    <t>P76403_yegQ</t>
  </si>
  <si>
    <t>P76407_yegS</t>
  </si>
  <si>
    <t>P76440_preT</t>
  </si>
  <si>
    <t>P76445_lpxT</t>
  </si>
  <si>
    <t>P76502_sixA</t>
  </si>
  <si>
    <t>P76506_mlaA</t>
  </si>
  <si>
    <t>P76535_murQ</t>
  </si>
  <si>
    <t>P76536_yfeX</t>
  </si>
  <si>
    <t>P76537_yfeY</t>
  </si>
  <si>
    <t>P76541_eutL</t>
  </si>
  <si>
    <t>P76550_yffS</t>
  </si>
  <si>
    <t>P76555_eutQ</t>
  </si>
  <si>
    <t>P76558_maeB</t>
  </si>
  <si>
    <t>P76561_ypfH</t>
  </si>
  <si>
    <t>P76569_yfgD</t>
  </si>
  <si>
    <t>P76575_yfgJ</t>
  </si>
  <si>
    <t>P76576_yfgM</t>
  </si>
  <si>
    <t>P76578_yfhM</t>
  </si>
  <si>
    <t>P76594_pka</t>
  </si>
  <si>
    <t>P76621_csiD</t>
  </si>
  <si>
    <t>P76658_hldE</t>
  </si>
  <si>
    <t>P77148_ydhS</t>
  </si>
  <si>
    <t>P77162_ykfB</t>
  </si>
  <si>
    <t>P77173_zipA</t>
  </si>
  <si>
    <t>P77181_paaY</t>
  </si>
  <si>
    <t>P77202_dsbG</t>
  </si>
  <si>
    <t>P77212_rclA</t>
  </si>
  <si>
    <t>P77213_ybdK</t>
  </si>
  <si>
    <t>P77215_rhmD</t>
  </si>
  <si>
    <t>P77243_prpD</t>
  </si>
  <si>
    <t>P77247_yniC</t>
  </si>
  <si>
    <t>P77252_ykgE</t>
  </si>
  <si>
    <t>P77258_nemA</t>
  </si>
  <si>
    <t>P77269_yphF</t>
  </si>
  <si>
    <t>P77285_rsxG</t>
  </si>
  <si>
    <t>P77318_ydeN</t>
  </si>
  <si>
    <t>P77330_borD</t>
  </si>
  <si>
    <t>P77338_mscK</t>
  </si>
  <si>
    <t>P77348_mppA</t>
  </si>
  <si>
    <t>P77368_ybcL</t>
  </si>
  <si>
    <t>P77376_ydgJ</t>
  </si>
  <si>
    <t>P77395_ybbN</t>
  </si>
  <si>
    <t>P77433_ykgG</t>
  </si>
  <si>
    <t>P77434_alaC</t>
  </si>
  <si>
    <t>P77444_sufS</t>
  </si>
  <si>
    <t>P77454_glsA1</t>
  </si>
  <si>
    <t>P77488_dxs</t>
  </si>
  <si>
    <t>P77499_sufC</t>
  </si>
  <si>
    <t>P77522_sufB</t>
  </si>
  <si>
    <t>P77526_yfcG</t>
  </si>
  <si>
    <t>P77529_ydjN</t>
  </si>
  <si>
    <t>P77541_prpB</t>
  </si>
  <si>
    <t>P77544_yfcF</t>
  </si>
  <si>
    <t>P77552_ydhQ</t>
  </si>
  <si>
    <t>P77554_yahJ</t>
  </si>
  <si>
    <t>P77562_yaiW</t>
  </si>
  <si>
    <t>P77581_astC</t>
  </si>
  <si>
    <t>P77611_rsxC</t>
  </si>
  <si>
    <t>P77625_yfbT</t>
  </si>
  <si>
    <t>P77671_allB</t>
  </si>
  <si>
    <t>P77674_prr</t>
  </si>
  <si>
    <t>P77689_sufD</t>
  </si>
  <si>
    <t>P77695_gnsB</t>
  </si>
  <si>
    <t>P77712_fadM</t>
  </si>
  <si>
    <t>P77713_yagH</t>
  </si>
  <si>
    <t>P77718_thiI</t>
  </si>
  <si>
    <t>P77721_ydjF</t>
  </si>
  <si>
    <t>P77735_yajO</t>
  </si>
  <si>
    <t>P77737_oppF</t>
  </si>
  <si>
    <t>P77739_yniA</t>
  </si>
  <si>
    <t>P77748_ydiJ</t>
  </si>
  <si>
    <t>P77754_spy</t>
  </si>
  <si>
    <t>P77756_queC</t>
  </si>
  <si>
    <t>P77774_bamB</t>
  </si>
  <si>
    <t>P77775_yfcH</t>
  </si>
  <si>
    <t>P77783_ynfF</t>
  </si>
  <si>
    <t>P77791_maa</t>
  </si>
  <si>
    <t>P77804_ydgA</t>
  </si>
  <si>
    <t>P77808_yfaY</t>
  </si>
  <si>
    <t>P78055_fsaA</t>
  </si>
  <si>
    <t>P78067_ynjE</t>
  </si>
  <si>
    <t>P80668_feaB</t>
  </si>
  <si>
    <t>Q2M7R5_yibT</t>
  </si>
  <si>
    <t>Q2MB16_yobH</t>
  </si>
  <si>
    <t>Q46799_xdhA</t>
  </si>
  <si>
    <t>Q46801_xdhC</t>
  </si>
  <si>
    <t>Q46803_ygeW</t>
  </si>
  <si>
    <t>Q46807_yqeA</t>
  </si>
  <si>
    <t>Q46811_ygfK</t>
  </si>
  <si>
    <t>Q46814_xdhD</t>
  </si>
  <si>
    <t>Q46822_idi</t>
  </si>
  <si>
    <t>Q46829_bglA</t>
  </si>
  <si>
    <t>Q46845_yghU</t>
  </si>
  <si>
    <t>Q46851_gpr</t>
  </si>
  <si>
    <t>Q46856_yqhD</t>
  </si>
  <si>
    <t>Q46857_dkgA</t>
  </si>
  <si>
    <t>Q46863_ygiS</t>
  </si>
  <si>
    <t>Q46864_mqsA</t>
  </si>
  <si>
    <t>Q46868_yqiC</t>
  </si>
  <si>
    <t>Q46871_yqjH</t>
  </si>
  <si>
    <t>Q46893_ispD</t>
  </si>
  <si>
    <t>Q46920_queF</t>
  </si>
  <si>
    <t>Q46938_kduI</t>
  </si>
  <si>
    <t>Q46948_yajL</t>
  </si>
  <si>
    <t>Q47146_fadE</t>
  </si>
  <si>
    <t>Q47147_yafJ</t>
  </si>
  <si>
    <t>Q47150_dinJ</t>
  </si>
  <si>
    <t>Q47157_yafO</t>
  </si>
  <si>
    <t>Q47622_sapA</t>
  </si>
  <si>
    <t>Q47679_yafV</t>
  </si>
  <si>
    <t>Q47690_mmuM</t>
  </si>
  <si>
    <t>Q57261_truD</t>
  </si>
  <si>
    <t>Q59385_copA</t>
  </si>
  <si>
    <t>Q93K97_nudF</t>
  </si>
  <si>
    <t>Q9LBU0_kgtP</t>
  </si>
  <si>
    <t>Q9LBU5_yrdA</t>
  </si>
  <si>
    <t>Q9LBV1_mobB</t>
  </si>
  <si>
    <t>Melting_Curves/meltCurve_G0ZKW2_lacZ.pdf</t>
  </si>
  <si>
    <t>Melting_Curves/meltCurve_P00350_gnd.pdf</t>
  </si>
  <si>
    <t>Melting_Curves/meltCurve_P00363_frdA.pdf</t>
  </si>
  <si>
    <t>Melting_Curves/meltCurve_P00370_gdhA.pdf</t>
  </si>
  <si>
    <t>Melting_Curves/meltCurve_P00393_ndh.pdf</t>
  </si>
  <si>
    <t>Melting_Curves/meltCurve_P00448_sodA.pdf</t>
  </si>
  <si>
    <t>Melting_Curves/meltCurve_P00452_nrdA.pdf</t>
  </si>
  <si>
    <t>Melting_Curves/meltCurve_P00490_malP.pdf</t>
  </si>
  <si>
    <t>Melting_Curves/meltCurve_P00509_aspC.pdf</t>
  </si>
  <si>
    <t>Melting_Curves/meltCurve_P00547_thrB.pdf</t>
  </si>
  <si>
    <t>Melting_Curves/meltCurve_P00550_mtlA.pdf</t>
  </si>
  <si>
    <t>Melting_Curves/meltCurve_P00561_thrA.pdf</t>
  </si>
  <si>
    <t>Melting_Curves/meltCurve_P00579_rpoD.pdf</t>
  </si>
  <si>
    <t>Melting_Curves/meltCurve_P00582_polA.pdf</t>
  </si>
  <si>
    <t>Melting_Curves/meltCurve_P00634_phoA.pdf</t>
  </si>
  <si>
    <t>Melting_Curves/meltCurve_P00803_lepB.pdf</t>
  </si>
  <si>
    <t>Melting_Curves/meltCurve_P00805_ansB.pdf</t>
  </si>
  <si>
    <t>Melting_Curves/meltCurve_P00811_ampC.pdf</t>
  </si>
  <si>
    <t>Melting_Curves/meltCurve_P00864_ppc.pdf</t>
  </si>
  <si>
    <t>Melting_Curves/meltCurve_P00895_trpE.pdf</t>
  </si>
  <si>
    <t>Melting_Curves/meltCurve_P00904_trpGD.pdf</t>
  </si>
  <si>
    <t>Melting_Curves/meltCurve_P00909_trpC.pdf</t>
  </si>
  <si>
    <t>Melting_Curves/meltCurve_P00926_dsdA.pdf</t>
  </si>
  <si>
    <t>Melting_Curves/meltCurve_P00934_thrC.pdf</t>
  </si>
  <si>
    <t>Melting_Curves/meltCurve_P00935_metB.pdf</t>
  </si>
  <si>
    <t>Melting_Curves/meltCurve_P00946_manA.pdf</t>
  </si>
  <si>
    <t>Melting_Curves/meltCurve_P00954_trpS.pdf</t>
  </si>
  <si>
    <t>Melting_Curves/meltCurve_P00956_ileS.pdf</t>
  </si>
  <si>
    <t>Melting_Curves/meltCurve_P00957_alaS.pdf</t>
  </si>
  <si>
    <t>Melting_Curves/meltCurve_P00959_metG.pdf</t>
  </si>
  <si>
    <t>Melting_Curves/meltCurve_P00960_glyQ.pdf</t>
  </si>
  <si>
    <t>Melting_Curves/meltCurve_P00961_glyS.pdf</t>
  </si>
  <si>
    <t>Melting_Curves/meltCurve_P00962_glnS.pdf</t>
  </si>
  <si>
    <t>Melting_Curves/meltCurve_P02358_rpsF.pdf</t>
  </si>
  <si>
    <t>Melting_Curves/meltCurve_P02359_rpsG.pdf</t>
  </si>
  <si>
    <t>Melting_Curves/meltCurve_P02413_rplO.pdf</t>
  </si>
  <si>
    <t>Melting_Curves/meltCurve_P02916_malF.pdf</t>
  </si>
  <si>
    <t>Melting_Curves/meltCurve_P02918_mrcA.pdf</t>
  </si>
  <si>
    <t>Melting_Curves/meltCurve_P02919_mrcB.pdf</t>
  </si>
  <si>
    <t>Melting_Curves/meltCurve_P02924_araF.pdf</t>
  </si>
  <si>
    <t>Melting_Curves/meltCurve_P02925_rbsB.pdf</t>
  </si>
  <si>
    <t>Melting_Curves/meltCurve_P02930_tolC.pdf</t>
  </si>
  <si>
    <t>Melting_Curves/meltCurve_P02931_ompF.pdf</t>
  </si>
  <si>
    <t>Melting_Curves/meltCurve_P02942_tsr.pdf</t>
  </si>
  <si>
    <t>Melting_Curves/meltCurve_P02943_lamB.pdf</t>
  </si>
  <si>
    <t>Melting_Curves/meltCurve_P03813_ygeA.pdf</t>
  </si>
  <si>
    <t>Melting_Curves/meltCurve_P03817_mioC.pdf</t>
  </si>
  <si>
    <t>Melting_Curves/meltCurve_P03841_malM.pdf</t>
  </si>
  <si>
    <t>Melting_Curves/meltCurve_P04036_dapB.pdf</t>
  </si>
  <si>
    <t>Melting_Curves/meltCurve_P04079_guaA.pdf</t>
  </si>
  <si>
    <t>Melting_Curves/meltCurve_P04335_frsA.pdf</t>
  </si>
  <si>
    <t>Melting_Curves/meltCurve_P04425_gshB.pdf</t>
  </si>
  <si>
    <t>Melting_Curves/meltCurve_P04693_tyrB.pdf</t>
  </si>
  <si>
    <t>Melting_Curves/meltCurve_P04805_gltX.pdf</t>
  </si>
  <si>
    <t>Melting_Curves/meltCurve_P04816_livK.pdf</t>
  </si>
  <si>
    <t>Melting_Curves/meltCurve_P04825_pepN.pdf</t>
  </si>
  <si>
    <t>Melting_Curves/meltCurve_P04846_nlpA.pdf</t>
  </si>
  <si>
    <t>Melting_Curves/meltCurve_P04949_fliC.pdf</t>
  </si>
  <si>
    <t>Melting_Curves/meltCurve_P04951_kdsB.pdf</t>
  </si>
  <si>
    <t>Melting_Curves/meltCurve_P04982_rbsD.pdf</t>
  </si>
  <si>
    <t>Melting_Curves/meltCurve_P04983_rbsA.pdf</t>
  </si>
  <si>
    <t>Melting_Curves/meltCurve_P05020_pyrC.pdf</t>
  </si>
  <si>
    <t>Melting_Curves/meltCurve_P05041_pabB.pdf</t>
  </si>
  <si>
    <t>Melting_Curves/meltCurve_P05042_fumC.pdf</t>
  </si>
  <si>
    <t>Melting_Curves/meltCurve_P05055_pnp.pdf</t>
  </si>
  <si>
    <t>Melting_Curves/meltCurve_P05194_aroD.pdf</t>
  </si>
  <si>
    <t>Melting_Curves/meltCurve_P05458_ptrA.pdf</t>
  </si>
  <si>
    <t>Melting_Curves/meltCurve_P05459_pdxB.pdf</t>
  </si>
  <si>
    <t>Melting_Curves/meltCurve_P05637_apaH.pdf</t>
  </si>
  <si>
    <t>Melting_Curves/meltCurve_P05704_trg.pdf</t>
  </si>
  <si>
    <t>Melting_Curves/meltCurve_P05707_srlD.pdf</t>
  </si>
  <si>
    <t>Melting_Curves/meltCurve_P05791_ilvD.pdf</t>
  </si>
  <si>
    <t>Melting_Curves/meltCurve_P05793_ilvC.pdf</t>
  </si>
  <si>
    <t>Melting_Curves/meltCurve_P05804_uidA.pdf</t>
  </si>
  <si>
    <t>Melting_Curves/meltCurve_P06149_dld.pdf</t>
  </si>
  <si>
    <t>Melting_Curves/meltCurve_P06282_cdh.pdf</t>
  </si>
  <si>
    <t>Melting_Curves/meltCurve_P06610_btuE.pdf</t>
  </si>
  <si>
    <t>Melting_Curves/meltCurve_P06612_topA.pdf</t>
  </si>
  <si>
    <t>Melting_Curves/meltCurve_P06616_era.pdf</t>
  </si>
  <si>
    <t>Melting_Curves/meltCurve_P06710_dnaX.pdf</t>
  </si>
  <si>
    <t>Melting_Curves/meltCurve_P06715_gor.pdf</t>
  </si>
  <si>
    <t>Melting_Curves/meltCurve_P06720_melA.pdf</t>
  </si>
  <si>
    <t>Melting_Curves/meltCurve_P06846_ebgR.pdf</t>
  </si>
  <si>
    <t>Melting_Curves/meltCurve_P06959_aceF.pdf</t>
  </si>
  <si>
    <t>Melting_Curves/meltCurve_P06961_cca.pdf</t>
  </si>
  <si>
    <t>Melting_Curves/meltCurve_P06966_dicA.pdf</t>
  </si>
  <si>
    <t>Melting_Curves/meltCurve_P06968_dut.pdf</t>
  </si>
  <si>
    <t>Melting_Curves/meltCurve_P06974_fliM.pdf</t>
  </si>
  <si>
    <t>Melting_Curves/meltCurve_P06983_hemC.pdf</t>
  </si>
  <si>
    <t>Melting_Curves/meltCurve_P06986_hisC.pdf</t>
  </si>
  <si>
    <t>Melting_Curves/meltCurve_P06987_hisB.pdf</t>
  </si>
  <si>
    <t>Melting_Curves/meltCurve_P06988_hisD.pdf</t>
  </si>
  <si>
    <t>Melting_Curves/meltCurve_P06989_hisI.pdf</t>
  </si>
  <si>
    <t>Melting_Curves/meltCurve_P06992_rsmA.pdf</t>
  </si>
  <si>
    <t>Melting_Curves/meltCurve_P06996_ompC.pdf</t>
  </si>
  <si>
    <t>Melting_Curves/meltCurve_P06999_pfkB.pdf</t>
  </si>
  <si>
    <t>Melting_Curves/meltCurve_P07001_pntA.pdf</t>
  </si>
  <si>
    <t>Melting_Curves/meltCurve_P07003_poxB.pdf</t>
  </si>
  <si>
    <t>Melting_Curves/meltCurve_P07004_proA.pdf</t>
  </si>
  <si>
    <t>Melting_Curves/meltCurve_P07012_prfB.pdf</t>
  </si>
  <si>
    <t>Melting_Curves/meltCurve_P07014_sdhB.pdf</t>
  </si>
  <si>
    <t>Melting_Curves/meltCurve_P07017_tar.pdf</t>
  </si>
  <si>
    <t>Melting_Curves/meltCurve_P07018_tap.pdf</t>
  </si>
  <si>
    <t>Melting_Curves/meltCurve_P07023_tyrA.pdf</t>
  </si>
  <si>
    <t>Melting_Curves/meltCurve_P07024_ushA.pdf</t>
  </si>
  <si>
    <t>Melting_Curves/meltCurve_P07102_appA.pdf</t>
  </si>
  <si>
    <t>Melting_Curves/meltCurve_P07117_putP.pdf</t>
  </si>
  <si>
    <t>Melting_Curves/meltCurve_P07118_valS.pdf</t>
  </si>
  <si>
    <t>Melting_Curves/meltCurve_P07330_cheB.pdf</t>
  </si>
  <si>
    <t>Melting_Curves/meltCurve_P07363_cheA.pdf</t>
  </si>
  <si>
    <t>Melting_Curves/meltCurve_P07395_pheT.pdf</t>
  </si>
  <si>
    <t>Melting_Curves/meltCurve_P07604_tyrR.pdf</t>
  </si>
  <si>
    <t>Melting_Curves/meltCurve_P07639_aroB.pdf</t>
  </si>
  <si>
    <t>Melting_Curves/meltCurve_P07650_deoA.pdf</t>
  </si>
  <si>
    <t>Melting_Curves/meltCurve_P07762_glgB.pdf</t>
  </si>
  <si>
    <t>Melting_Curves/meltCurve_P07813_leuS.pdf</t>
  </si>
  <si>
    <t>Melting_Curves/meltCurve_P07822_fhuD.pdf</t>
  </si>
  <si>
    <t>Melting_Curves/meltCurve_P07862_ddlB.pdf</t>
  </si>
  <si>
    <t>Melting_Curves/meltCurve_P07913_tdh.pdf</t>
  </si>
  <si>
    <t>Melting_Curves/meltCurve_P08178_purM.pdf</t>
  </si>
  <si>
    <t>Melting_Curves/meltCurve_P08179_purN.pdf</t>
  </si>
  <si>
    <t>Melting_Curves/meltCurve_P08192_folC.pdf</t>
  </si>
  <si>
    <t>Melting_Curves/meltCurve_P08200_icd.pdf</t>
  </si>
  <si>
    <t>Melting_Curves/meltCurve_P08202_araA.pdf</t>
  </si>
  <si>
    <t>Melting_Curves/meltCurve_P08244_pyrF.pdf</t>
  </si>
  <si>
    <t>Melting_Curves/meltCurve_P08312_pheS.pdf</t>
  </si>
  <si>
    <t>Melting_Curves/meltCurve_P08331_cpdB.pdf</t>
  </si>
  <si>
    <t>Melting_Curves/meltCurve_P08337_mutT.pdf</t>
  </si>
  <si>
    <t>Melting_Curves/meltCurve_P08373_murB.pdf</t>
  </si>
  <si>
    <t>Melting_Curves/meltCurve_P08390_usg.pdf</t>
  </si>
  <si>
    <t>Melting_Curves/meltCurve_P08395_sppA.pdf</t>
  </si>
  <si>
    <t>Melting_Curves/meltCurve_P08506_dacC.pdf</t>
  </si>
  <si>
    <t>Melting_Curves/meltCurve_P08550_cvpA.pdf</t>
  </si>
  <si>
    <t>Melting_Curves/meltCurve_P08622_dnaJ.pdf</t>
  </si>
  <si>
    <t>Melting_Curves/meltCurve_P08839_ptsI.pdf</t>
  </si>
  <si>
    <t>Melting_Curves/meltCurve_P08956_hsdR.pdf</t>
  </si>
  <si>
    <t>Melting_Curves/meltCurve_P08957_hsdM.pdf</t>
  </si>
  <si>
    <t>Melting_Curves/meltCurve_P08997_aceB.pdf</t>
  </si>
  <si>
    <t>Melting_Curves/meltCurve_P09029_purK.pdf</t>
  </si>
  <si>
    <t>Melting_Curves/meltCurve_P09030_xthA.pdf</t>
  </si>
  <si>
    <t>Melting_Curves/meltCurve_P09127_hemX.pdf</t>
  </si>
  <si>
    <t>Melting_Curves/meltCurve_P09147_galE.pdf</t>
  </si>
  <si>
    <t>Melting_Curves/meltCurve_P09148_galT.pdf</t>
  </si>
  <si>
    <t>Melting_Curves/meltCurve_P09152_narG.pdf</t>
  </si>
  <si>
    <t>Melting_Curves/meltCurve_P09153_tfaE.pdf</t>
  </si>
  <si>
    <t>Melting_Curves/meltCurve_P09155_rnd.pdf</t>
  </si>
  <si>
    <t>Melting_Curves/meltCurve_P09158_speE.pdf</t>
  </si>
  <si>
    <t>Melting_Curves/meltCurve_P09169_ompT.pdf</t>
  </si>
  <si>
    <t>Melting_Curves/meltCurve_P09323_nagE.pdf</t>
  </si>
  <si>
    <t>Melting_Curves/meltCurve_P09372_grpE.pdf</t>
  </si>
  <si>
    <t>Melting_Curves/meltCurve_P09373_pflB.pdf</t>
  </si>
  <si>
    <t>Melting_Curves/meltCurve_P09391_glpG.pdf</t>
  </si>
  <si>
    <t>Melting_Curves/meltCurve_P09394_glpQ.pdf</t>
  </si>
  <si>
    <t>Melting_Curves/meltCurve_P09424_mtlD.pdf</t>
  </si>
  <si>
    <t>Melting_Curves/meltCurve_P09546_putA.pdf</t>
  </si>
  <si>
    <t>Melting_Curves/meltCurve_P09549_dedD.pdf</t>
  </si>
  <si>
    <t>Melting_Curves/meltCurve_P09551_argT.pdf</t>
  </si>
  <si>
    <t>Melting_Curves/meltCurve_P09831_gltB.pdf</t>
  </si>
  <si>
    <t>Melting_Curves/meltCurve_P09832_gltD.pdf</t>
  </si>
  <si>
    <t>Melting_Curves/meltCurve_P09833_modC.pdf</t>
  </si>
  <si>
    <t>Melting_Curves/meltCurve_P0A698_uvrA.pdf</t>
  </si>
  <si>
    <t>Melting_Curves/meltCurve_P0A6A3_ackA.pdf</t>
  </si>
  <si>
    <t>Melting_Curves/meltCurve_P0A6A8_acpP.pdf</t>
  </si>
  <si>
    <t>Melting_Curves/meltCurve_P0A6B4_alr.pdf</t>
  </si>
  <si>
    <t>Melting_Curves/meltCurve_P0A6B7_iscS.pdf</t>
  </si>
  <si>
    <t>Melting_Curves/meltCurve_P0A6C1_nfo.pdf</t>
  </si>
  <si>
    <t>Melting_Curves/meltCurve_P0A6D0_argR.pdf</t>
  </si>
  <si>
    <t>Melting_Curves/meltCurve_P0A6D3_aroA.pdf</t>
  </si>
  <si>
    <t>Melting_Curves/meltCurve_P0A6D7_aroK.pdf</t>
  </si>
  <si>
    <t>Melting_Curves/meltCurve_P0A6E1_aroL.pdf</t>
  </si>
  <si>
    <t>Melting_Curves/meltCurve_P0A6E4_argG.pdf</t>
  </si>
  <si>
    <t>Melting_Curves/meltCurve_P0A6E9_bioD2.pdf</t>
  </si>
  <si>
    <t>Melting_Curves/meltCurve_P0A6F1_carA.pdf</t>
  </si>
  <si>
    <t>Melting_Curves/meltCurve_P0A6F3_glpK.pdf</t>
  </si>
  <si>
    <t>Melting_Curves/meltCurve_P0A6F5_groL.pdf</t>
  </si>
  <si>
    <t>Melting_Curves/meltCurve_P0A6F9_groS.pdf</t>
  </si>
  <si>
    <t>Melting_Curves/meltCurve_P0A6G3_pncC.pdf</t>
  </si>
  <si>
    <t>Melting_Curves/meltCurve_P0A6G7_clpP.pdf</t>
  </si>
  <si>
    <t>Melting_Curves/meltCurve_P0A6H1_clpX.pdf</t>
  </si>
  <si>
    <t>Melting_Curves/meltCurve_P0A6H5_hslU.pdf</t>
  </si>
  <si>
    <t>Melting_Curves/meltCurve_P0A6I0_cmk.pdf</t>
  </si>
  <si>
    <t>Melting_Curves/meltCurve_P0A6I3_coaA.pdf</t>
  </si>
  <si>
    <t>Melting_Curves/meltCurve_P0A6I6_coaD.pdf</t>
  </si>
  <si>
    <t>Melting_Curves/meltCurve_P0A6I9_coaE.pdf</t>
  </si>
  <si>
    <t>Melting_Curves/meltCurve_P0A6J3_cysZ.pdf</t>
  </si>
  <si>
    <t>Melting_Curves/meltCurve_P0A6J5_dadA.pdf</t>
  </si>
  <si>
    <t>Melting_Curves/meltCurve_P0A6J8_ddlA.pdf</t>
  </si>
  <si>
    <t>Melting_Curves/meltCurve_P0A6K1_dapF.pdf</t>
  </si>
  <si>
    <t>Melting_Curves/meltCurve_P0A6K3_def.pdf</t>
  </si>
  <si>
    <t>Melting_Curves/meltCurve_P0A6K6_deoB.pdf</t>
  </si>
  <si>
    <t>Melting_Curves/meltCurve_P0A6L0_deoC.pdf</t>
  </si>
  <si>
    <t>Melting_Curves/meltCurve_P0A6L2_dapA.pdf</t>
  </si>
  <si>
    <t>Melting_Curves/meltCurve_P0A6L7_uxaB.pdf</t>
  </si>
  <si>
    <t>Melting_Curves/meltCurve_P0A6L9_hscB.pdf</t>
  </si>
  <si>
    <t>Melting_Curves/meltCurve_P0A6M4_dtd.pdf</t>
  </si>
  <si>
    <t>Melting_Curves/meltCurve_P0A6M8_fusA.pdf</t>
  </si>
  <si>
    <t>Melting_Curves/meltCurve_P0A6N4_efp.pdf</t>
  </si>
  <si>
    <t>Melting_Curves/meltCurve_P0A6N8_yeiP.pdf</t>
  </si>
  <si>
    <t>Melting_Curves/meltCurve_P0A6P1_tsf.pdf</t>
  </si>
  <si>
    <t>Melting_Curves/meltCurve_P0A6P5_der.pdf</t>
  </si>
  <si>
    <t>Melting_Curves/meltCurve_P0A6P7_engB.pdf</t>
  </si>
  <si>
    <t>Melting_Curves/meltCurve_P0A6P9_eno.pdf</t>
  </si>
  <si>
    <t>Melting_Curves/meltCurve_P0A6Q3_fabA.pdf</t>
  </si>
  <si>
    <t>Melting_Curves/meltCurve_P0A6Q6_fabZ.pdf</t>
  </si>
  <si>
    <t>Melting_Curves/meltCurve_P0A6R0_fabH.pdf</t>
  </si>
  <si>
    <t>Melting_Curves/meltCurve_P0A6S0_flgH.pdf</t>
  </si>
  <si>
    <t>Melting_Curves/meltCurve_P0A6S7_gpsA.pdf</t>
  </si>
  <si>
    <t>Melting_Curves/meltCurve_P0A6T1_pgi.pdf</t>
  </si>
  <si>
    <t>Melting_Curves/meltCurve_P0A6T3_galK.pdf</t>
  </si>
  <si>
    <t>Melting_Curves/meltCurve_P0A6T5_folE.pdf</t>
  </si>
  <si>
    <t>Melting_Curves/meltCurve_P0A6T9_gcvH.pdf</t>
  </si>
  <si>
    <t>Melting_Curves/meltCurve_P0A6U5_rsmG.pdf</t>
  </si>
  <si>
    <t>Melting_Curves/meltCurve_P0A6U8_glgA.pdf</t>
  </si>
  <si>
    <t>Melting_Curves/meltCurve_P0A6V1_glgC.pdf</t>
  </si>
  <si>
    <t>Melting_Curves/meltCurve_P0A6V8_glk.pdf</t>
  </si>
  <si>
    <t>Melting_Curves/meltCurve_P0A6W3_mraY.pdf</t>
  </si>
  <si>
    <t>Melting_Curves/meltCurve_P0A6W5_greA.pdf</t>
  </si>
  <si>
    <t>Melting_Curves/meltCurve_P0A6W9_gshA.pdf</t>
  </si>
  <si>
    <t>Melting_Curves/meltCurve_P0A6X3_hfq.pdf</t>
  </si>
  <si>
    <t>Melting_Curves/meltCurve_P0A6X7_ihfA.pdf</t>
  </si>
  <si>
    <t>Melting_Curves/meltCurve_P0A6Y1_ihfB.pdf</t>
  </si>
  <si>
    <t>Melting_Curves/meltCurve_P0A6Y5_hslO.pdf</t>
  </si>
  <si>
    <t>Melting_Curves/meltCurve_P0A6Y8_dnaK.pdf</t>
  </si>
  <si>
    <t>Melting_Curves/meltCurve_P0A6Z1_hscA.pdf</t>
  </si>
  <si>
    <t>Melting_Curves/meltCurve_P0A6Z3_htpG.pdf</t>
  </si>
  <si>
    <t>Melting_Curves/meltCurve_P0A705_infB.pdf</t>
  </si>
  <si>
    <t>Melting_Curves/meltCurve_P0A707_infC.pdf</t>
  </si>
  <si>
    <t>Melting_Curves/meltCurve_P0A715_kdsA.pdf</t>
  </si>
  <si>
    <t>Melting_Curves/meltCurve_P0A717_prs.pdf</t>
  </si>
  <si>
    <t>Melting_Curves/meltCurve_P0A720_tmk.pdf</t>
  </si>
  <si>
    <t>Melting_Curves/meltCurve_P0A722_lpxA.pdf</t>
  </si>
  <si>
    <t>Melting_Curves/meltCurve_P0A725_lpxC.pdf</t>
  </si>
  <si>
    <t>Melting_Curves/meltCurve_P0A729_yceF.pdf</t>
  </si>
  <si>
    <t>Melting_Curves/meltCurve_P0A731_mgsA.pdf</t>
  </si>
  <si>
    <t>Melting_Curves/meltCurve_P0A734_minE.pdf</t>
  </si>
  <si>
    <t>Melting_Curves/meltCurve_P0A738_moaC.pdf</t>
  </si>
  <si>
    <t>Melting_Curves/meltCurve_P0A742_mscL.pdf</t>
  </si>
  <si>
    <t>Melting_Curves/meltCurve_P0A744_msrA.pdf</t>
  </si>
  <si>
    <t>Melting_Curves/meltCurve_P0A746_msrB.pdf</t>
  </si>
  <si>
    <t>Melting_Curves/meltCurve_P0A749_murA.pdf</t>
  </si>
  <si>
    <t>Melting_Curves/meltCurve_P0A759_nagB.pdf</t>
  </si>
  <si>
    <t>Melting_Curves/meltCurve_P0A761_nanE.pdf</t>
  </si>
  <si>
    <t>Melting_Curves/meltCurve_P0A763_ndk.pdf</t>
  </si>
  <si>
    <t>Melting_Curves/meltCurve_P0A780_nusB.pdf</t>
  </si>
  <si>
    <t>Melting_Curves/meltCurve_P0A784_orn.pdf</t>
  </si>
  <si>
    <t>Melting_Curves/meltCurve_P0A790_panD.pdf</t>
  </si>
  <si>
    <t>Melting_Curves/meltCurve_P0A794_pdxJ.pdf</t>
  </si>
  <si>
    <t>Melting_Curves/meltCurve_P0A796_pfkA.pdf</t>
  </si>
  <si>
    <t>Melting_Curves/meltCurve_P0A799_pgk.pdf</t>
  </si>
  <si>
    <t>Melting_Curves/meltCurve_P0A7A2_gpmB.pdf</t>
  </si>
  <si>
    <t>Melting_Curves/meltCurve_P0A7A9_ppa.pdf</t>
  </si>
  <si>
    <t>Melting_Curves/meltCurve_P0A7B3_nadK.pdf</t>
  </si>
  <si>
    <t>Melting_Curves/meltCurve_P0A7B5_proB.pdf</t>
  </si>
  <si>
    <t>Melting_Curves/meltCurve_P0A7B8_hslV.pdf</t>
  </si>
  <si>
    <t>Melting_Curves/meltCurve_P0A7C2_lexA.pdf</t>
  </si>
  <si>
    <t>Melting_Curves/meltCurve_P0A7C6_pepE.pdf</t>
  </si>
  <si>
    <t>Melting_Curves/meltCurve_P0A7D1_pth.pdf</t>
  </si>
  <si>
    <t>Melting_Curves/meltCurve_P0A7D4_purA.pdf</t>
  </si>
  <si>
    <t>Melting_Curves/meltCurve_P0A7D7_purC.pdf</t>
  </si>
  <si>
    <t>Melting_Curves/meltCurve_P0A7E1_pyrD.pdf</t>
  </si>
  <si>
    <t>Melting_Curves/meltCurve_P0A7E5_pyrG.pdf</t>
  </si>
  <si>
    <t>Melting_Curves/meltCurve_P0A7E9_pyrH.pdf</t>
  </si>
  <si>
    <t>Melting_Curves/meltCurve_P0A7F3_pyrI.pdf</t>
  </si>
  <si>
    <t>Melting_Curves/meltCurve_P0A7F6_speD.pdf</t>
  </si>
  <si>
    <t>Melting_Curves/meltCurve_P0A7G2_rbfA.pdf</t>
  </si>
  <si>
    <t>Melting_Curves/meltCurve_P0A7G6_recA.pdf</t>
  </si>
  <si>
    <t>Melting_Curves/meltCurve_P0A7H6_recR.pdf</t>
  </si>
  <si>
    <t>Melting_Curves/meltCurve_P0A7I0_prfA.pdf</t>
  </si>
  <si>
    <t>Melting_Curves/meltCurve_P0A7I4_prfC.pdf</t>
  </si>
  <si>
    <t>Melting_Curves/meltCurve_P0A7I7_ribA.pdf</t>
  </si>
  <si>
    <t>Melting_Curves/meltCurve_P0A7J0_ribB.pdf</t>
  </si>
  <si>
    <t>Melting_Curves/meltCurve_P0A7J3_rplJ.pdf</t>
  </si>
  <si>
    <t>Melting_Curves/meltCurve_P0A7J7_rplK.pdf</t>
  </si>
  <si>
    <t>Melting_Curves/meltCurve_P0A7K2_rplL.pdf</t>
  </si>
  <si>
    <t>Melting_Curves/meltCurve_P0A7K6_rplS.pdf</t>
  </si>
  <si>
    <t>Melting_Curves/meltCurve_P0A7L0_rplA.pdf</t>
  </si>
  <si>
    <t>Melting_Curves/meltCurve_P0A7L3_rplT.pdf</t>
  </si>
  <si>
    <t>Melting_Curves/meltCurve_P0A7L8_rpmA.pdf</t>
  </si>
  <si>
    <t>Melting_Curves/meltCurve_P0A7M2_rpmB.pdf</t>
  </si>
  <si>
    <t>Melting_Curves/meltCurve_P0A7M9_rpmE.pdf</t>
  </si>
  <si>
    <t>Melting_Curves/meltCurve_P0A7Q6_rpmJ.pdf</t>
  </si>
  <si>
    <t>Melting_Curves/meltCurve_P0A7R1_rplI.pdf</t>
  </si>
  <si>
    <t>Melting_Curves/meltCurve_P0A7R5_rpsJ.pdf</t>
  </si>
  <si>
    <t>Melting_Curves/meltCurve_P0A7R9_rpsK.pdf</t>
  </si>
  <si>
    <t>Melting_Curves/meltCurve_P0A7S3_rpsL.pdf</t>
  </si>
  <si>
    <t>Melting_Curves/meltCurve_P0A7S9_rpsM.pdf</t>
  </si>
  <si>
    <t>Melting_Curves/meltCurve_P0A7T3_rpsP.pdf</t>
  </si>
  <si>
    <t>Melting_Curves/meltCurve_P0A7T7_rpsR.pdf</t>
  </si>
  <si>
    <t>Melting_Curves/meltCurve_P0A7U3_rpsS.pdf</t>
  </si>
  <si>
    <t>Melting_Curves/meltCurve_P0A7U7_rpsT.pdf</t>
  </si>
  <si>
    <t>Melting_Curves/meltCurve_P0A7V0_rpsB.pdf</t>
  </si>
  <si>
    <t>Melting_Curves/meltCurve_P0A7V3_rpsC.pdf</t>
  </si>
  <si>
    <t>Melting_Curves/meltCurve_P0A7V8_rpsD.pdf</t>
  </si>
  <si>
    <t>Melting_Curves/meltCurve_P0A7W1_rpsE.pdf</t>
  </si>
  <si>
    <t>Melting_Curves/meltCurve_P0A7W7_rpsH.pdf</t>
  </si>
  <si>
    <t>Melting_Curves/meltCurve_P0A7X3_rpsI.pdf</t>
  </si>
  <si>
    <t>Melting_Curves/meltCurve_P0A7X6_rimM.pdf</t>
  </si>
  <si>
    <t>Melting_Curves/meltCurve_P0A7Y0_rnc.pdf</t>
  </si>
  <si>
    <t>Melting_Curves/meltCurve_P0A7Z0_rpiA.pdf</t>
  </si>
  <si>
    <t>Melting_Curves/meltCurve_P0A7Z4_rpoA.pdf</t>
  </si>
  <si>
    <t>Melting_Curves/meltCurve_P0A805_frr.pdf</t>
  </si>
  <si>
    <t>Melting_Curves/meltCurve_P0A809_ruvA.pdf</t>
  </si>
  <si>
    <t>Melting_Curves/meltCurve_P0A817_metK.pdf</t>
  </si>
  <si>
    <t>Melting_Curves/meltCurve_P0A821_selA.pdf</t>
  </si>
  <si>
    <t>Melting_Curves/meltCurve_P0A823_sfsA.pdf</t>
  </si>
  <si>
    <t>Melting_Curves/meltCurve_P0A825_glyA.pdf</t>
  </si>
  <si>
    <t>Melting_Curves/meltCurve_P0A830_dctA.pdf</t>
  </si>
  <si>
    <t>Melting_Curves/meltCurve_P0A832_smpB.pdf</t>
  </si>
  <si>
    <t>Melting_Curves/meltCurve_P0A836_sucC.pdf</t>
  </si>
  <si>
    <t>Melting_Curves/meltCurve_P0A840_surE.pdf</t>
  </si>
  <si>
    <t>Melting_Curves/meltCurve_P0A847_tgt.pdf</t>
  </si>
  <si>
    <t>Melting_Curves/meltCurve_P0A850_tig.pdf</t>
  </si>
  <si>
    <t>Melting_Curves/meltCurve_P0A853_tnaA.pdf</t>
  </si>
  <si>
    <t>Melting_Curves/meltCurve_P0A855_tolB.pdf</t>
  </si>
  <si>
    <t>Melting_Curves/meltCurve_P0A858_tpiA.pdf</t>
  </si>
  <si>
    <t>Melting_Curves/meltCurve_P0A862_tpx.pdf</t>
  </si>
  <si>
    <t>Melting_Curves/meltCurve_P0A867_talA.pdf</t>
  </si>
  <si>
    <t>Melting_Curves/meltCurve_P0A870_talB.pdf</t>
  </si>
  <si>
    <t>Melting_Curves/meltCurve_P0A873_trmD.pdf</t>
  </si>
  <si>
    <t>Melting_Curves/meltCurve_P0A877_trpA.pdf</t>
  </si>
  <si>
    <t>Melting_Curves/meltCurve_P0A879_trpB.pdf</t>
  </si>
  <si>
    <t>Melting_Curves/meltCurve_P0A884_thyA.pdf</t>
  </si>
  <si>
    <t>Melting_Curves/meltCurve_P0A887_ubiE.pdf</t>
  </si>
  <si>
    <t>Melting_Curves/meltCurve_P0A898_ybeY.pdf</t>
  </si>
  <si>
    <t>Melting_Curves/meltCurve_P0A8A0_yebC.pdf</t>
  </si>
  <si>
    <t>Melting_Curves/meltCurve_P0A8A2_yeeN.pdf</t>
  </si>
  <si>
    <t>Melting_Curves/meltCurve_P0A8A4_ppsR.pdf</t>
  </si>
  <si>
    <t>Melting_Curves/meltCurve_P0A8B5_ybaB.pdf</t>
  </si>
  <si>
    <t>Melting_Curves/meltCurve_P0A8C1_ybjQ.pdf</t>
  </si>
  <si>
    <t>Melting_Curves/meltCurve_P0A8D0_nrdR.pdf</t>
  </si>
  <si>
    <t>Melting_Curves/meltCurve_P0A8D3_yaiI.pdf</t>
  </si>
  <si>
    <t>Melting_Curves/meltCurve_P0A8D6_ymdB.pdf</t>
  </si>
  <si>
    <t>Melting_Curves/meltCurve_P0A8E1_ycfP.pdf</t>
  </si>
  <si>
    <t>Melting_Curves/meltCurve_P0A8E5_yacL.pdf</t>
  </si>
  <si>
    <t>Melting_Curves/meltCurve_P0A8E7_yajQ.pdf</t>
  </si>
  <si>
    <t>Melting_Curves/meltCurve_P0A8F0_upp.pdf</t>
  </si>
  <si>
    <t>Melting_Curves/meltCurve_P0A8F4_udk.pdf</t>
  </si>
  <si>
    <t>Melting_Curves/meltCurve_P0A8F8_uvrB.pdf</t>
  </si>
  <si>
    <t>Melting_Curves/meltCurve_P0A8G3_uxaC.pdf</t>
  </si>
  <si>
    <t>Melting_Curves/meltCurve_P0A8G6_wrbA.pdf</t>
  </si>
  <si>
    <t>Melting_Curves/meltCurve_P0A8H6_yihI.pdf</t>
  </si>
  <si>
    <t>Melting_Curves/meltCurve_P0A8I1_yqgF.pdf</t>
  </si>
  <si>
    <t>Melting_Curves/meltCurve_P0A8I3_yaaA.pdf</t>
  </si>
  <si>
    <t>Melting_Curves/meltCurve_P0A8I5_trmB.pdf</t>
  </si>
  <si>
    <t>Melting_Curves/meltCurve_P0A8J8_rhlB.pdf</t>
  </si>
  <si>
    <t>Melting_Curves/meltCurve_P0A8K1_psd.pdf</t>
  </si>
  <si>
    <t>Melting_Curves/meltCurve_P0A8L1_serS.pdf</t>
  </si>
  <si>
    <t>Melting_Curves/meltCurve_P0A8M0_asnS.pdf</t>
  </si>
  <si>
    <t>Melting_Curves/meltCurve_P0A8M3_thrS.pdf</t>
  </si>
  <si>
    <t>Melting_Curves/meltCurve_P0A8M6_yeeX.pdf</t>
  </si>
  <si>
    <t>Melting_Curves/meltCurve_P0A8N0_matP.pdf</t>
  </si>
  <si>
    <t>Melting_Curves/meltCurve_P0A8N3_lysS.pdf</t>
  </si>
  <si>
    <t>Melting_Curves/meltCurve_P0A8N5_lysU.pdf</t>
  </si>
  <si>
    <t>Melting_Curves/meltCurve_P0A8P3_yggX.pdf</t>
  </si>
  <si>
    <t>Melting_Curves/meltCurve_P0A8Q0_frdC.pdf</t>
  </si>
  <si>
    <t>Melting_Curves/meltCurve_P0A8Q3_frdD.pdf</t>
  </si>
  <si>
    <t>Melting_Curves/meltCurve_P0A8R0_rraA.pdf</t>
  </si>
  <si>
    <t>Melting_Curves/meltCurve_P0A8R4_slyX.pdf</t>
  </si>
  <si>
    <t>Melting_Curves/meltCurve_P0A8R7_ycjF.pdf</t>
  </si>
  <si>
    <t>Melting_Curves/meltCurve_P0A8S1_argP.pdf</t>
  </si>
  <si>
    <t>Melting_Curves/meltCurve_P0A8T1_prmA.pdf</t>
  </si>
  <si>
    <t>Melting_Curves/meltCurve_P0A8T7_rpoC.pdf</t>
  </si>
  <si>
    <t>Melting_Curves/meltCurve_P0A8U0_syd.pdf</t>
  </si>
  <si>
    <t>Melting_Curves/meltCurve_P0A8U2_yafD.pdf</t>
  </si>
  <si>
    <t>Melting_Curves/meltCurve_P0A8U6_metJ.pdf</t>
  </si>
  <si>
    <t>Melting_Curves/meltCurve_P0A8V0_rbn.pdf</t>
  </si>
  <si>
    <t>Melting_Curves/meltCurve_P0A8V2_rpoB.pdf</t>
  </si>
  <si>
    <t>Melting_Curves/meltCurve_P0A8V6_fadR.pdf</t>
  </si>
  <si>
    <t>Melting_Curves/meltCurve_P0A8W0_nanR.pdf</t>
  </si>
  <si>
    <t>Melting_Curves/meltCurve_P0A8W2_slyA.pdf</t>
  </si>
  <si>
    <t>Melting_Curves/meltCurve_P0A8W5_yqgE.pdf</t>
  </si>
  <si>
    <t>Melting_Curves/meltCurve_P0A8W8_yfbU.pdf</t>
  </si>
  <si>
    <t>Melting_Curves/meltCurve_P0A8X0_yjgA.pdf</t>
  </si>
  <si>
    <t>Melting_Curves/meltCurve_P0A8X2_yceI.pdf</t>
  </si>
  <si>
    <t>Melting_Curves/meltCurve_P0A8Y3_yihX.pdf</t>
  </si>
  <si>
    <t>Melting_Curves/meltCurve_P0A8Y5_yidA.pdf</t>
  </si>
  <si>
    <t>Melting_Curves/meltCurve_P0A8Z0_yciA.pdf</t>
  </si>
  <si>
    <t>Melting_Curves/meltCurve_P0A901_blc.pdf</t>
  </si>
  <si>
    <t>Melting_Curves/meltCurve_P0A903_bamC.pdf</t>
  </si>
  <si>
    <t>Melting_Curves/meltCurve_P0A905_slyB.pdf</t>
  </si>
  <si>
    <t>Melting_Curves/meltCurve_P0A910_ompA.pdf</t>
  </si>
  <si>
    <t>Melting_Curves/meltCurve_P0A912_pal.pdf</t>
  </si>
  <si>
    <t>Melting_Curves/meltCurve_P0A915_ompW.pdf</t>
  </si>
  <si>
    <t>Melting_Curves/meltCurve_P0A917_ompX.pdf</t>
  </si>
  <si>
    <t>Melting_Curves/meltCurve_P0A927_tsx.pdf</t>
  </si>
  <si>
    <t>Melting_Curves/meltCurve_P0A937_bamE.pdf</t>
  </si>
  <si>
    <t>Melting_Curves/meltCurve_P0A940_bamA.pdf</t>
  </si>
  <si>
    <t>Melting_Curves/meltCurve_P0A948_rimJ.pdf</t>
  </si>
  <si>
    <t>Melting_Curves/meltCurve_P0A953_fabB.pdf</t>
  </si>
  <si>
    <t>Melting_Curves/meltCurve_P0A955_eda.pdf</t>
  </si>
  <si>
    <t>Melting_Curves/meltCurve_P0A962_ansA.pdf</t>
  </si>
  <si>
    <t>Melting_Curves/meltCurve_P0A964_cheW.pdf</t>
  </si>
  <si>
    <t>Melting_Curves/meltCurve_P0A972_cspE.pdf</t>
  </si>
  <si>
    <t>Melting_Curves/meltCurve_P0A988_dnaN.pdf</t>
  </si>
  <si>
    <t>Melting_Curves/meltCurve_P0A991_fbaB.pdf</t>
  </si>
  <si>
    <t>Melting_Curves/meltCurve_P0A993_fbp.pdf</t>
  </si>
  <si>
    <t>Melting_Curves/meltCurve_P0A998_ftnA.pdf</t>
  </si>
  <si>
    <t>Melting_Curves/meltCurve_P0A9A6_ftsZ.pdf</t>
  </si>
  <si>
    <t>Melting_Curves/meltCurve_P0A9A9_fur.pdf</t>
  </si>
  <si>
    <t>Melting_Curves/meltCurve_P0A9B2_gapA.pdf</t>
  </si>
  <si>
    <t>Melting_Curves/meltCurve_P0A9B6_epd.pdf</t>
  </si>
  <si>
    <t>Melting_Curves/meltCurve_P0A9C3_galM.pdf</t>
  </si>
  <si>
    <t>Melting_Curves/meltCurve_P0A9C5_glnA.pdf</t>
  </si>
  <si>
    <t>Melting_Curves/meltCurve_P0A9C9_glpX.pdf</t>
  </si>
  <si>
    <t>Melting_Curves/meltCurve_P0A9D2_gstA.pdf</t>
  </si>
  <si>
    <t>Melting_Curves/meltCurve_P0A9D4_cysE.pdf</t>
  </si>
  <si>
    <t>Melting_Curves/meltCurve_P0A9D8_dapD.pdf</t>
  </si>
  <si>
    <t>Melting_Curves/meltCurve_P0A9E5_fnr.pdf</t>
  </si>
  <si>
    <t>Melting_Curves/meltCurve_P0A9F1_mntR.pdf</t>
  </si>
  <si>
    <t>Melting_Curves/meltCurve_P0A9F3_cysB.pdf</t>
  </si>
  <si>
    <t>Melting_Curves/meltCurve_P0A9G6_aceA.pdf</t>
  </si>
  <si>
    <t>Melting_Curves/meltCurve_P0A9G8_modE.pdf</t>
  </si>
  <si>
    <t>Melting_Curves/meltCurve_P0A9H1_mug.pdf</t>
  </si>
  <si>
    <t>Melting_Curves/meltCurve_P0A9H5_btuR.pdf</t>
  </si>
  <si>
    <t>Melting_Curves/meltCurve_P0A9H9_cheZ.pdf</t>
  </si>
  <si>
    <t>Melting_Curves/meltCurve_P0A9J0_rng.pdf</t>
  </si>
  <si>
    <t>Melting_Curves/meltCurve_P0A9J6_rbsK.pdf</t>
  </si>
  <si>
    <t>Melting_Curves/meltCurve_P0A9J8_pheA.pdf</t>
  </si>
  <si>
    <t>Melting_Curves/meltCurve_P0A9K3_ybeZ.pdf</t>
  </si>
  <si>
    <t>Melting_Curves/meltCurve_P0A9K7_phoU.pdf</t>
  </si>
  <si>
    <t>Melting_Curves/meltCurve_P0A9K9_slyD.pdf</t>
  </si>
  <si>
    <t>Melting_Curves/meltCurve_P0A9L3_fklB.pdf</t>
  </si>
  <si>
    <t>Melting_Curves/meltCurve_P0A9L5_ppiC.pdf</t>
  </si>
  <si>
    <t>Melting_Curves/meltCurve_P0A9L8_proC.pdf</t>
  </si>
  <si>
    <t>Melting_Curves/meltCurve_P0A9M0_lon.pdf</t>
  </si>
  <si>
    <t>Melting_Curves/meltCurve_P0A9M2_hpt.pdf</t>
  </si>
  <si>
    <t>Melting_Curves/meltCurve_P0A9M5_gpt.pdf</t>
  </si>
  <si>
    <t>Melting_Curves/meltCurve_P0A9M8_pta.pdf</t>
  </si>
  <si>
    <t>Melting_Curves/meltCurve_P0A9N0_ptsO.pdf</t>
  </si>
  <si>
    <t>Melting_Curves/meltCurve_P0A9N4_pflA.pdf</t>
  </si>
  <si>
    <t>Melting_Curves/meltCurve_P0A9P0_lpdA.pdf</t>
  </si>
  <si>
    <t>Melting_Curves/meltCurve_P0A9P4_trxB.pdf</t>
  </si>
  <si>
    <t>Melting_Curves/meltCurve_P0A9Q1_arcA.pdf</t>
  </si>
  <si>
    <t>Melting_Curves/meltCurve_P0A9Q5_accD.pdf</t>
  </si>
  <si>
    <t>Melting_Curves/meltCurve_P0A9Q7_adhE.pdf</t>
  </si>
  <si>
    <t>Melting_Curves/meltCurve_P0A9Q9_asd.pdf</t>
  </si>
  <si>
    <t>Melting_Curves/meltCurve_P0A9R4_fdx.pdf</t>
  </si>
  <si>
    <t>Melting_Curves/meltCurve_P0A9R7_ftsE.pdf</t>
  </si>
  <si>
    <t>Melting_Curves/meltCurve_P0A9S1_fucO.pdf</t>
  </si>
  <si>
    <t>Melting_Curves/meltCurve_P0A9S3_gatD.pdf</t>
  </si>
  <si>
    <t>Melting_Curves/meltCurve_P0A9S5_gldA.pdf</t>
  </si>
  <si>
    <t>Melting_Curves/meltCurve_P0A9T0_serA.pdf</t>
  </si>
  <si>
    <t>Melting_Curves/meltCurve_P0A9T4_tas.pdf</t>
  </si>
  <si>
    <t>Melting_Curves/meltCurve_P0A9T8_ybbA.pdf</t>
  </si>
  <si>
    <t>Melting_Curves/meltCurve_P0A9U3_ybiT.pdf</t>
  </si>
  <si>
    <t>Melting_Curves/meltCurve_P0A9U6_puuR.pdf</t>
  </si>
  <si>
    <t>Melting_Curves/meltCurve_P0A9V1_lptB.pdf</t>
  </si>
  <si>
    <t>Melting_Curves/meltCurve_P0A9V5_yiaG.pdf</t>
  </si>
  <si>
    <t>Melting_Curves/meltCurve_P0A9W0_ulaR.pdf</t>
  </si>
  <si>
    <t>Melting_Curves/meltCurve_P0A9W3_ettA.pdf</t>
  </si>
  <si>
    <t>Melting_Curves/meltCurve_P0A9W6_ibaG.pdf</t>
  </si>
  <si>
    <t>Melting_Curves/meltCurve_P0A9X4_mreB.pdf</t>
  </si>
  <si>
    <t>Melting_Curves/meltCurve_P0A9X9_cspA.pdf</t>
  </si>
  <si>
    <t>Melting_Curves/meltCurve_P0A9Y6_cspC.pdf</t>
  </si>
  <si>
    <t>Melting_Curves/meltCurve_P0A9Z1_glnB.pdf</t>
  </si>
  <si>
    <t>Melting_Curves/meltCurve_P0AA04_ptsH.pdf</t>
  </si>
  <si>
    <t>Melting_Curves/meltCurve_P0AA10_rplM.pdf</t>
  </si>
  <si>
    <t>Melting_Curves/meltCurve_P0AA16_ompR.pdf</t>
  </si>
  <si>
    <t>Melting_Curves/meltCurve_P0AA25_trxA.pdf</t>
  </si>
  <si>
    <t>Melting_Curves/meltCurve_P0AA37_rluA.pdf</t>
  </si>
  <si>
    <t>Melting_Curves/meltCurve_P0AA39_rluC.pdf</t>
  </si>
  <si>
    <t>Melting_Curves/meltCurve_P0AA43_rsuA.pdf</t>
  </si>
  <si>
    <t>Melting_Curves/meltCurve_P0AA53_qmcA.pdf</t>
  </si>
  <si>
    <t>Melting_Curves/meltCurve_P0AA57_yobA.pdf</t>
  </si>
  <si>
    <t>Melting_Curves/meltCurve_P0AA91_yeaY.pdf</t>
  </si>
  <si>
    <t>Melting_Curves/meltCurve_P0AAA1_yagU.pdf</t>
  </si>
  <si>
    <t>Melting_Curves/meltCurve_P0AAB4_ubiD.pdf</t>
  </si>
  <si>
    <t>Melting_Curves/meltCurve_P0AAB6_galF.pdf</t>
  </si>
  <si>
    <t>Melting_Curves/meltCurve_P0AAB8_uspD.pdf</t>
  </si>
  <si>
    <t>Melting_Curves/meltCurve_P0AAC0_uspE.pdf</t>
  </si>
  <si>
    <t>Melting_Curves/meltCurve_P0AAC4_ybhL.pdf</t>
  </si>
  <si>
    <t>Melting_Curves/meltCurve_P0AAC8_iscA.pdf</t>
  </si>
  <si>
    <t>Melting_Curves/meltCurve_P0AAE0_cycA.pdf</t>
  </si>
  <si>
    <t>Melting_Curves/meltCurve_P0AAF6_artP.pdf</t>
  </si>
  <si>
    <t>Melting_Curves/meltCurve_P0AAG0_dppD.pdf</t>
  </si>
  <si>
    <t>Melting_Curves/meltCurve_P0AAH8_sapF.pdf</t>
  </si>
  <si>
    <t>Melting_Curves/meltCurve_P0AAI3_ftsH.pdf</t>
  </si>
  <si>
    <t>Melting_Curves/meltCurve_P0AAI5_fabF.pdf</t>
  </si>
  <si>
    <t>Melting_Curves/meltCurve_P0AAI9_fabD.pdf</t>
  </si>
  <si>
    <t>Melting_Curves/meltCurve_P0AAJ1_ynfG.pdf</t>
  </si>
  <si>
    <t>Melting_Curves/meltCurve_P0AAJ5_fdoH.pdf</t>
  </si>
  <si>
    <t>Melting_Curves/meltCurve_P0AAJ8_hybA.pdf</t>
  </si>
  <si>
    <t>Melting_Curves/meltCurve_P0AAN3_hypB.pdf</t>
  </si>
  <si>
    <t>Melting_Curves/meltCurve_P0AAN5_yaiA.pdf</t>
  </si>
  <si>
    <t>Melting_Curves/meltCurve_P0AAN9_iraP.pdf</t>
  </si>
  <si>
    <t>Melting_Curves/meltCurve_P0AAP3_frmR.pdf</t>
  </si>
  <si>
    <t>Melting_Curves/meltCurve_P0AAQ2_yajD.pdf</t>
  </si>
  <si>
    <t>Melting_Curves/meltCurve_P0AAQ6_ybaA.pdf</t>
  </si>
  <si>
    <t>Melting_Curves/meltCurve_P0AAR3_ybaK.pdf</t>
  </si>
  <si>
    <t>Melting_Curves/meltCurve_P0AAS0_ylaC.pdf</t>
  </si>
  <si>
    <t>Melting_Curves/meltCurve_P0AAS3_ybbJ.pdf</t>
  </si>
  <si>
    <t>Melting_Curves/meltCurve_P0AAS7_ybcJ.pdf</t>
  </si>
  <si>
    <t>Melting_Curves/meltCurve_P0AAT2_ybdF.pdf</t>
  </si>
  <si>
    <t>Melting_Curves/meltCurve_P0AAT9_ybeL.pdf</t>
  </si>
  <si>
    <t>Melting_Curves/meltCurve_P0AAV0_ybgE.pdf</t>
  </si>
  <si>
    <t>Melting_Curves/meltCurve_P0AAV4_ybgJ.pdf</t>
  </si>
  <si>
    <t>Melting_Curves/meltCurve_P0AAV6_ybgS.pdf</t>
  </si>
  <si>
    <t>Melting_Curves/meltCurve_P0AAW1_ybhP.pdf</t>
  </si>
  <si>
    <t>Melting_Curves/meltCurve_P0AAX8_ybiS.pdf</t>
  </si>
  <si>
    <t>Melting_Curves/meltCurve_P0AAZ7_ycaR.pdf</t>
  </si>
  <si>
    <t>Melting_Curves/meltCurve_P0AB12_yccF.pdf</t>
  </si>
  <si>
    <t>Melting_Curves/meltCurve_P0AB18_tusE.pdf</t>
  </si>
  <si>
    <t>Melting_Curves/meltCurve_P0AB20_hspQ.pdf</t>
  </si>
  <si>
    <t>Melting_Curves/meltCurve_P0AB24_efeO.pdf</t>
  </si>
  <si>
    <t>Melting_Curves/meltCurve_P0AB26_yceB.pdf</t>
  </si>
  <si>
    <t>Melting_Curves/meltCurve_P0AB28_yceD.pdf</t>
  </si>
  <si>
    <t>Melting_Curves/meltCurve_P0AB38_lpoB.pdf</t>
  </si>
  <si>
    <t>Melting_Curves/meltCurve_P0AB43_ycgL.pdf</t>
  </si>
  <si>
    <t>Melting_Curves/meltCurve_P0AB55_yciI.pdf</t>
  </si>
  <si>
    <t>Melting_Curves/meltCurve_P0AB61_yciN.pdf</t>
  </si>
  <si>
    <t>Melting_Curves/meltCurve_P0AB65_yccX.pdf</t>
  </si>
  <si>
    <t>Melting_Curves/meltCurve_P0AB67_pntB.pdf</t>
  </si>
  <si>
    <t>Melting_Curves/meltCurve_P0AB71_fbaA.pdf</t>
  </si>
  <si>
    <t>Melting_Curves/meltCurve_P0AB77_kbl.pdf</t>
  </si>
  <si>
    <t>Melting_Curves/meltCurve_P0AB80_ilvE.pdf</t>
  </si>
  <si>
    <t>Melting_Curves/meltCurve_P0AB85_apbE.pdf</t>
  </si>
  <si>
    <t>Melting_Curves/meltCurve_P0AB89_purB.pdf</t>
  </si>
  <si>
    <t>Melting_Curves/meltCurve_P0AB91_aroG.pdf</t>
  </si>
  <si>
    <t>Melting_Curves/meltCurve_P0AB98_atpB.pdf</t>
  </si>
  <si>
    <t>Melting_Curves/meltCurve_P0ABA0_atpF.pdf</t>
  </si>
  <si>
    <t>Melting_Curves/meltCurve_P0ABA4_atpH.pdf</t>
  </si>
  <si>
    <t>Melting_Curves/meltCurve_P0ABA6_atpG.pdf</t>
  </si>
  <si>
    <t>Melting_Curves/meltCurve_P0ABB0_atpA.pdf</t>
  </si>
  <si>
    <t>Melting_Curves/meltCurve_P0ABB4_atpD.pdf</t>
  </si>
  <si>
    <t>Melting_Curves/meltCurve_P0ABB8_mgtA.pdf</t>
  </si>
  <si>
    <t>Melting_Curves/meltCurve_P0ABC3_hflC.pdf</t>
  </si>
  <si>
    <t>Melting_Curves/meltCurve_P0ABC7_hflK.pdf</t>
  </si>
  <si>
    <t>Melting_Curves/meltCurve_P0ABD3_bfr.pdf</t>
  </si>
  <si>
    <t>Melting_Curves/meltCurve_P0ABD5_accA.pdf</t>
  </si>
  <si>
    <t>Melting_Curves/meltCurve_P0ABD8_accB.pdf</t>
  </si>
  <si>
    <t>Melting_Curves/meltCurve_P0ABE2_bolA.pdf</t>
  </si>
  <si>
    <t>Melting_Curves/meltCurve_P0ABE5_cybB.pdf</t>
  </si>
  <si>
    <t>Melting_Curves/meltCurve_P0ABF1_pcnB.pdf</t>
  </si>
  <si>
    <t>Melting_Curves/meltCurve_P0ABF4_eutM.pdf</t>
  </si>
  <si>
    <t>Melting_Curves/meltCurve_P0ABF6_cdd.pdf</t>
  </si>
  <si>
    <t>Melting_Curves/meltCurve_P0ABF8_pgsA.pdf</t>
  </si>
  <si>
    <t>Melting_Curves/meltCurve_P0ABH0_ftsA.pdf</t>
  </si>
  <si>
    <t>Melting_Curves/meltCurve_P0ABH7_gltA.pdf</t>
  </si>
  <si>
    <t>Melting_Curves/meltCurve_P0ABH9_clpA.pdf</t>
  </si>
  <si>
    <t>Melting_Curves/meltCurve_P0ABI8_cyoB.pdf</t>
  </si>
  <si>
    <t>Melting_Curves/meltCurve_P0ABJ1_cyoA.pdf</t>
  </si>
  <si>
    <t>Melting_Curves/meltCurve_P0ABJ9_cydA.pdf</t>
  </si>
  <si>
    <t>Melting_Curves/meltCurve_P0ABK2_cydB.pdf</t>
  </si>
  <si>
    <t>Melting_Curves/meltCurve_P0ABK5_cysK.pdf</t>
  </si>
  <si>
    <t>Melting_Curves/meltCurve_P0ABL5_napC.pdf</t>
  </si>
  <si>
    <t>Melting_Curves/meltCurve_P0ABN1_dgkA.pdf</t>
  </si>
  <si>
    <t>Melting_Curves/meltCurve_P0ABN5_dcuA.pdf</t>
  </si>
  <si>
    <t>Melting_Curves/meltCurve_P0ABP8_deoD.pdf</t>
  </si>
  <si>
    <t>Melting_Curves/meltCurve_P0ABQ0_coaBC.pdf</t>
  </si>
  <si>
    <t>Melting_Curves/meltCurve_P0ABQ2_garR.pdf</t>
  </si>
  <si>
    <t>Melting_Curves/meltCurve_P0ABQ4_folA.pdf</t>
  </si>
  <si>
    <t>Melting_Curves/meltCurve_P0ABS1_dksA.pdf</t>
  </si>
  <si>
    <t>Melting_Curves/meltCurve_P0ABS5_dnaG.pdf</t>
  </si>
  <si>
    <t>Melting_Curves/meltCurve_P0ABT2_dps.pdf</t>
  </si>
  <si>
    <t>Melting_Curves/meltCurve_P0ABU0_menB.pdf</t>
  </si>
  <si>
    <t>Melting_Curves/meltCurve_P0ABU2_ychF.pdf</t>
  </si>
  <si>
    <t>Melting_Curves/meltCurve_P0ABU5_elbB.pdf</t>
  </si>
  <si>
    <t>Melting_Curves/meltCurve_P0ABU7_exbB.pdf</t>
  </si>
  <si>
    <t>Melting_Curves/meltCurve_P0ABU9_tolQ.pdf</t>
  </si>
  <si>
    <t>Melting_Curves/meltCurve_P0ABV2_exbD.pdf</t>
  </si>
  <si>
    <t>Melting_Curves/meltCurve_P0ABV6_tolR.pdf</t>
  </si>
  <si>
    <t>Melting_Curves/meltCurve_P0ABY4_fldB.pdf</t>
  </si>
  <si>
    <t>Melting_Curves/meltCurve_P0ABZ1_fliG.pdf</t>
  </si>
  <si>
    <t>Melting_Curves/meltCurve_P0ABZ4_kdsC.pdf</t>
  </si>
  <si>
    <t>Melting_Curves/meltCurve_P0ABZ6_surA.pdf</t>
  </si>
  <si>
    <t>Melting_Curves/meltCurve_P0AC02_bamD.pdf</t>
  </si>
  <si>
    <t>Melting_Curves/meltCurve_P0AC13_folP.pdf</t>
  </si>
  <si>
    <t>Melting_Curves/meltCurve_P0AC16_folB.pdf</t>
  </si>
  <si>
    <t>Melting_Curves/meltCurve_P0AC19_folX.pdf</t>
  </si>
  <si>
    <t>Melting_Curves/meltCurve_P0AC23_focA.pdf</t>
  </si>
  <si>
    <t>Melting_Curves/meltCurve_P0AC30_ftsX.pdf</t>
  </si>
  <si>
    <t>Melting_Curves/meltCurve_P0AC33_fumA.pdf</t>
  </si>
  <si>
    <t>Melting_Curves/meltCurve_P0AC38_aspA.pdf</t>
  </si>
  <si>
    <t>Melting_Curves/meltCurve_P0AC41_sdhA.pdf</t>
  </si>
  <si>
    <t>Melting_Curves/meltCurve_P0AC44_sdhD.pdf</t>
  </si>
  <si>
    <t>Melting_Curves/meltCurve_P0AC47_frdB.pdf</t>
  </si>
  <si>
    <t>Melting_Curves/meltCurve_P0AC51_zur.pdf</t>
  </si>
  <si>
    <t>Melting_Curves/meltCurve_P0AC53_zwf.pdf</t>
  </si>
  <si>
    <t>Melting_Curves/meltCurve_P0AC59_grxB.pdf</t>
  </si>
  <si>
    <t>Melting_Curves/meltCurve_P0AC62_grxC.pdf</t>
  </si>
  <si>
    <t>Melting_Curves/meltCurve_P0AC69_grxD.pdf</t>
  </si>
  <si>
    <t>Melting_Curves/meltCurve_P0AC81_gloA.pdf</t>
  </si>
  <si>
    <t>Melting_Curves/meltCurve_P0AC84_gloB.pdf</t>
  </si>
  <si>
    <t>Melting_Curves/meltCurve_P0AC86_glgP.pdf</t>
  </si>
  <si>
    <t>Melting_Curves/meltCurve_P0AC92_gnsA.pdf</t>
  </si>
  <si>
    <t>Melting_Curves/meltCurve_P0ACA1_yibF.pdf</t>
  </si>
  <si>
    <t>Melting_Curves/meltCurve_P0ACA3_sspA.pdf</t>
  </si>
  <si>
    <t>Melting_Curves/meltCurve_P0ACA7_gstB.pdf</t>
  </si>
  <si>
    <t>Melting_Curves/meltCurve_P0ACB0_dnaB.pdf</t>
  </si>
  <si>
    <t>Melting_Curves/meltCurve_P0ACB2_hemB.pdf</t>
  </si>
  <si>
    <t>Melting_Curves/meltCurve_P0ACB7_hemY.pdf</t>
  </si>
  <si>
    <t>Melting_Curves/meltCurve_P0ACC3_erpA.pdf</t>
  </si>
  <si>
    <t>Melting_Curves/meltCurve_P0ACC7_glmU.pdf</t>
  </si>
  <si>
    <t>Melting_Curves/meltCurve_P0ACD4_iscU.pdf</t>
  </si>
  <si>
    <t>Melting_Curves/meltCurve_P0ACD8_hyaB.pdf</t>
  </si>
  <si>
    <t>Melting_Curves/meltCurve_P0ACE0_hybC.pdf</t>
  </si>
  <si>
    <t>Melting_Curves/meltCurve_P0ACE7_hinT.pdf</t>
  </si>
  <si>
    <t>Melting_Curves/meltCurve_P0ACF0_hupA.pdf</t>
  </si>
  <si>
    <t>Melting_Curves/meltCurve_P0ACF4_hupB.pdf</t>
  </si>
  <si>
    <t>Melting_Curves/meltCurve_P0ACF8_hns.pdf</t>
  </si>
  <si>
    <t>Melting_Curves/meltCurve_P0ACG1_stpA.pdf</t>
  </si>
  <si>
    <t>Melting_Curves/meltCurve_P0ACI0_rob.pdf</t>
  </si>
  <si>
    <t>Melting_Curves/meltCurve_P0ACJ0_lrp.pdf</t>
  </si>
  <si>
    <t>Melting_Curves/meltCurve_P0ACJ8_crp.pdf</t>
  </si>
  <si>
    <t>Melting_Curves/meltCurve_P0ACK2_agaR.pdf</t>
  </si>
  <si>
    <t>Melting_Curves/meltCurve_P0ACL2_exuR.pdf</t>
  </si>
  <si>
    <t>Melting_Curves/meltCurve_P0ACM5_yegW.pdf</t>
  </si>
  <si>
    <t>Melting_Curves/meltCurve_P0ACN4_allR.pdf</t>
  </si>
  <si>
    <t>Melting_Curves/meltCurve_P0ACN7_cytR.pdf</t>
  </si>
  <si>
    <t>Melting_Curves/meltCurve_P0ACP5_gntR.pdf</t>
  </si>
  <si>
    <t>Melting_Curves/meltCurve_P0ACP7_purR.pdf</t>
  </si>
  <si>
    <t>Melting_Curves/meltCurve_P0ACQ4_oxyR.pdf</t>
  </si>
  <si>
    <t>Melting_Curves/meltCurve_P0ACR4_yeiE.pdf</t>
  </si>
  <si>
    <t>Melting_Curves/meltCurve_P0ACR9_mprA.pdf</t>
  </si>
  <si>
    <t>Melting_Curves/meltCurve_P0ACS7_rpiR.pdf</t>
  </si>
  <si>
    <t>Melting_Curves/meltCurve_P0ACU7_yjdC.pdf</t>
  </si>
  <si>
    <t>Melting_Curves/meltCurve_P0ACV4_lapA.pdf</t>
  </si>
  <si>
    <t>Melting_Curves/meltCurve_P0ACV6_mpaA.pdf</t>
  </si>
  <si>
    <t>Melting_Curves/meltCurve_P0ACW6_ydcH.pdf</t>
  </si>
  <si>
    <t>Melting_Curves/meltCurve_P0ACX3_ydhR.pdf</t>
  </si>
  <si>
    <t>Melting_Curves/meltCurve_P0ACX5_ydhZ.pdf</t>
  </si>
  <si>
    <t>Melting_Curves/meltCurve_P0ACY1_ydjA.pdf</t>
  </si>
  <si>
    <t>Melting_Curves/meltCurve_P0ACY3_yeaG.pdf</t>
  </si>
  <si>
    <t>Melting_Curves/meltCurve_P0ACZ4_evgA.pdf</t>
  </si>
  <si>
    <t>Melting_Curves/meltCurve_P0AD05_yecA.pdf</t>
  </si>
  <si>
    <t>Melting_Curves/meltCurve_P0AD10_yecJ.pdf</t>
  </si>
  <si>
    <t>Melting_Curves/meltCurve_P0AD12_yeeZ.pdf</t>
  </si>
  <si>
    <t>Melting_Curves/meltCurve_P0AD33_yfcZ.pdf</t>
  </si>
  <si>
    <t>Melting_Curves/meltCurve_P0AD44_yfhG.pdf</t>
  </si>
  <si>
    <t>Melting_Curves/meltCurve_P0AD47_yphA.pdf</t>
  </si>
  <si>
    <t>Melting_Curves/meltCurve_P0AD49_raiA.pdf</t>
  </si>
  <si>
    <t>Melting_Curves/meltCurve_P0AD57_ispB.pdf</t>
  </si>
  <si>
    <t>Melting_Curves/meltCurve_P0AD59_ivy.pdf</t>
  </si>
  <si>
    <t>Melting_Curves/meltCurve_P0AD61_pykF.pdf</t>
  </si>
  <si>
    <t>Melting_Curves/meltCurve_P0AD96_livJ.pdf</t>
  </si>
  <si>
    <t>Melting_Curves/meltCurve_P0ADA1_tesA.pdf</t>
  </si>
  <si>
    <t>Melting_Curves/meltCurve_P0ADA3_nlpD.pdf</t>
  </si>
  <si>
    <t>Melting_Curves/meltCurve_P0ADA5_yajG.pdf</t>
  </si>
  <si>
    <t>Melting_Curves/meltCurve_P0ADB1_osmE.pdf</t>
  </si>
  <si>
    <t>Melting_Curves/meltCurve_P0ADC1_lptE.pdf</t>
  </si>
  <si>
    <t>Melting_Curves/meltCurve_P0ADC3_lolC.pdf</t>
  </si>
  <si>
    <t>Melting_Curves/meltCurve_P0ADE6_ygaU.pdf</t>
  </si>
  <si>
    <t>Melting_Curves/meltCurve_P0ADE8_ygfZ.pdf</t>
  </si>
  <si>
    <t>Melting_Curves/meltCurve_P0ADF8_ilvN.pdf</t>
  </si>
  <si>
    <t>Melting_Curves/meltCurve_P0ADG4_suhB.pdf</t>
  </si>
  <si>
    <t>Melting_Curves/meltCurve_P0ADG7_guaB.pdf</t>
  </si>
  <si>
    <t>Melting_Curves/meltCurve_P0ADI4_entB.pdf</t>
  </si>
  <si>
    <t>Melting_Curves/meltCurve_P0ADI7_yecD.pdf</t>
  </si>
  <si>
    <t>Melting_Curves/meltCurve_P0ADK0_yiaF.pdf</t>
  </si>
  <si>
    <t>Melting_Curves/meltCurve_P0ADK8_yibL.pdf</t>
  </si>
  <si>
    <t>Melting_Curves/meltCurve_P0ADN2_yifE.pdf</t>
  </si>
  <si>
    <t>Melting_Curves/meltCurve_P0ADN6_yifL.pdf</t>
  </si>
  <si>
    <t>Melting_Curves/meltCurve_P0ADP7_ubiJ.pdf</t>
  </si>
  <si>
    <t>Melting_Curves/meltCurve_P0ADP9_yihD.pdf</t>
  </si>
  <si>
    <t>Melting_Curves/meltCurve_P0ADQ7_ygaM.pdf</t>
  </si>
  <si>
    <t>Melting_Curves/meltCurve_P0ADR6_rlmM.pdf</t>
  </si>
  <si>
    <t>Melting_Curves/meltCurve_P0ADR8_ygdH.pdf</t>
  </si>
  <si>
    <t>Melting_Curves/meltCurve_P0ADS2_zapA.pdf</t>
  </si>
  <si>
    <t>Melting_Curves/meltCurve_P0ADS6_yggE.pdf</t>
  </si>
  <si>
    <t>Melting_Curves/meltCurve_P0ADS9_yggN.pdf</t>
  </si>
  <si>
    <t>Melting_Curves/meltCurve_P0ADT2_ygiB.pdf</t>
  </si>
  <si>
    <t>Melting_Curves/meltCurve_P0ADT5_ygiC.pdf</t>
  </si>
  <si>
    <t>Melting_Curves/meltCurve_P0ADT8_ygiM.pdf</t>
  </si>
  <si>
    <t>Melting_Curves/meltCurve_P0ADU2_ygiN.pdf</t>
  </si>
  <si>
    <t>Melting_Curves/meltCurve_P0ADU5_ygiW.pdf</t>
  </si>
  <si>
    <t>Melting_Curves/meltCurve_P0ADV1_lptA.pdf</t>
  </si>
  <si>
    <t>Melting_Curves/meltCurve_P0ADV5_yhbW.pdf</t>
  </si>
  <si>
    <t>Melting_Curves/meltCurve_P0ADV7_mlaC.pdf</t>
  </si>
  <si>
    <t>Melting_Curves/meltCurve_P0ADV9_lptC.pdf</t>
  </si>
  <si>
    <t>Melting_Curves/meltCurve_P0ADW3_yhcB.pdf</t>
  </si>
  <si>
    <t>Melting_Curves/meltCurve_P0ADX1_yhfA.pdf</t>
  </si>
  <si>
    <t>Melting_Curves/meltCurve_P0ADX7_yhhA.pdf</t>
  </si>
  <si>
    <t>Melting_Curves/meltCurve_P0ADY1_ppiD.pdf</t>
  </si>
  <si>
    <t>Melting_Curves/meltCurve_P0ADY3_rplN.pdf</t>
  </si>
  <si>
    <t>Melting_Curves/meltCurve_P0ADY7_rplP.pdf</t>
  </si>
  <si>
    <t>Melting_Curves/meltCurve_P0ADZ0_rplW.pdf</t>
  </si>
  <si>
    <t>Melting_Curves/meltCurve_P0ADZ4_rpsO.pdf</t>
  </si>
  <si>
    <t>Melting_Curves/meltCurve_P0ADZ7_yajC.pdf</t>
  </si>
  <si>
    <t>Melting_Curves/meltCurve_P0AE01_trmJ.pdf</t>
  </si>
  <si>
    <t>Melting_Curves/meltCurve_P0AE06_acrA.pdf</t>
  </si>
  <si>
    <t>Melting_Curves/meltCurve_P0AE08_ahpC.pdf</t>
  </si>
  <si>
    <t>Melting_Curves/meltCurve_P0AE12_amn.pdf</t>
  </si>
  <si>
    <t>Melting_Curves/meltCurve_P0AE18_map.pdf</t>
  </si>
  <si>
    <t>Melting_Curves/meltCurve_P0AE22_aphA.pdf</t>
  </si>
  <si>
    <t>Melting_Curves/meltCurve_P0AE37_astA.pdf</t>
  </si>
  <si>
    <t>Melting_Curves/meltCurve_P0AE48_ytfP.pdf</t>
  </si>
  <si>
    <t>Melting_Curves/meltCurve_P0AE52_bcp.pdf</t>
  </si>
  <si>
    <t>Melting_Curves/meltCurve_P0AE60_cedA.pdf</t>
  </si>
  <si>
    <t>Melting_Curves/meltCurve_P0AE63_chaB.pdf</t>
  </si>
  <si>
    <t>Melting_Curves/meltCurve_P0AE67_cheY.pdf</t>
  </si>
  <si>
    <t>Melting_Curves/meltCurve_P0AE70_mazF.pdf</t>
  </si>
  <si>
    <t>Melting_Curves/meltCurve_P0AE78_corC.pdf</t>
  </si>
  <si>
    <t>Melting_Curves/meltCurve_P0AE82_cpxA.pdf</t>
  </si>
  <si>
    <t>Melting_Curves/meltCurve_P0AE85_cpxP.pdf</t>
  </si>
  <si>
    <t>Melting_Curves/meltCurve_P0AE88_cpxR.pdf</t>
  </si>
  <si>
    <t>Melting_Curves/meltCurve_P0AE91_creA.pdf</t>
  </si>
  <si>
    <t>Melting_Curves/meltCurve_P0AEA8_cysG.pdf</t>
  </si>
  <si>
    <t>Melting_Curves/meltCurve_P0AEB2_dacA.pdf</t>
  </si>
  <si>
    <t>Melting_Curves/meltCurve_P0AEB7_yoaB.pdf</t>
  </si>
  <si>
    <t>Melting_Curves/meltCurve_P0AEC5_barA.pdf</t>
  </si>
  <si>
    <t>Melting_Curves/meltCurve_P0AED0_uspA.pdf</t>
  </si>
  <si>
    <t>Melting_Curves/meltCurve_P0AED7_dapE.pdf</t>
  </si>
  <si>
    <t>Melting_Curves/meltCurve_P0AEE1_dcrB.pdf</t>
  </si>
  <si>
    <t>Melting_Curves/meltCurve_P0AEE3_degS.pdf</t>
  </si>
  <si>
    <t>Melting_Curves/meltCurve_P0AEE5_mglB.pdf</t>
  </si>
  <si>
    <t>Melting_Curves/meltCurve_P0AEG1_dppC.pdf</t>
  </si>
  <si>
    <t>Melting_Curves/meltCurve_P0AEG4_dsbA.pdf</t>
  </si>
  <si>
    <t>Melting_Curves/meltCurve_P0AEG6_dsbC.pdf</t>
  </si>
  <si>
    <t>Melting_Curves/meltCurve_P0AEH1_rseP.pdf</t>
  </si>
  <si>
    <t>Melting_Curves/meltCurve_P0AEH3_elaA.pdf</t>
  </si>
  <si>
    <t>Melting_Curves/meltCurve_P0AEH5_elaB.pdf</t>
  </si>
  <si>
    <t>Melting_Curves/meltCurve_P0AEI1_miaB.pdf</t>
  </si>
  <si>
    <t>Melting_Curves/meltCurve_P0AEI4_rimO.pdf</t>
  </si>
  <si>
    <t>Melting_Curves/meltCurve_P0AEI6_nudJ.pdf</t>
  </si>
  <si>
    <t>Melting_Curves/meltCurve_P0AEJ2_entC.pdf</t>
  </si>
  <si>
    <t>Melting_Curves/meltCurve_P0AEJ4_envZ.pdf</t>
  </si>
  <si>
    <t>Melting_Curves/meltCurve_P0AEJ6_eutB.pdf</t>
  </si>
  <si>
    <t>Melting_Curves/meltCurve_P0AEK2_fabG.pdf</t>
  </si>
  <si>
    <t>Melting_Curves/meltCurve_P0AEK4_fabI.pdf</t>
  </si>
  <si>
    <t>Melting_Curves/meltCurve_P0AEL6_fepB.pdf</t>
  </si>
  <si>
    <t>Melting_Curves/meltCurve_P0AEM4_flgM.pdf</t>
  </si>
  <si>
    <t>Melting_Curves/meltCurve_P0AEM6_fliA.pdf</t>
  </si>
  <si>
    <t>Melting_Curves/meltCurve_P0AEM9_fliY.pdf</t>
  </si>
  <si>
    <t>Melting_Curves/meltCurve_P0AEN1_fre.pdf</t>
  </si>
  <si>
    <t>Melting_Curves/meltCurve_P0AEN8_fucU.pdf</t>
  </si>
  <si>
    <t>Melting_Curves/meltCurve_P0AEP3_galU.pdf</t>
  </si>
  <si>
    <t>Melting_Curves/meltCurve_P0AEP7_gcl.pdf</t>
  </si>
  <si>
    <t>Melting_Curves/meltCurve_P0AEQ1_glcG.pdf</t>
  </si>
  <si>
    <t>Melting_Curves/meltCurve_P0AEQ3_glnH.pdf</t>
  </si>
  <si>
    <t>Melting_Curves/meltCurve_P0AEQ6_glnP.pdf</t>
  </si>
  <si>
    <t>Melting_Curves/meltCurve_P0AER3_gltJ.pdf</t>
  </si>
  <si>
    <t>Melting_Curves/meltCurve_P0AES0_gss.pdf</t>
  </si>
  <si>
    <t>Melting_Curves/meltCurve_P0AES2_gudD.pdf</t>
  </si>
  <si>
    <t>Melting_Curves/meltCurve_P0AES4_gyrA.pdf</t>
  </si>
  <si>
    <t>Melting_Curves/meltCurve_P0AES6_gyrB.pdf</t>
  </si>
  <si>
    <t>Melting_Curves/meltCurve_P0AES9_hdeA.pdf</t>
  </si>
  <si>
    <t>Melting_Curves/meltCurve_P0AET2_hdeB.pdf</t>
  </si>
  <si>
    <t>Melting_Curves/meltCurve_P0AET5_hdeD.pdf</t>
  </si>
  <si>
    <t>Melting_Curves/meltCurve_P0AET8_hdhA.pdf</t>
  </si>
  <si>
    <t>Melting_Curves/meltCurve_P0AEU0_hisJ.pdf</t>
  </si>
  <si>
    <t>Melting_Curves/meltCurve_P0AEU7_skp.pdf</t>
  </si>
  <si>
    <t>Melting_Curves/meltCurve_P0AEV1_rssB.pdf</t>
  </si>
  <si>
    <t>Melting_Curves/meltCurve_P0AEV9_hycI.pdf</t>
  </si>
  <si>
    <t>Melting_Curves/meltCurve_P0AEW4_cpdA.pdf</t>
  </si>
  <si>
    <t>Melting_Curves/meltCurve_P0AEX5_prkB.pdf</t>
  </si>
  <si>
    <t>Melting_Curves/meltCurve_P0AEX9_malE.pdf</t>
  </si>
  <si>
    <t>Melting_Curves/meltCurve_P0AEY1_marC.pdf</t>
  </si>
  <si>
    <t>Melting_Curves/meltCurve_P0AEY3_mazG.pdf</t>
  </si>
  <si>
    <t>Melting_Curves/meltCurve_P0AEY5_mdaB.pdf</t>
  </si>
  <si>
    <t>Melting_Curves/meltCurve_P0AEZ3_minD.pdf</t>
  </si>
  <si>
    <t>Melting_Curves/meltCurve_P0AEZ9_moaB.pdf</t>
  </si>
  <si>
    <t>Melting_Curves/meltCurve_P0AF03_mog.pdf</t>
  </si>
  <si>
    <t>Melting_Curves/meltCurve_P0AF08_mrp.pdf</t>
  </si>
  <si>
    <t>Melting_Curves/meltCurve_P0AF12_mtnN.pdf</t>
  </si>
  <si>
    <t>Melting_Curves/meltCurve_P0AF18_nagA.pdf</t>
  </si>
  <si>
    <t>Melting_Curves/meltCurve_P0AF20_nagC.pdf</t>
  </si>
  <si>
    <t>Melting_Curves/meltCurve_P0AF24_nagD.pdf</t>
  </si>
  <si>
    <t>Melting_Curves/meltCurve_P0AF28_narL.pdf</t>
  </si>
  <si>
    <t>Melting_Curves/meltCurve_P0AF36_zapB.pdf</t>
  </si>
  <si>
    <t>Melting_Curves/meltCurve_P0AF48_yjbQ.pdf</t>
  </si>
  <si>
    <t>Melting_Curves/meltCurve_P0AF50_yjbR.pdf</t>
  </si>
  <si>
    <t>Melting_Curves/meltCurve_P0AF54_yjcH.pdf</t>
  </si>
  <si>
    <t>Melting_Curves/meltCurve_P0AF59_yjdI.pdf</t>
  </si>
  <si>
    <t>Melting_Curves/meltCurve_P0AF63_nsrR.pdf</t>
  </si>
  <si>
    <t>Melting_Curves/meltCurve_P0AF67_tsaE.pdf</t>
  </si>
  <si>
    <t>Melting_Curves/meltCurve_P0AF90_rraB.pdf</t>
  </si>
  <si>
    <t>Melting_Curves/meltCurve_P0AF93_ridA.pdf</t>
  </si>
  <si>
    <t>Melting_Curves/meltCurve_P0AF98_lptF.pdf</t>
  </si>
  <si>
    <t>Melting_Curves/meltCurve_P0AFA7_nhaB.pdf</t>
  </si>
  <si>
    <t>Melting_Curves/meltCurve_P0AFB5_glnL.pdf</t>
  </si>
  <si>
    <t>Melting_Curves/meltCurve_P0AFC7_nuoB.pdf</t>
  </si>
  <si>
    <t>Melting_Curves/meltCurve_P0AFD1_nuoE.pdf</t>
  </si>
  <si>
    <t>Melting_Curves/meltCurve_P0AFD4_nuoH.pdf</t>
  </si>
  <si>
    <t>Melting_Curves/meltCurve_P0AFD6_nuoI.pdf</t>
  </si>
  <si>
    <t>Melting_Curves/meltCurve_P0AFE0_nuoJ.pdf</t>
  </si>
  <si>
    <t>Melting_Curves/meltCurve_P0AFE4_nuoK.pdf</t>
  </si>
  <si>
    <t>Melting_Curves/meltCurve_P0AFE8_nuoM.pdf</t>
  </si>
  <si>
    <t>Melting_Curves/meltCurve_P0AFF0_nuoN.pdf</t>
  </si>
  <si>
    <t>Melting_Curves/meltCurve_P0AFF2_nupC.pdf</t>
  </si>
  <si>
    <t>Melting_Curves/meltCurve_P0AFF6_nusA.pdf</t>
  </si>
  <si>
    <t>Melting_Curves/meltCurve_P0AFG0_nusG.pdf</t>
  </si>
  <si>
    <t>Melting_Curves/meltCurve_P0AFG3_sucA.pdf</t>
  </si>
  <si>
    <t>Melting_Curves/meltCurve_P0AFG6_sucB.pdf</t>
  </si>
  <si>
    <t>Melting_Curves/meltCurve_P0AFG8_aceE.pdf</t>
  </si>
  <si>
    <t>Melting_Curves/meltCurve_P0AFH2_oppB.pdf</t>
  </si>
  <si>
    <t>Melting_Curves/meltCurve_P0AFH6_oppC.pdf</t>
  </si>
  <si>
    <t>Melting_Curves/meltCurve_P0AFH8_osmY.pdf</t>
  </si>
  <si>
    <t>Melting_Curves/meltCurve_P0AFI2_parC.pdf</t>
  </si>
  <si>
    <t>Melting_Curves/meltCurve_P0AFI7_pdxH.pdf</t>
  </si>
  <si>
    <t>Melting_Curves/meltCurve_P0AFI9_perM.pdf</t>
  </si>
  <si>
    <t>Melting_Curves/meltCurve_P0AFJ1_phnA.pdf</t>
  </si>
  <si>
    <t>Melting_Curves/meltCurve_P0AFJ5_phoB.pdf</t>
  </si>
  <si>
    <t>Melting_Curves/meltCurve_P0AFJ7_pitA.pdf</t>
  </si>
  <si>
    <t>Melting_Curves/meltCurve_P0AFK0_pmbA.pdf</t>
  </si>
  <si>
    <t>Melting_Curves/meltCurve_P0AFK2_pnuC.pdf</t>
  </si>
  <si>
    <t>Melting_Curves/meltCurve_P0AFK9_potD.pdf</t>
  </si>
  <si>
    <t>Melting_Curves/meltCurve_P0AFL3_ppiA.pdf</t>
  </si>
  <si>
    <t>Melting_Curves/meltCurve_P0AFM4_psiF.pdf</t>
  </si>
  <si>
    <t>Melting_Curves/meltCurve_P0AFM6_pspA.pdf</t>
  </si>
  <si>
    <t>Melting_Curves/meltCurve_P0AFN2_pspC.pdf</t>
  </si>
  <si>
    <t>Melting_Curves/meltCurve_P0AFP6_ybgI.pdf</t>
  </si>
  <si>
    <t>Melting_Curves/meltCurve_P0AFQ7_ycfH.pdf</t>
  </si>
  <si>
    <t>Melting_Curves/meltCurve_P0AFR0_rssA.pdf</t>
  </si>
  <si>
    <t>Melting_Curves/meltCurve_P0AFR2_dauA.pdf</t>
  </si>
  <si>
    <t>Melting_Curves/meltCurve_P0AFR4_yciO.pdf</t>
  </si>
  <si>
    <t>Melting_Curves/meltCurve_P0AFS3_folM.pdf</t>
  </si>
  <si>
    <t>Melting_Curves/meltCurve_P0AFS7_ydiK.pdf</t>
  </si>
  <si>
    <t>Melting_Curves/meltCurve_P0AFT2_yecS.pdf</t>
  </si>
  <si>
    <t>Melting_Curves/meltCurve_P0AFU8_ribC.pdf</t>
  </si>
  <si>
    <t>Melting_Curves/meltCurve_P0AFW4_rnk.pdf</t>
  </si>
  <si>
    <t>Melting_Curves/meltCurve_P0AFW8_rof.pdf</t>
  </si>
  <si>
    <t>Melting_Curves/meltCurve_P0AFX0_hpf.pdf</t>
  </si>
  <si>
    <t>Melting_Curves/meltCurve_P0AFX4_rsd.pdf</t>
  </si>
  <si>
    <t>Melting_Curves/meltCurve_P0AFX9_rseB.pdf</t>
  </si>
  <si>
    <t>Melting_Curves/meltCurve_P0AFY8_seqA.pdf</t>
  </si>
  <si>
    <t>Melting_Curves/meltCurve_P0AFZ1_sseB.pdf</t>
  </si>
  <si>
    <t>Melting_Curves/meltCurve_P0AFZ3_sspB.pdf</t>
  </si>
  <si>
    <t>Melting_Curves/meltCurve_P0AG00_wzzE.pdf</t>
  </si>
  <si>
    <t>Melting_Curves/meltCurve_P0AG07_rpe.pdf</t>
  </si>
  <si>
    <t>Melting_Curves/meltCurve_P0AG18_purE.pdf</t>
  </si>
  <si>
    <t>Melting_Curves/meltCurve_P0AG20_relA.pdf</t>
  </si>
  <si>
    <t>Melting_Curves/meltCurve_P0AG27_yibN.pdf</t>
  </si>
  <si>
    <t>Melting_Curves/meltCurve_P0AG30_rho.pdf</t>
  </si>
  <si>
    <t>Melting_Curves/meltCurve_P0AG40_ribF.pdf</t>
  </si>
  <si>
    <t>Melting_Curves/meltCurve_P0AG44_rplQ.pdf</t>
  </si>
  <si>
    <t>Melting_Curves/meltCurve_P0AG48_rplU.pdf</t>
  </si>
  <si>
    <t>Melting_Curves/meltCurve_P0AG51_rpmD.pdf</t>
  </si>
  <si>
    <t>Melting_Curves/meltCurve_P0AG55_rplF.pdf</t>
  </si>
  <si>
    <t>Melting_Curves/meltCurve_P0AG59_rpsN.pdf</t>
  </si>
  <si>
    <t>Melting_Curves/meltCurve_P0AG63_rpsQ.pdf</t>
  </si>
  <si>
    <t>Melting_Curves/meltCurve_P0AG67_rpsA.pdf</t>
  </si>
  <si>
    <t>Melting_Curves/meltCurve_P0AG78_sbp.pdf</t>
  </si>
  <si>
    <t>Melting_Curves/meltCurve_P0AG80_ugpB.pdf</t>
  </si>
  <si>
    <t>Melting_Curves/meltCurve_P0AG82_pstS.pdf</t>
  </si>
  <si>
    <t>Melting_Curves/meltCurve_P0AG84_yghA.pdf</t>
  </si>
  <si>
    <t>Melting_Curves/meltCurve_P0AG86_secB.pdf</t>
  </si>
  <si>
    <t>Melting_Curves/meltCurve_P0AG90_secD.pdf</t>
  </si>
  <si>
    <t>Melting_Curves/meltCurve_P0AG96_secE.pdf</t>
  </si>
  <si>
    <t>Melting_Curves/meltCurve_P0AG99_secG.pdf</t>
  </si>
  <si>
    <t>Melting_Curves/meltCurve_P0AGA2_secY.pdf</t>
  </si>
  <si>
    <t>Melting_Curves/meltCurve_P0AGB0_serB.pdf</t>
  </si>
  <si>
    <t>Melting_Curves/meltCurve_P0AGB6_rpoE.pdf</t>
  </si>
  <si>
    <t>Melting_Curves/meltCurve_P0AGC3_slt.pdf</t>
  </si>
  <si>
    <t>Melting_Curves/meltCurve_P0AGD1_sodC.pdf</t>
  </si>
  <si>
    <t>Melting_Curves/meltCurve_P0AGD3_sodB.pdf</t>
  </si>
  <si>
    <t>Melting_Curves/meltCurve_P0AGD7_ffh.pdf</t>
  </si>
  <si>
    <t>Melting_Curves/meltCurve_P0AGE0_ssb.pdf</t>
  </si>
  <si>
    <t>Melting_Curves/meltCurve_P0AGE6_chrR.pdf</t>
  </si>
  <si>
    <t>Melting_Curves/meltCurve_P0AGE9_sucD.pdf</t>
  </si>
  <si>
    <t>Melting_Curves/meltCurve_P0AGF2_csdE.pdf</t>
  </si>
  <si>
    <t>Melting_Curves/meltCurve_P0AGG2_tesB.pdf</t>
  </si>
  <si>
    <t>Melting_Curves/meltCurve_P0AGG4_trxC.pdf</t>
  </si>
  <si>
    <t>Melting_Curves/meltCurve_P0AGG8_tldD.pdf</t>
  </si>
  <si>
    <t>Melting_Curves/meltCurve_P0AGI1_rbsC.pdf</t>
  </si>
  <si>
    <t>Melting_Curves/meltCurve_P0AGI8_trkA.pdf</t>
  </si>
  <si>
    <t>Melting_Curves/meltCurve_P0AGJ2_trmH.pdf</t>
  </si>
  <si>
    <t>Melting_Curves/meltCurve_P0AGJ5_yfiF.pdf</t>
  </si>
  <si>
    <t>Melting_Curves/meltCurve_P0AGJ7_trmL.pdf</t>
  </si>
  <si>
    <t>Melting_Curves/meltCurve_P0AGJ9_tyrS.pdf</t>
  </si>
  <si>
    <t>Melting_Curves/meltCurve_P0AGK4_yhbY.pdf</t>
  </si>
  <si>
    <t>Melting_Curves/meltCurve_P0AGL2_tdcF.pdf</t>
  </si>
  <si>
    <t>Melting_Curves/meltCurve_P0AGL5_ratA.pdf</t>
  </si>
  <si>
    <t>Melting_Curves/meltCurve_P0AGL7_rsmE.pdf</t>
  </si>
  <si>
    <t>Melting_Curves/meltCurve_P0C018_rplR.pdf</t>
  </si>
  <si>
    <t>Melting_Curves/meltCurve_P0C037_yaiE.pdf</t>
  </si>
  <si>
    <t>Melting_Curves/meltCurve_P0C054_ibpA.pdf</t>
  </si>
  <si>
    <t>Melting_Curves/meltCurve_P0C079_relB.pdf</t>
  </si>
  <si>
    <t>Melting_Curves/meltCurve_P0C0L2_osmC.pdf</t>
  </si>
  <si>
    <t>Melting_Curves/meltCurve_P0C0L7_proP.pdf</t>
  </si>
  <si>
    <t>Melting_Curves/meltCurve_P0C0S1_mscS.pdf</t>
  </si>
  <si>
    <t>Melting_Curves/meltCurve_P0C0U4_rimK.pdf</t>
  </si>
  <si>
    <t>Melting_Curves/meltCurve_P0C0V0_degP.pdf</t>
  </si>
  <si>
    <t>Melting_Curves/meltCurve_P0C8J6_gatY.pdf</t>
  </si>
  <si>
    <t>Melting_Curves/meltCurve_P0C8J8_gatZ.pdf</t>
  </si>
  <si>
    <t>Melting_Curves/meltCurve_P0CB39_eptC.pdf</t>
  </si>
  <si>
    <t>Melting_Curves/meltCurve_P0CE47_tufA.pdf</t>
  </si>
  <si>
    <t>Melting_Curves/meltCurve_P0DMC5_rcsC.pdf</t>
  </si>
  <si>
    <t>Melting_Curves/meltCurve_P0DMC7_rcsB.pdf</t>
  </si>
  <si>
    <t>Melting_Curves/meltCurve_P10100_rlpA.pdf</t>
  </si>
  <si>
    <t>Melting_Curves/meltCurve_P10121_ftsY.pdf</t>
  </si>
  <si>
    <t>Melting_Curves/meltCurve_P10346_glnQ.pdf</t>
  </si>
  <si>
    <t>Melting_Curves/meltCurve_P10371_hisA.pdf</t>
  </si>
  <si>
    <t>Melting_Curves/meltCurve_P10378_entE.pdf</t>
  </si>
  <si>
    <t>Melting_Curves/meltCurve_P10384_fadL.pdf</t>
  </si>
  <si>
    <t>Melting_Curves/meltCurve_P10408_secA.pdf</t>
  </si>
  <si>
    <t>Melting_Curves/meltCurve_P10441_lpxB.pdf</t>
  </si>
  <si>
    <t>Melting_Curves/meltCurve_P10908_ugpQ.pdf</t>
  </si>
  <si>
    <t>Melting_Curves/meltCurve_P11349_narH.pdf</t>
  </si>
  <si>
    <t>Melting_Curves/meltCurve_P11447_argH.pdf</t>
  </si>
  <si>
    <t>Melting_Curves/meltCurve_P11454_entF.pdf</t>
  </si>
  <si>
    <t>Melting_Curves/meltCurve_P11557_damX.pdf</t>
  </si>
  <si>
    <t>Melting_Curves/meltCurve_P11875_argS.pdf</t>
  </si>
  <si>
    <t>Melting_Curves/meltCurve_P11880_murF.pdf</t>
  </si>
  <si>
    <t>Melting_Curves/meltCurve_P12008_aroC.pdf</t>
  </si>
  <si>
    <t>Melting_Curves/meltCurve_P12281_moeA.pdf</t>
  </si>
  <si>
    <t>Melting_Curves/meltCurve_P12282_moeB.pdf</t>
  </si>
  <si>
    <t>Melting_Curves/meltCurve_P12295_ung.pdf</t>
  </si>
  <si>
    <t>Melting_Curves/meltCurve_P12758_udp.pdf</t>
  </si>
  <si>
    <t>Melting_Curves/meltCurve_P12994_ybhB.pdf</t>
  </si>
  <si>
    <t>Melting_Curves/meltCurve_P13009_metH.pdf</t>
  </si>
  <si>
    <t>Melting_Curves/meltCurve_P13016_ampD.pdf</t>
  </si>
  <si>
    <t>Melting_Curves/meltCurve_P13024_fdhE.pdf</t>
  </si>
  <si>
    <t>Melting_Curves/meltCurve_P13029_katG.pdf</t>
  </si>
  <si>
    <t>Melting_Curves/meltCurve_P13036_fecA.pdf</t>
  </si>
  <si>
    <t>Melting_Curves/meltCurve_P13482_treA.pdf</t>
  </si>
  <si>
    <t>Melting_Curves/meltCurve_P13656_chiA.pdf</t>
  </si>
  <si>
    <t>Melting_Curves/meltCurve_P13857_rimL.pdf</t>
  </si>
  <si>
    <t>Melting_Curves/meltCurve_P14900_murD.pdf</t>
  </si>
  <si>
    <t>Melting_Curves/meltCurve_P15028_fecB.pdf</t>
  </si>
  <si>
    <t>Melting_Curves/meltCurve_P15034_pepP.pdf</t>
  </si>
  <si>
    <t>Melting_Curves/meltCurve_P15038_helD.pdf</t>
  </si>
  <si>
    <t>Melting_Curves/meltCurve_P15042_ligA.pdf</t>
  </si>
  <si>
    <t>Melting_Curves/meltCurve_P15067_glgX.pdf</t>
  </si>
  <si>
    <t>Melting_Curves/meltCurve_P15070_fliN.pdf</t>
  </si>
  <si>
    <t>Melting_Curves/meltCurve_P15078_cstA.pdf</t>
  </si>
  <si>
    <t>Melting_Curves/meltCurve_P15082_srlR.pdf</t>
  </si>
  <si>
    <t>Melting_Curves/meltCurve_P15254_purL.pdf</t>
  </si>
  <si>
    <t>Melting_Curves/meltCurve_P15286_flk.pdf</t>
  </si>
  <si>
    <t>Melting_Curves/meltCurve_P15288_pepD.pdf</t>
  </si>
  <si>
    <t>Melting_Curves/meltCurve_P15373_prlF.pdf</t>
  </si>
  <si>
    <t>Melting_Curves/meltCurve_P15639_purH.pdf</t>
  </si>
  <si>
    <t>Melting_Curves/meltCurve_P15640_purD.pdf</t>
  </si>
  <si>
    <t>Melting_Curves/meltCurve_P15770_aroE.pdf</t>
  </si>
  <si>
    <t>Melting_Curves/meltCurve_P15877_gcd.pdf</t>
  </si>
  <si>
    <t>Melting_Curves/meltCurve_P15977_malQ.pdf</t>
  </si>
  <si>
    <t>Melting_Curves/meltCurve_P16095_sdaA.pdf</t>
  </si>
  <si>
    <t>Melting_Curves/meltCurve_P16456_selD.pdf</t>
  </si>
  <si>
    <t>Melting_Curves/meltCurve_P16525_tus.pdf</t>
  </si>
  <si>
    <t>Melting_Curves/meltCurve_P16659_proS.pdf</t>
  </si>
  <si>
    <t>Melting_Curves/meltCurve_P16681_phnB.pdf</t>
  </si>
  <si>
    <t>Melting_Curves/meltCurve_P16700_cysP.pdf</t>
  </si>
  <si>
    <t>Melting_Curves/meltCurve_P16703_cysM.pdf</t>
  </si>
  <si>
    <t>Melting_Curves/meltCurve_P16926_mreC.pdf</t>
  </si>
  <si>
    <t>Melting_Curves/meltCurve_P17115_gutQ.pdf</t>
  </si>
  <si>
    <t>Melting_Curves/meltCurve_P17117_nfsA.pdf</t>
  </si>
  <si>
    <t>Melting_Curves/meltCurve_P17169_glmS.pdf</t>
  </si>
  <si>
    <t>Melting_Curves/meltCurve_P17443_murG.pdf</t>
  </si>
  <si>
    <t>Melting_Curves/meltCurve_P17854_cysH.pdf</t>
  </si>
  <si>
    <t>Melting_Curves/meltCurve_P17952_murC.pdf</t>
  </si>
  <si>
    <t>Melting_Curves/meltCurve_P17993_ubiG.pdf</t>
  </si>
  <si>
    <t>Melting_Curves/meltCurve_P18196_minC.pdf</t>
  </si>
  <si>
    <t>Melting_Curves/meltCurve_P18335_argD.pdf</t>
  </si>
  <si>
    <t>Melting_Curves/meltCurve_P18775_dmsA.pdf</t>
  </si>
  <si>
    <t>Melting_Curves/meltCurve_P18776_dmsB.pdf</t>
  </si>
  <si>
    <t>Melting_Curves/meltCurve_P18843_nadE.pdf</t>
  </si>
  <si>
    <t>Melting_Curves/meltCurve_P18956_ggt.pdf</t>
  </si>
  <si>
    <t>Melting_Curves/meltCurve_P19318_narY.pdf</t>
  </si>
  <si>
    <t>Melting_Curves/meltCurve_P19319_narZ.pdf</t>
  </si>
  <si>
    <t>Melting_Curves/meltCurve_P19624_pdxA.pdf</t>
  </si>
  <si>
    <t>Melting_Curves/meltCurve_P19636_eutC.pdf</t>
  </si>
  <si>
    <t>Melting_Curves/meltCurve_P19926_agp.pdf</t>
  </si>
  <si>
    <t>Melting_Curves/meltCurve_P19934_tolA.pdf</t>
  </si>
  <si>
    <t>Melting_Curves/meltCurve_P20083_parE.pdf</t>
  </si>
  <si>
    <t>Melting_Curves/meltCurve_P20099_bisC.pdf</t>
  </si>
  <si>
    <t>Melting_Curves/meltCurve_P20605_fic.pdf</t>
  </si>
  <si>
    <t>Melting_Curves/meltCurve_P20966_fruA.pdf</t>
  </si>
  <si>
    <t>Melting_Curves/meltCurve_P21151_fadA.pdf</t>
  </si>
  <si>
    <t>Melting_Curves/meltCurve_P21156_cysD.pdf</t>
  </si>
  <si>
    <t>Melting_Curves/meltCurve_P21165_pepQ.pdf</t>
  </si>
  <si>
    <t>Melting_Curves/meltCurve_P21169_speC.pdf</t>
  </si>
  <si>
    <t>Melting_Curves/meltCurve_P21170_speA.pdf</t>
  </si>
  <si>
    <t>Melting_Curves/meltCurve_P21177_fadB.pdf</t>
  </si>
  <si>
    <t>Melting_Curves/meltCurve_P21179_katE.pdf</t>
  </si>
  <si>
    <t>Melting_Curves/meltCurve_P21338_rna.pdf</t>
  </si>
  <si>
    <t>Melting_Curves/meltCurve_P21362_yciF.pdf</t>
  </si>
  <si>
    <t>Melting_Curves/meltCurve_P21363_yciE.pdf</t>
  </si>
  <si>
    <t>Melting_Curves/meltCurve_P21367_ycaC.pdf</t>
  </si>
  <si>
    <t>Melting_Curves/meltCurve_P21369_pncA.pdf</t>
  </si>
  <si>
    <t>Melting_Curves/meltCurve_P21499_rnr.pdf</t>
  </si>
  <si>
    <t>Melting_Curves/meltCurve_P21507_srmB.pdf</t>
  </si>
  <si>
    <t>Melting_Curves/meltCurve_P21513_rne.pdf</t>
  </si>
  <si>
    <t>Melting_Curves/meltCurve_P21599_pykA.pdf</t>
  </si>
  <si>
    <t>Melting_Curves/meltCurve_P21645_lpxD.pdf</t>
  </si>
  <si>
    <t>Melting_Curves/meltCurve_P21888_cysS.pdf</t>
  </si>
  <si>
    <t>Melting_Curves/meltCurve_P21889_aspS.pdf</t>
  </si>
  <si>
    <t>Melting_Curves/meltCurve_P22106_asnB.pdf</t>
  </si>
  <si>
    <t>Melting_Curves/meltCurve_P22186_mraZ.pdf</t>
  </si>
  <si>
    <t>Melting_Curves/meltCurve_P22188_murE.pdf</t>
  </si>
  <si>
    <t>Melting_Curves/meltCurve_P22255_cysQ.pdf</t>
  </si>
  <si>
    <t>Melting_Curves/meltCurve_P22256_gabT.pdf</t>
  </si>
  <si>
    <t>Melting_Curves/meltCurve_P22259_pckA.pdf</t>
  </si>
  <si>
    <t>Melting_Curves/meltCurve_P22333_add.pdf</t>
  </si>
  <si>
    <t>Melting_Curves/meltCurve_P22524_mukE.pdf</t>
  </si>
  <si>
    <t>Melting_Curves/meltCurve_P22564_rihC.pdf</t>
  </si>
  <si>
    <t>Melting_Curves/meltCurve_P22939_ispA.pdf</t>
  </si>
  <si>
    <t>Melting_Curves/meltCurve_P23003_trmA.pdf</t>
  </si>
  <si>
    <t>Melting_Curves/meltCurve_P23173_tnaB.pdf</t>
  </si>
  <si>
    <t>Melting_Curves/meltCurve_P23200_mglC.pdf</t>
  </si>
  <si>
    <t>Melting_Curves/meltCurve_P23256_malY.pdf</t>
  </si>
  <si>
    <t>Melting_Curves/meltCurve_P23331_tdk.pdf</t>
  </si>
  <si>
    <t>Melting_Curves/meltCurve_P23367_mutL.pdf</t>
  </si>
  <si>
    <t>Melting_Curves/meltCurve_P23522_garL.pdf</t>
  </si>
  <si>
    <t>Melting_Curves/meltCurve_P23538_ppsA.pdf</t>
  </si>
  <si>
    <t>Melting_Curves/meltCurve_P23721_serC.pdf</t>
  </si>
  <si>
    <t>Melting_Curves/meltCurve_P23827_eco.pdf</t>
  </si>
  <si>
    <t>Melting_Curves/meltCurve_P23830_pssA.pdf</t>
  </si>
  <si>
    <t>Melting_Curves/meltCurve_P23836_phoP.pdf</t>
  </si>
  <si>
    <t>Melting_Curves/meltCurve_P23837_phoQ.pdf</t>
  </si>
  <si>
    <t>Melting_Curves/meltCurve_P23839_yicC.pdf</t>
  </si>
  <si>
    <t>Melting_Curves/meltCurve_P23843_oppA.pdf</t>
  </si>
  <si>
    <t>Melting_Curves/meltCurve_P23847_dppA.pdf</t>
  </si>
  <si>
    <t>Melting_Curves/meltCurve_P23857_pspE.pdf</t>
  </si>
  <si>
    <t>Melting_Curves/meltCurve_P23865_prc.pdf</t>
  </si>
  <si>
    <t>Melting_Curves/meltCurve_P23869_ppiB.pdf</t>
  </si>
  <si>
    <t>Melting_Curves/meltCurve_P23871_hemH.pdf</t>
  </si>
  <si>
    <t>Melting_Curves/meltCurve_P23882_fmt.pdf</t>
  </si>
  <si>
    <t>Melting_Curves/meltCurve_P23893_hemL.pdf</t>
  </si>
  <si>
    <t>Melting_Curves/meltCurve_P23894_htpX.pdf</t>
  </si>
  <si>
    <t>Melting_Curves/meltCurve_P23908_argE.pdf</t>
  </si>
  <si>
    <t>Melting_Curves/meltCurve_P23930_lnt.pdf</t>
  </si>
  <si>
    <t>Melting_Curves/meltCurve_P24171_dcp.pdf</t>
  </si>
  <si>
    <t>Melting_Curves/meltCurve_P24173_rfaC.pdf</t>
  </si>
  <si>
    <t>Melting_Curves/meltCurve_P24178_yffB.pdf</t>
  </si>
  <si>
    <t>Melting_Curves/meltCurve_P24182_accC.pdf</t>
  </si>
  <si>
    <t>Melting_Curves/meltCurve_P24183_fdnG.pdf</t>
  </si>
  <si>
    <t>Melting_Curves/meltCurve_P24186_folD.pdf</t>
  </si>
  <si>
    <t>Melting_Curves/meltCurve_P24202_mrr.pdf</t>
  </si>
  <si>
    <t>Melting_Curves/meltCurve_P24203_yjiA.pdf</t>
  </si>
  <si>
    <t>Melting_Curves/meltCurve_P24205_lpxM.pdf</t>
  </si>
  <si>
    <t>Melting_Curves/meltCurve_P24215_uxuA.pdf</t>
  </si>
  <si>
    <t>Melting_Curves/meltCurve_P24232_hmp.pdf</t>
  </si>
  <si>
    <t>Melting_Curves/meltCurve_P24242_ascG.pdf</t>
  </si>
  <si>
    <t>Melting_Curves/meltCurve_P24251_crl.pdf</t>
  </si>
  <si>
    <t>Melting_Curves/meltCurve_P24255_rpoN.pdf</t>
  </si>
  <si>
    <t>Melting_Curves/meltCurve_P24555_ptrB.pdf</t>
  </si>
  <si>
    <t>Melting_Curves/meltCurve_P25397_tehB.pdf</t>
  </si>
  <si>
    <t>Melting_Curves/meltCurve_P25437_frmA.pdf</t>
  </si>
  <si>
    <t>Melting_Curves/meltCurve_P25516_acnA.pdf</t>
  </si>
  <si>
    <t>Melting_Curves/meltCurve_P25519_hflX.pdf</t>
  </si>
  <si>
    <t>Melting_Curves/meltCurve_P25522_mnmE.pdf</t>
  </si>
  <si>
    <t>Melting_Curves/meltCurve_P25524_codA.pdf</t>
  </si>
  <si>
    <t>Melting_Curves/meltCurve_P25526_gabD.pdf</t>
  </si>
  <si>
    <t>Melting_Curves/meltCurve_P25539_ribD.pdf</t>
  </si>
  <si>
    <t>Melting_Curves/meltCurve_P25552_gppA.pdf</t>
  </si>
  <si>
    <t>Melting_Curves/meltCurve_P25553_aldA.pdf</t>
  </si>
  <si>
    <t>Melting_Curves/meltCurve_P25714_yidC.pdf</t>
  </si>
  <si>
    <t>Melting_Curves/meltCurve_P25745_mnmA.pdf</t>
  </si>
  <si>
    <t>Melting_Curves/meltCurve_P25894_loiP.pdf</t>
  </si>
  <si>
    <t>Melting_Curves/meltCurve_P25906_ydbC.pdf</t>
  </si>
  <si>
    <t>Melting_Curves/meltCurve_P26612_amyA.pdf</t>
  </si>
  <si>
    <t>Melting_Curves/meltCurve_P26616_maeA.pdf</t>
  </si>
  <si>
    <t>Melting_Curves/meltCurve_P26646_acuI.pdf</t>
  </si>
  <si>
    <t>Melting_Curves/meltCurve_P26647_plsC.pdf</t>
  </si>
  <si>
    <t>Melting_Curves/meltCurve_P26648_ftsP.pdf</t>
  </si>
  <si>
    <t>Melting_Curves/meltCurve_P26649_glgS.pdf</t>
  </si>
  <si>
    <t>Melting_Curves/meltCurve_P27238_yfeD.pdf</t>
  </si>
  <si>
    <t>Melting_Curves/meltCurve_P27247_plsX.pdf</t>
  </si>
  <si>
    <t>Melting_Curves/meltCurve_P27248_gcvT.pdf</t>
  </si>
  <si>
    <t>Melting_Curves/meltCurve_P27250_ahr.pdf</t>
  </si>
  <si>
    <t>Melting_Curves/meltCurve_P27278_nadR.pdf</t>
  </si>
  <si>
    <t>Melting_Curves/meltCurve_P27298_prlC.pdf</t>
  </si>
  <si>
    <t>Melting_Curves/meltCurve_P27302_tktA.pdf</t>
  </si>
  <si>
    <t>Melting_Curves/meltCurve_P27303_emrA.pdf</t>
  </si>
  <si>
    <t>Melting_Curves/meltCurve_P27306_sthA.pdf</t>
  </si>
  <si>
    <t>Melting_Curves/meltCurve_P27431_roxA.pdf</t>
  </si>
  <si>
    <t>Melting_Curves/meltCurve_P27434_rodZ.pdf</t>
  </si>
  <si>
    <t>Melting_Curves/meltCurve_P27550_acs.pdf</t>
  </si>
  <si>
    <t>Melting_Curves/meltCurve_P27828_wecB.pdf</t>
  </si>
  <si>
    <t>Melting_Curves/meltCurve_P27829_wecC.pdf</t>
  </si>
  <si>
    <t>Melting_Curves/meltCurve_P27833_wecE.pdf</t>
  </si>
  <si>
    <t>Melting_Curves/meltCurve_P27848_yigL.pdf</t>
  </si>
  <si>
    <t>Melting_Curves/meltCurve_P27862_yigZ.pdf</t>
  </si>
  <si>
    <t>Melting_Curves/meltCurve_P28248_dcd.pdf</t>
  </si>
  <si>
    <t>Melting_Curves/meltCurve_P28249_asmA.pdf</t>
  </si>
  <si>
    <t>Melting_Curves/meltCurve_P28304_qorA.pdf</t>
  </si>
  <si>
    <t>Melting_Curves/meltCurve_P28306_mltG.pdf</t>
  </si>
  <si>
    <t>Melting_Curves/meltCurve_P28634_trmO.pdf</t>
  </si>
  <si>
    <t>Melting_Curves/meltCurve_P28635_metQ.pdf</t>
  </si>
  <si>
    <t>Melting_Curves/meltCurve_P28861_fpr.pdf</t>
  </si>
  <si>
    <t>Melting_Curves/meltCurve_P28903_nrdD.pdf</t>
  </si>
  <si>
    <t>Melting_Curves/meltCurve_P28904_treC.pdf</t>
  </si>
  <si>
    <t>Melting_Curves/meltCurve_P28905_holC.pdf</t>
  </si>
  <si>
    <t>Melting_Curves/meltCurve_P29012_dadX.pdf</t>
  </si>
  <si>
    <t>Melting_Curves/meltCurve_P29013_ycgB.pdf</t>
  </si>
  <si>
    <t>Melting_Curves/meltCurve_P29018_cydD.pdf</t>
  </si>
  <si>
    <t>Melting_Curves/meltCurve_P29131_ftsN.pdf</t>
  </si>
  <si>
    <t>Melting_Curves/meltCurve_P29208_menC.pdf</t>
  </si>
  <si>
    <t>Melting_Curves/meltCurve_P29217_yceH.pdf</t>
  </si>
  <si>
    <t>Melting_Curves/meltCurve_P29680_hemE.pdf</t>
  </si>
  <si>
    <t>Melting_Curves/meltCurve_P29745_pepT.pdf</t>
  </si>
  <si>
    <t>Melting_Curves/meltCurve_P30011_nadC.pdf</t>
  </si>
  <si>
    <t>Melting_Curves/meltCurve_P30125_leuB.pdf</t>
  </si>
  <si>
    <t>Melting_Curves/meltCurve_P30126_leuD.pdf</t>
  </si>
  <si>
    <t>Melting_Curves/meltCurve_P30136_thiC.pdf</t>
  </si>
  <si>
    <t>Melting_Curves/meltCurve_P30177_ybiB.pdf</t>
  </si>
  <si>
    <t>Melting_Curves/meltCurve_P30750_metN.pdf</t>
  </si>
  <si>
    <t>Melting_Curves/meltCurve_P30850_rnb.pdf</t>
  </si>
  <si>
    <t>Melting_Curves/meltCurve_P30859_artI.pdf</t>
  </si>
  <si>
    <t>Melting_Curves/meltCurve_P30860_artJ.pdf</t>
  </si>
  <si>
    <t>Melting_Curves/meltCurve_P30863_dkgB.pdf</t>
  </si>
  <si>
    <t>Melting_Curves/meltCurve_P30864_yafC.pdf</t>
  </si>
  <si>
    <t>Melting_Curves/meltCurve_P30870_glnE.pdf</t>
  </si>
  <si>
    <t>Melting_Curves/meltCurve_P30871_ygiF.pdf</t>
  </si>
  <si>
    <t>Melting_Curves/meltCurve_P30958_mfd.pdf</t>
  </si>
  <si>
    <t>Melting_Curves/meltCurve_P31057_panB.pdf</t>
  </si>
  <si>
    <t>Melting_Curves/meltCurve_P31063_yedD.pdf</t>
  </si>
  <si>
    <t>Melting_Curves/meltCurve_P31068_fliH.pdf</t>
  </si>
  <si>
    <t>Melting_Curves/meltCurve_P31069_kch.pdf</t>
  </si>
  <si>
    <t>Melting_Curves/meltCurve_P31119_aas.pdf</t>
  </si>
  <si>
    <t>Melting_Curves/meltCurve_P31120_glmM.pdf</t>
  </si>
  <si>
    <t>Melting_Curves/meltCurve_P31130_ydeI.pdf</t>
  </si>
  <si>
    <t>Melting_Curves/meltCurve_P31131_ydeJ.pdf</t>
  </si>
  <si>
    <t>Melting_Curves/meltCurve_P31133_potF.pdf</t>
  </si>
  <si>
    <t>Melting_Curves/meltCurve_P31142_sseA.pdf</t>
  </si>
  <si>
    <t>Melting_Curves/meltCurve_P31224_acrB.pdf</t>
  </si>
  <si>
    <t>Melting_Curves/meltCurve_P31433_yicH.pdf</t>
  </si>
  <si>
    <t>Melting_Curves/meltCurve_P31455_yidR.pdf</t>
  </si>
  <si>
    <t>Melting_Curves/meltCurve_P31460_dgoR.pdf</t>
  </si>
  <si>
    <t>Melting_Curves/meltCurve_P31473_ravA.pdf</t>
  </si>
  <si>
    <t>Melting_Curves/meltCurve_P31475_yieP.pdf</t>
  </si>
  <si>
    <t>Melting_Curves/meltCurve_P31550_thiB.pdf</t>
  </si>
  <si>
    <t>Melting_Curves/meltCurve_P31554_lptD.pdf</t>
  </si>
  <si>
    <t>Melting_Curves/meltCurve_P31658_hchA.pdf</t>
  </si>
  <si>
    <t>Melting_Curves/meltCurve_P31660_prpC.pdf</t>
  </si>
  <si>
    <t>Melting_Curves/meltCurve_P31663_panC.pdf</t>
  </si>
  <si>
    <t>Melting_Curves/meltCurve_P31677_otsA.pdf</t>
  </si>
  <si>
    <t>Melting_Curves/meltCurve_P31802_narP.pdf</t>
  </si>
  <si>
    <t>Melting_Curves/meltCurve_P31806_nnr.pdf</t>
  </si>
  <si>
    <t>Melting_Curves/meltCurve_P31808_yciK.pdf</t>
  </si>
  <si>
    <t>Melting_Curves/meltCurve_P31979_nuoF.pdf</t>
  </si>
  <si>
    <t>Melting_Curves/meltCurve_P32099_lplA.pdf</t>
  </si>
  <si>
    <t>Melting_Curves/meltCurve_P32131_hemN.pdf</t>
  </si>
  <si>
    <t>Melting_Curves/meltCurve_P32132_typA.pdf</t>
  </si>
  <si>
    <t>Melting_Curves/meltCurve_P32157_yiiM.pdf</t>
  </si>
  <si>
    <t>Melting_Curves/meltCurve_P32160_yiiQ.pdf</t>
  </si>
  <si>
    <t>Melting_Curves/meltCurve_P32162_yiiS.pdf</t>
  </si>
  <si>
    <t>Melting_Curves/meltCurve_P32176_fdoG.pdf</t>
  </si>
  <si>
    <t>Melting_Curves/meltCurve_P32177_fdhD.pdf</t>
  </si>
  <si>
    <t>Melting_Curves/meltCurve_P32662_gph.pdf</t>
  </si>
  <si>
    <t>Melting_Curves/meltCurve_P32664_nudC.pdf</t>
  </si>
  <si>
    <t>Melting_Curves/meltCurve_P32669_fsaB.pdf</t>
  </si>
  <si>
    <t>Melting_Curves/meltCurve_P32680_yjaG.pdf</t>
  </si>
  <si>
    <t>Melting_Curves/meltCurve_P32684_rluF.pdf</t>
  </si>
  <si>
    <t>Melting_Curves/meltCurve_P32695_dusA.pdf</t>
  </si>
  <si>
    <t>Melting_Curves/meltCurve_P32705_actP.pdf</t>
  </si>
  <si>
    <t>Melting_Curves/meltCurve_P32715_mdtO.pdf</t>
  </si>
  <si>
    <t>Melting_Curves/meltCurve_P33030_yeiR.pdf</t>
  </si>
  <si>
    <t>Melting_Curves/meltCurve_P33136_mdoG.pdf</t>
  </si>
  <si>
    <t>Melting_Curves/meltCurve_P33195_gcvP.pdf</t>
  </si>
  <si>
    <t>Melting_Curves/meltCurve_P33218_yebE.pdf</t>
  </si>
  <si>
    <t>Melting_Curves/meltCurve_P33219_yebF.pdf</t>
  </si>
  <si>
    <t>Melting_Curves/meltCurve_P33221_purT.pdf</t>
  </si>
  <si>
    <t>Melting_Curves/meltCurve_P33224_aidB.pdf</t>
  </si>
  <si>
    <t>Melting_Curves/meltCurve_P33362_yehZ.pdf</t>
  </si>
  <si>
    <t>Melting_Curves/meltCurve_P33363_bglX.pdf</t>
  </si>
  <si>
    <t>Melting_Curves/meltCurve_P33368_yohF.pdf</t>
  </si>
  <si>
    <t>Melting_Curves/meltCurve_P33570_tktB.pdf</t>
  </si>
  <si>
    <t>Melting_Curves/meltCurve_P33590_nikA.pdf</t>
  </si>
  <si>
    <t>Melting_Curves/meltCurve_P33596_recX.pdf</t>
  </si>
  <si>
    <t>Melting_Curves/meltCurve_P33599_nuoC.pdf</t>
  </si>
  <si>
    <t>Melting_Curves/meltCurve_P33602_nuoG.pdf</t>
  </si>
  <si>
    <t>Melting_Curves/meltCurve_P33607_nuoL.pdf</t>
  </si>
  <si>
    <t>Melting_Curves/meltCurve_P33643_rluD.pdf</t>
  </si>
  <si>
    <t>Melting_Curves/meltCurve_P33644_yfiH.pdf</t>
  </si>
  <si>
    <t>Melting_Curves/meltCurve_P33913_yejA.pdf</t>
  </si>
  <si>
    <t>Melting_Curves/meltCurve_P33916_yejF.pdf</t>
  </si>
  <si>
    <t>Melting_Curves/meltCurve_P33937_napA.pdf</t>
  </si>
  <si>
    <t>Melting_Curves/meltCurve_P34209_ydcF.pdf</t>
  </si>
  <si>
    <t>Melting_Curves/meltCurve_P35340_ahpF.pdf</t>
  </si>
  <si>
    <t>Melting_Curves/meltCurve_P36649_cueO.pdf</t>
  </si>
  <si>
    <t>Melting_Curves/meltCurve_P36655_dsbD.pdf</t>
  </si>
  <si>
    <t>Melting_Curves/meltCurve_P36659_cbpA.pdf</t>
  </si>
  <si>
    <t>Melting_Curves/meltCurve_P36672_treB.pdf</t>
  </si>
  <si>
    <t>Melting_Curves/meltCurve_P36680_zapD.pdf</t>
  </si>
  <si>
    <t>Melting_Curves/meltCurve_P36683_acnB.pdf</t>
  </si>
  <si>
    <t>Melting_Curves/meltCurve_P36767_rdgC.pdf</t>
  </si>
  <si>
    <t>Melting_Curves/meltCurve_P36771_lrhA.pdf</t>
  </si>
  <si>
    <t>Melting_Curves/meltCurve_P36938_pgm.pdf</t>
  </si>
  <si>
    <t>Melting_Curves/meltCurve_P36979_rlmN.pdf</t>
  </si>
  <si>
    <t>Melting_Curves/meltCurve_P37051_purU.pdf</t>
  </si>
  <si>
    <t>Melting_Curves/meltCurve_P37095_pepB.pdf</t>
  </si>
  <si>
    <t>Melting_Curves/meltCurve_P37128_nudK.pdf</t>
  </si>
  <si>
    <t>Melting_Curves/meltCurve_P37147_fxsA.pdf</t>
  </si>
  <si>
    <t>Melting_Curves/meltCurve_P37182_hybD.pdf</t>
  </si>
  <si>
    <t>Melting_Curves/meltCurve_P37188_gatB.pdf</t>
  </si>
  <si>
    <t>Melting_Curves/meltCurve_P37194_slp.pdf</t>
  </si>
  <si>
    <t>Melting_Curves/meltCurve_P37313_dppF.pdf</t>
  </si>
  <si>
    <t>Melting_Curves/meltCurve_P37325_ybcH.pdf</t>
  </si>
  <si>
    <t>Melting_Curves/meltCurve_P37329_modA.pdf</t>
  </si>
  <si>
    <t>Melting_Curves/meltCurve_P37330_glcB.pdf</t>
  </si>
  <si>
    <t>Melting_Curves/meltCurve_P37339_lhgO.pdf</t>
  </si>
  <si>
    <t>Melting_Curves/meltCurve_P37342_yjjI.pdf</t>
  </si>
  <si>
    <t>Melting_Curves/meltCurve_P37349_dhaM.pdf</t>
  </si>
  <si>
    <t>Melting_Curves/meltCurve_P37351_rpiB.pdf</t>
  </si>
  <si>
    <t>Melting_Curves/meltCurve_P37387_xylF.pdf</t>
  </si>
  <si>
    <t>Melting_Curves/meltCurve_P37440_ucpA.pdf</t>
  </si>
  <si>
    <t>Melting_Curves/meltCurve_P37595_iaaA.pdf</t>
  </si>
  <si>
    <t>Melting_Curves/meltCurve_P37613_panM.pdf</t>
  </si>
  <si>
    <t>Melting_Curves/meltCurve_P37617_zntA.pdf</t>
  </si>
  <si>
    <t>Melting_Curves/meltCurve_P37626_yhiI.pdf</t>
  </si>
  <si>
    <t>Melting_Curves/meltCurve_P37631_yhiN.pdf</t>
  </si>
  <si>
    <t>Melting_Curves/meltCurve_P37634_rlmJ.pdf</t>
  </si>
  <si>
    <t>Melting_Curves/meltCurve_P37636_mdtE.pdf</t>
  </si>
  <si>
    <t>Melting_Curves/meltCurve_P37637_mdtF.pdf</t>
  </si>
  <si>
    <t>Melting_Curves/meltCurve_P37642_yhjD.pdf</t>
  </si>
  <si>
    <t>Melting_Curves/meltCurve_P37645_yhjG.pdf</t>
  </si>
  <si>
    <t>Melting_Curves/meltCurve_P37647_kdgK.pdf</t>
  </si>
  <si>
    <t>Melting_Curves/meltCurve_P37648_yhjJ.pdf</t>
  </si>
  <si>
    <t>Melting_Curves/meltCurve_P37649_yhjK.pdf</t>
  </si>
  <si>
    <t>Melting_Curves/meltCurve_P37665_yiaD.pdf</t>
  </si>
  <si>
    <t>Melting_Curves/meltCurve_P37666_ghrB.pdf</t>
  </si>
  <si>
    <t>Melting_Curves/meltCurve_P37685_aldB.pdf</t>
  </si>
  <si>
    <t>Melting_Curves/meltCurve_P37689_gpmI.pdf</t>
  </si>
  <si>
    <t>Melting_Curves/meltCurve_P37690_envC.pdf</t>
  </si>
  <si>
    <t>Melting_Curves/meltCurve_P37692_rfaF.pdf</t>
  </si>
  <si>
    <t>Melting_Curves/meltCurve_P37744_rfbA.pdf</t>
  </si>
  <si>
    <t>Melting_Curves/meltCurve_P37747_glf.pdf</t>
  </si>
  <si>
    <t>Melting_Curves/meltCurve_P37759_rfbB.pdf</t>
  </si>
  <si>
    <t>Melting_Curves/meltCurve_P37760_rfbD.pdf</t>
  </si>
  <si>
    <t>Melting_Curves/meltCurve_P37765_rluB.pdf</t>
  </si>
  <si>
    <t>Melting_Curves/meltCurve_P37767_yfhH.pdf</t>
  </si>
  <si>
    <t>Melting_Curves/meltCurve_P37773_mpl.pdf</t>
  </si>
  <si>
    <t>Melting_Curves/meltCurve_P37902_gltI.pdf</t>
  </si>
  <si>
    <t>Melting_Curves/meltCurve_P37903_uspF.pdf</t>
  </si>
  <si>
    <t>Melting_Curves/meltCurve_P38038_cysJ.pdf</t>
  </si>
  <si>
    <t>Melting_Curves/meltCurve_P38051_menF.pdf</t>
  </si>
  <si>
    <t>Melting_Curves/meltCurve_P38489_nfsB.pdf</t>
  </si>
  <si>
    <t>Melting_Curves/meltCurve_P39099_degQ.pdf</t>
  </si>
  <si>
    <t>Melting_Curves/meltCurve_P39160_uxuB.pdf</t>
  </si>
  <si>
    <t>Melting_Curves/meltCurve_P39161_uxuR.pdf</t>
  </si>
  <si>
    <t>Melting_Curves/meltCurve_P39172_znuA.pdf</t>
  </si>
  <si>
    <t>Melting_Curves/meltCurve_P39173_yeaD.pdf</t>
  </si>
  <si>
    <t>Melting_Curves/meltCurve_P39176_erfK.pdf</t>
  </si>
  <si>
    <t>Melting_Curves/meltCurve_P39177_uspG.pdf</t>
  </si>
  <si>
    <t>Melting_Curves/meltCurve_P39187_ytfJ.pdf</t>
  </si>
  <si>
    <t>Melting_Curves/meltCurve_P39199_prmB.pdf</t>
  </si>
  <si>
    <t>Melting_Curves/meltCurve_P39265_alsB.pdf</t>
  </si>
  <si>
    <t>Melting_Curves/meltCurve_P39274_yjdJ.pdf</t>
  </si>
  <si>
    <t>Melting_Curves/meltCurve_P39285_mscM.pdf</t>
  </si>
  <si>
    <t>Melting_Curves/meltCurve_P39286_rsgA.pdf</t>
  </si>
  <si>
    <t>Melting_Curves/meltCurve_P39297_bsmA.pdf</t>
  </si>
  <si>
    <t>Melting_Curves/meltCurve_P39298_yjfP.pdf</t>
  </si>
  <si>
    <t>Melting_Curves/meltCurve_P39310_ytfB.pdf</t>
  </si>
  <si>
    <t>Melting_Curves/meltCurve_P39315_qorB.pdf</t>
  </si>
  <si>
    <t>Melting_Curves/meltCurve_P39321_tamB.pdf</t>
  </si>
  <si>
    <t>Melting_Curves/meltCurve_P39325_ytfQ.pdf</t>
  </si>
  <si>
    <t>Melting_Curves/meltCurve_P39332_yjgH.pdf</t>
  </si>
  <si>
    <t>Melting_Curves/meltCurve_P39337_yjgM.pdf</t>
  </si>
  <si>
    <t>Melting_Curves/meltCurve_P39342_yjgR.pdf</t>
  </si>
  <si>
    <t>Melting_Curves/meltCurve_P39356_yjhU.pdf</t>
  </si>
  <si>
    <t>Melting_Curves/meltCurve_P39358_yjhG.pdf</t>
  </si>
  <si>
    <t>Melting_Curves/meltCurve_P39363_sgcA.pdf</t>
  </si>
  <si>
    <t>Melting_Curves/meltCurve_P39366_sgcX.pdf</t>
  </si>
  <si>
    <t>Melting_Curves/meltCurve_P39371_nanM.pdf</t>
  </si>
  <si>
    <t>Melting_Curves/meltCurve_P39377_iadA.pdf</t>
  </si>
  <si>
    <t>Melting_Curves/meltCurve_P39385_yjiN.pdf</t>
  </si>
  <si>
    <t>Melting_Curves/meltCurve_P39396_yjiY.pdf</t>
  </si>
  <si>
    <t>Melting_Curves/meltCurve_P39406_rsmC.pdf</t>
  </si>
  <si>
    <t>Melting_Curves/meltCurve_P39407_yjjU.pdf</t>
  </si>
  <si>
    <t>Melting_Curves/meltCurve_P39408_yjjV.pdf</t>
  </si>
  <si>
    <t>Melting_Curves/meltCurve_P39411_yjjX.pdf</t>
  </si>
  <si>
    <t>Melting_Curves/meltCurve_P39451_adhP.pdf</t>
  </si>
  <si>
    <t>Melting_Curves/meltCurve_P39829_garD.pdf</t>
  </si>
  <si>
    <t>Melting_Curves/meltCurve_P39830_ybaL.pdf</t>
  </si>
  <si>
    <t>Melting_Curves/meltCurve_P39831_ydfG.pdf</t>
  </si>
  <si>
    <t>Melting_Curves/meltCurve_P39838_rcsD.pdf</t>
  </si>
  <si>
    <t>Melting_Curves/meltCurve_P40120_mdoD.pdf</t>
  </si>
  <si>
    <t>Melting_Curves/meltCurve_P40191_pdxK.pdf</t>
  </si>
  <si>
    <t>Melting_Curves/meltCurve_P40710_nlpE.pdf</t>
  </si>
  <si>
    <t>Melting_Curves/meltCurve_P40874_solA.pdf</t>
  </si>
  <si>
    <t>Melting_Curves/meltCurve_P41407_azoR.pdf</t>
  </si>
  <si>
    <t>Melting_Curves/meltCurve_P41409_rihA.pdf</t>
  </si>
  <si>
    <t>Melting_Curves/meltCurve_P42592_ygjK.pdf</t>
  </si>
  <si>
    <t>Melting_Curves/meltCurve_P42593_fadH.pdf</t>
  </si>
  <si>
    <t>Melting_Curves/meltCurve_P42599_ygjR.pdf</t>
  </si>
  <si>
    <t>Melting_Curves/meltCurve_P42604_uxaA.pdf</t>
  </si>
  <si>
    <t>Melting_Curves/meltCurve_P42616_yqjC.pdf</t>
  </si>
  <si>
    <t>Melting_Curves/meltCurve_P42620_yqjG.pdf</t>
  </si>
  <si>
    <t>Melting_Curves/meltCurve_P42632_tdcE.pdf</t>
  </si>
  <si>
    <t>Melting_Curves/meltCurve_P42641_obgE.pdf</t>
  </si>
  <si>
    <t>Melting_Curves/meltCurve_P42904_agaV.pdf</t>
  </si>
  <si>
    <t>Melting_Curves/meltCurve_P43341_lpxH.pdf</t>
  </si>
  <si>
    <t>Melting_Curves/meltCurve_P43671_pqiB.pdf</t>
  </si>
  <si>
    <t>Melting_Curves/meltCurve_P43672_uup.pdf</t>
  </si>
  <si>
    <t>Melting_Curves/meltCurve_P45395_kdsD.pdf</t>
  </si>
  <si>
    <t>Melting_Curves/meltCurve_P45424_yhcH.pdf</t>
  </si>
  <si>
    <t>Melting_Curves/meltCurve_P45425_nanK.pdf</t>
  </si>
  <si>
    <t>Melting_Curves/meltCurve_P45464_lpoA.pdf</t>
  </si>
  <si>
    <t>Melting_Curves/meltCurve_P45470_yhbO.pdf</t>
  </si>
  <si>
    <t>Melting_Curves/meltCurve_P45523_fkpA.pdf</t>
  </si>
  <si>
    <t>Melting_Curves/meltCurve_P45530_tusB.pdf</t>
  </si>
  <si>
    <t>Melting_Curves/meltCurve_P45568_dxr.pdf</t>
  </si>
  <si>
    <t>Melting_Curves/meltCurve_P45577_proQ.pdf</t>
  </si>
  <si>
    <t>Melting_Curves/meltCurve_P45578_luxS.pdf</t>
  </si>
  <si>
    <t>Melting_Curves/meltCurve_P45748_tsaC.pdf</t>
  </si>
  <si>
    <t>Melting_Curves/meltCurve_P45771_yrdD.pdf</t>
  </si>
  <si>
    <t>Melting_Curves/meltCurve_P45799_nudE.pdf</t>
  </si>
  <si>
    <t>Melting_Curves/meltCurve_P45800_yrfF.pdf</t>
  </si>
  <si>
    <t>Melting_Curves/meltCurve_P45955_cpoB.pdf</t>
  </si>
  <si>
    <t>Melting_Curves/meltCurve_P46122_yajI.pdf</t>
  </si>
  <si>
    <t>Melting_Curves/meltCurve_P46125_yedI.pdf</t>
  </si>
  <si>
    <t>Melting_Curves/meltCurve_P46130_ybhC.pdf</t>
  </si>
  <si>
    <t>Melting_Curves/meltCurve_P46474_yhdP.pdf</t>
  </si>
  <si>
    <t>Melting_Curves/meltCurve_P46837_yhgF.pdf</t>
  </si>
  <si>
    <t>Melting_Curves/meltCurve_P46849_rtcA.pdf</t>
  </si>
  <si>
    <t>Melting_Curves/meltCurve_P46852_yhhW.pdf</t>
  </si>
  <si>
    <t>Melting_Curves/meltCurve_P46853_yhhX.pdf</t>
  </si>
  <si>
    <t>Melting_Curves/meltCurve_P46923_torZ.pdf</t>
  </si>
  <si>
    <t>Melting_Curves/meltCurve_P50466_aer.pdf</t>
  </si>
  <si>
    <t>Melting_Curves/meltCurve_P51024_yaiL.pdf</t>
  </si>
  <si>
    <t>Melting_Curves/meltCurve_P51981_ycjG.pdf</t>
  </si>
  <si>
    <t>Melting_Curves/meltCurve_P52007_yecM.pdf</t>
  </si>
  <si>
    <t>Melting_Curves/meltCurve_P52061_rdgB.pdf</t>
  </si>
  <si>
    <t>Melting_Curves/meltCurve_P52073_glcE.pdf</t>
  </si>
  <si>
    <t>Melting_Curves/meltCurve_P52096_yaeR.pdf</t>
  </si>
  <si>
    <t>Melting_Curves/meltCurve_P52108_rstA.pdf</t>
  </si>
  <si>
    <t>Melting_Curves/meltCurve_P52119_ratB.pdf</t>
  </si>
  <si>
    <t>Melting_Curves/meltCurve_P52612_fliI.pdf</t>
  </si>
  <si>
    <t>Melting_Curves/meltCurve_P52643_ldhA.pdf</t>
  </si>
  <si>
    <t>Melting_Curves/meltCurve_P52647_ydbK.pdf</t>
  </si>
  <si>
    <t>Melting_Curves/meltCurve_P52697_pgl.pdf</t>
  </si>
  <si>
    <t>Melting_Curves/meltCurve_P55734_ygaP.pdf</t>
  </si>
  <si>
    <t>Melting_Curves/meltCurve_P56262_ysgA.pdf</t>
  </si>
  <si>
    <t>Melting_Curves/meltCurve_P56580_srlE.pdf</t>
  </si>
  <si>
    <t>Melting_Curves/meltCurve_P60240_rapA.pdf</t>
  </si>
  <si>
    <t>Melting_Curves/meltCurve_P60293_mukF.pdf</t>
  </si>
  <si>
    <t>Melting_Curves/meltCurve_P60340_truB.pdf</t>
  </si>
  <si>
    <t>Melting_Curves/meltCurve_P60390_rsmH.pdf</t>
  </si>
  <si>
    <t>Melting_Curves/meltCurve_P60422_rplB.pdf</t>
  </si>
  <si>
    <t>Melting_Curves/meltCurve_P60438_rplC.pdf</t>
  </si>
  <si>
    <t>Melting_Curves/meltCurve_P60472_ispU.pdf</t>
  </si>
  <si>
    <t>Melting_Curves/meltCurve_P60546_gmk.pdf</t>
  </si>
  <si>
    <t>Melting_Curves/meltCurve_P60560_guaC.pdf</t>
  </si>
  <si>
    <t>Melting_Curves/meltCurve_P60566_fixA.pdf</t>
  </si>
  <si>
    <t>Melting_Curves/meltCurve_P60595_hisH.pdf</t>
  </si>
  <si>
    <t>Melting_Curves/meltCurve_P60624_rplX.pdf</t>
  </si>
  <si>
    <t>Melting_Curves/meltCurve_P60651_speB.pdf</t>
  </si>
  <si>
    <t>Melting_Curves/meltCurve_P60664_hisF.pdf</t>
  </si>
  <si>
    <t>Melting_Curves/meltCurve_P60723_rplD.pdf</t>
  </si>
  <si>
    <t>Melting_Curves/meltCurve_P60752_msbA.pdf</t>
  </si>
  <si>
    <t>Melting_Curves/meltCurve_P60757_hisG.pdf</t>
  </si>
  <si>
    <t>Melting_Curves/meltCurve_P60785_lepA.pdf</t>
  </si>
  <si>
    <t>Melting_Curves/meltCurve_P60872_yidE.pdf</t>
  </si>
  <si>
    <t>Melting_Curves/meltCurve_P60906_hisS.pdf</t>
  </si>
  <si>
    <t>Melting_Curves/meltCurve_P61175_rplV.pdf</t>
  </si>
  <si>
    <t>Melting_Curves/meltCurve_P61316_lolA.pdf</t>
  </si>
  <si>
    <t>Melting_Curves/meltCurve_P61320_lolB.pdf</t>
  </si>
  <si>
    <t>Melting_Curves/meltCurve_P61517_can.pdf</t>
  </si>
  <si>
    <t>Melting_Curves/meltCurve_P61714_ribE.pdf</t>
  </si>
  <si>
    <t>Melting_Curves/meltCurve_P61889_mdh.pdf</t>
  </si>
  <si>
    <t>Melting_Curves/meltCurve_P61949_fldA.pdf</t>
  </si>
  <si>
    <t>Melting_Curves/meltCurve_P62399_rplE.pdf</t>
  </si>
  <si>
    <t>Melting_Curves/meltCurve_P62517_mdoH.pdf</t>
  </si>
  <si>
    <t>Melting_Curves/meltCurve_P62615_ispE.pdf</t>
  </si>
  <si>
    <t>Melting_Curves/meltCurve_P62617_ispF.pdf</t>
  </si>
  <si>
    <t>Melting_Curves/meltCurve_P62620_ispG.pdf</t>
  </si>
  <si>
    <t>Melting_Curves/meltCurve_P62623_ispH.pdf</t>
  </si>
  <si>
    <t>Melting_Curves/meltCurve_P62672_apaG.pdf</t>
  </si>
  <si>
    <t>Melting_Curves/meltCurve_P62707_gpmA.pdf</t>
  </si>
  <si>
    <t>Melting_Curves/meltCurve_P62768_yaeH.pdf</t>
  </si>
  <si>
    <t>Melting_Curves/meltCurve_P63020_nfuA.pdf</t>
  </si>
  <si>
    <t>Melting_Curves/meltCurve_P63177_rlmB.pdf</t>
  </si>
  <si>
    <t>Melting_Curves/meltCurve_P63204_gadE.pdf</t>
  </si>
  <si>
    <t>Melting_Curves/meltCurve_P63224_gmhA.pdf</t>
  </si>
  <si>
    <t>Melting_Curves/meltCurve_P63229_gmhB.pdf</t>
  </si>
  <si>
    <t>Melting_Curves/meltCurve_P63235_gadC.pdf</t>
  </si>
  <si>
    <t>Melting_Curves/meltCurve_P63284_clpB.pdf</t>
  </si>
  <si>
    <t>Melting_Curves/meltCurve_P63340_yqeG.pdf</t>
  </si>
  <si>
    <t>Melting_Curves/meltCurve_P63386_mlaF.pdf</t>
  </si>
  <si>
    <t>Melting_Curves/meltCurve_P63389_yheS.pdf</t>
  </si>
  <si>
    <t>Melting_Curves/meltCurve_P63883_amiC.pdf</t>
  </si>
  <si>
    <t>Melting_Curves/meltCurve_P64429_ypfJ.pdf</t>
  </si>
  <si>
    <t>Melting_Curves/meltCurve_P64451_ydcL.pdf</t>
  </si>
  <si>
    <t>Melting_Curves/meltCurve_P64455_ydcY.pdf</t>
  </si>
  <si>
    <t>Melting_Curves/meltCurve_P64461_lsrG.pdf</t>
  </si>
  <si>
    <t>Melting_Curves/meltCurve_P64463_ydfZ.pdf</t>
  </si>
  <si>
    <t>Melting_Curves/meltCurve_P64467_cnu.pdf</t>
  </si>
  <si>
    <t>Melting_Curves/meltCurve_P64479_ydiZ.pdf</t>
  </si>
  <si>
    <t>Melting_Curves/meltCurve_P64483_yeaK.pdf</t>
  </si>
  <si>
    <t>Melting_Curves/meltCurve_P64503_yebV.pdf</t>
  </si>
  <si>
    <t>Melting_Curves/meltCurve_P64506_yebY.pdf</t>
  </si>
  <si>
    <t>Melting_Curves/meltCurve_P64515_yecN.pdf</t>
  </si>
  <si>
    <t>Melting_Curves/meltCurve_P64519_yodD.pdf</t>
  </si>
  <si>
    <t>Melting_Curves/meltCurve_P64530_rcnR.pdf</t>
  </si>
  <si>
    <t>Melting_Curves/meltCurve_P64534_rcnB.pdf</t>
  </si>
  <si>
    <t>Melting_Curves/meltCurve_P64554_queE.pdf</t>
  </si>
  <si>
    <t>Melting_Curves/meltCurve_P64564_yggT.pdf</t>
  </si>
  <si>
    <t>Melting_Curves/meltCurve_P64581_yqjD.pdf</t>
  </si>
  <si>
    <t>Melting_Curves/meltCurve_P64585_yqjE.pdf</t>
  </si>
  <si>
    <t>Melting_Curves/meltCurve_P64588_yqjI.pdf</t>
  </si>
  <si>
    <t>Melting_Curves/meltCurve_P64594_yhaV.pdf</t>
  </si>
  <si>
    <t>Melting_Curves/meltCurve_P64596_yraP.pdf</t>
  </si>
  <si>
    <t>Melting_Curves/meltCurve_P64602_mlaB.pdf</t>
  </si>
  <si>
    <t>Melting_Curves/meltCurve_P64604_mlaD.pdf</t>
  </si>
  <si>
    <t>Melting_Curves/meltCurve_P64606_mlaE.pdf</t>
  </si>
  <si>
    <t>Melting_Curves/meltCurve_P64616_yhcO.pdf</t>
  </si>
  <si>
    <t>Melting_Curves/meltCurve_P64624_yheO.pdf</t>
  </si>
  <si>
    <t>Melting_Curves/meltCurve_P65292_ygdI.pdf</t>
  </si>
  <si>
    <t>Melting_Curves/meltCurve_P65367_yqcA.pdf</t>
  </si>
  <si>
    <t>Melting_Curves/meltCurve_P65556_yfcD.pdf</t>
  </si>
  <si>
    <t>Melting_Curves/meltCurve_P65807_ygeY.pdf</t>
  </si>
  <si>
    <t>Melting_Curves/meltCurve_P65870_queD.pdf</t>
  </si>
  <si>
    <t>Melting_Curves/meltCurve_P66899_ygeX.pdf</t>
  </si>
  <si>
    <t>Melting_Curves/meltCurve_P66948_bepA.pdf</t>
  </si>
  <si>
    <t>Melting_Curves/meltCurve_P67080_yggS.pdf</t>
  </si>
  <si>
    <t>Melting_Curves/meltCurve_P67095_yfcE.pdf</t>
  </si>
  <si>
    <t>Melting_Curves/meltCurve_P67244_yqhA.pdf</t>
  </si>
  <si>
    <t>Melting_Curves/meltCurve_P67603_yqfB.pdf</t>
  </si>
  <si>
    <t>Melting_Curves/meltCurve_P67660_yhaJ.pdf</t>
  </si>
  <si>
    <t>Melting_Curves/meltCurve_P67826_cutC.pdf</t>
  </si>
  <si>
    <t>Melting_Curves/meltCurve_P67910_hldD.pdf</t>
  </si>
  <si>
    <t>Melting_Curves/meltCurve_P68066_grcA.pdf</t>
  </si>
  <si>
    <t>Melting_Curves/meltCurve_P68187_malK.pdf</t>
  </si>
  <si>
    <t>Melting_Curves/meltCurve_P68191_sra.pdf</t>
  </si>
  <si>
    <t>Melting_Curves/meltCurve_P68206_yjbJ.pdf</t>
  </si>
  <si>
    <t>Melting_Curves/meltCurve_P68679_rpsU.pdf</t>
  </si>
  <si>
    <t>Melting_Curves/meltCurve_P68688_grxA.pdf</t>
  </si>
  <si>
    <t>Melting_Curves/meltCurve_P68699_atpE.pdf</t>
  </si>
  <si>
    <t>Melting_Curves/meltCurve_P68767_pepA.pdf</t>
  </si>
  <si>
    <t>Melting_Curves/meltCurve_P68919_rplY.pdf</t>
  </si>
  <si>
    <t>Melting_Curves/meltCurve_P69054_sdhC.pdf</t>
  </si>
  <si>
    <t>Melting_Curves/meltCurve_P69222_infA.pdf</t>
  </si>
  <si>
    <t>Melting_Curves/meltCurve_P69228_baeR.pdf</t>
  </si>
  <si>
    <t>Melting_Curves/meltCurve_P69346_yefM.pdf</t>
  </si>
  <si>
    <t>Melting_Curves/meltCurve_P69411_rcsF.pdf</t>
  </si>
  <si>
    <t>Melting_Curves/meltCurve_P69425_tatB.pdf</t>
  </si>
  <si>
    <t>Melting_Curves/meltCurve_P69428_tatA.pdf</t>
  </si>
  <si>
    <t>Melting_Curves/meltCurve_P69441_adk.pdf</t>
  </si>
  <si>
    <t>Melting_Curves/meltCurve_P69451_fadD.pdf</t>
  </si>
  <si>
    <t>Melting_Curves/meltCurve_P69503_apt.pdf</t>
  </si>
  <si>
    <t>Melting_Curves/meltCurve_P69506_ytfE.pdf</t>
  </si>
  <si>
    <t>Melting_Curves/meltCurve_P69739_hyaA.pdf</t>
  </si>
  <si>
    <t>Melting_Curves/meltCurve_P69741_hybO.pdf</t>
  </si>
  <si>
    <t>Melting_Curves/meltCurve_P69776_lpp.pdf</t>
  </si>
  <si>
    <t>Melting_Curves/meltCurve_P69783_crr.pdf</t>
  </si>
  <si>
    <t>Melting_Curves/meltCurve_P69786_ptsG.pdf</t>
  </si>
  <si>
    <t>Melting_Curves/meltCurve_P69795_chbB.pdf</t>
  </si>
  <si>
    <t>Melting_Curves/meltCurve_P69797_manX.pdf</t>
  </si>
  <si>
    <t>Melting_Curves/meltCurve_P69801_manY.pdf</t>
  </si>
  <si>
    <t>Melting_Curves/meltCurve_P69805_manZ.pdf</t>
  </si>
  <si>
    <t>Melting_Curves/meltCurve_P69811_fruB.pdf</t>
  </si>
  <si>
    <t>Melting_Curves/meltCurve_P69820_ulaC.pdf</t>
  </si>
  <si>
    <t>Melting_Curves/meltCurve_P69822_ulaB.pdf</t>
  </si>
  <si>
    <t>Melting_Curves/meltCurve_P69828_gatA.pdf</t>
  </si>
  <si>
    <t>Melting_Curves/meltCurve_P69829_ptsN.pdf</t>
  </si>
  <si>
    <t>Melting_Curves/meltCurve_P69831_gatC.pdf</t>
  </si>
  <si>
    <t>Melting_Curves/meltCurve_P69853_dmsD.pdf</t>
  </si>
  <si>
    <t>Melting_Curves/meltCurve_P69874_potA.pdf</t>
  </si>
  <si>
    <t>Melting_Curves/meltCurve_P69908_gadA.pdf</t>
  </si>
  <si>
    <t>Melting_Curves/meltCurve_P69910_gadB.pdf</t>
  </si>
  <si>
    <t>Melting_Curves/meltCurve_P69913_csrA.pdf</t>
  </si>
  <si>
    <t>Melting_Curves/meltCurve_P69922_fucI.pdf</t>
  </si>
  <si>
    <t>Melting_Curves/meltCurve_P69924_nrdB.pdf</t>
  </si>
  <si>
    <t>Melting_Curves/meltCurve_P75682_yagE.pdf</t>
  </si>
  <si>
    <t>Melting_Curves/meltCurve_P75691_yahK.pdf</t>
  </si>
  <si>
    <t>Melting_Curves/meltCurve_P75694_yahO.pdf</t>
  </si>
  <si>
    <t>Melting_Curves/meltCurve_P75713_allE.pdf</t>
  </si>
  <si>
    <t>Melting_Curves/meltCurve_P75728_ubiF.pdf</t>
  </si>
  <si>
    <t>Melting_Curves/meltCurve_P75736_ybfF.pdf</t>
  </si>
  <si>
    <t>Melting_Curves/meltCurve_P75745_ybgK.pdf</t>
  </si>
  <si>
    <t>Melting_Curves/meltCurve_P75767_ybhK.pdf</t>
  </si>
  <si>
    <t>Melting_Curves/meltCurve_P75777_ybhG.pdf</t>
  </si>
  <si>
    <t>Melting_Curves/meltCurve_P75782_rlmF.pdf</t>
  </si>
  <si>
    <t>Melting_Curves/meltCurve_P75792_ybiV.pdf</t>
  </si>
  <si>
    <t>Melting_Curves/meltCurve_P75797_gsiB.pdf</t>
  </si>
  <si>
    <t>Melting_Curves/meltCurve_P75818_ybjP.pdf</t>
  </si>
  <si>
    <t>Melting_Curves/meltCurve_P75823_ltaE.pdf</t>
  </si>
  <si>
    <t>Melting_Curves/meltCurve_P75863_ycbX.pdf</t>
  </si>
  <si>
    <t>Melting_Curves/meltCurve_P75864_rlmL.pdf</t>
  </si>
  <si>
    <t>Melting_Curves/meltCurve_P75874_yccU.pdf</t>
  </si>
  <si>
    <t>Melting_Curves/meltCurve_P75876_rlmI.pdf</t>
  </si>
  <si>
    <t>Melting_Curves/meltCurve_P75913_ghrA.pdf</t>
  </si>
  <si>
    <t>Melting_Curves/meltCurve_P75914_ycdX.pdf</t>
  </si>
  <si>
    <t>Melting_Curves/meltCurve_P75915_ycdY.pdf</t>
  </si>
  <si>
    <t>Melting_Curves/meltCurve_P75931_yceM.pdf</t>
  </si>
  <si>
    <t>Melting_Curves/meltCurve_P75937_flgE.pdf</t>
  </si>
  <si>
    <t>Melting_Curves/meltCurve_P75952_comR.pdf</t>
  </si>
  <si>
    <t>Melting_Curves/meltCurve_P75959_nagK.pdf</t>
  </si>
  <si>
    <t>Melting_Curves/meltCurve_P75960_cobB.pdf</t>
  </si>
  <si>
    <t>Melting_Curves/meltCurve_P75966_rluE.pdf</t>
  </si>
  <si>
    <t>Melting_Curves/meltCurve_P75974_cohE.pdf</t>
  </si>
  <si>
    <t>Melting_Curves/meltCurve_P76001_ycgJ.pdf</t>
  </si>
  <si>
    <t>Melting_Curves/meltCurve_P76002_pliG.pdf</t>
  </si>
  <si>
    <t>Melting_Curves/meltCurve_P76004_ycgM.pdf</t>
  </si>
  <si>
    <t>Melting_Curves/meltCurve_P76008_ldcA.pdf</t>
  </si>
  <si>
    <t>Melting_Curves/meltCurve_P76014_dhaL.pdf</t>
  </si>
  <si>
    <t>Melting_Curves/meltCurve_P76015_dhaK.pdf</t>
  </si>
  <si>
    <t>Melting_Curves/meltCurve_P76027_oppD.pdf</t>
  </si>
  <si>
    <t>Melting_Curves/meltCurve_P76046_ycjX.pdf</t>
  </si>
  <si>
    <t>Melting_Curves/meltCurve_P76049_ycjY.pdf</t>
  </si>
  <si>
    <t>Melting_Curves/meltCurve_P76055_ttcA.pdf</t>
  </si>
  <si>
    <t>Melting_Curves/meltCurve_P76062_racR.pdf</t>
  </si>
  <si>
    <t>Melting_Curves/meltCurve_P76086_paaX.pdf</t>
  </si>
  <si>
    <t>Melting_Curves/meltCurve_P76097_ydcJ.pdf</t>
  </si>
  <si>
    <t>Melting_Curves/meltCurve_P76100_ydcK.pdf</t>
  </si>
  <si>
    <t>Melting_Curves/meltCurve_P76108_ydcS.pdf</t>
  </si>
  <si>
    <t>Melting_Curves/meltCurve_P76113_curA.pdf</t>
  </si>
  <si>
    <t>Melting_Curves/meltCurve_P76116_yncE.pdf</t>
  </si>
  <si>
    <t>Melting_Curves/meltCurve_P76121_yddH.pdf</t>
  </si>
  <si>
    <t>Melting_Curves/meltCurve_P76128_ddpA.pdf</t>
  </si>
  <si>
    <t>Melting_Curves/meltCurve_P76142_lsrB.pdf</t>
  </si>
  <si>
    <t>Melting_Curves/meltCurve_P76143_lsrF.pdf</t>
  </si>
  <si>
    <t>Melting_Curves/meltCurve_P76145_tam.pdf</t>
  </si>
  <si>
    <t>Melting_Curves/meltCurve_P76149_sad.pdf</t>
  </si>
  <si>
    <t>Melting_Curves/meltCurve_P76172_ynfD.pdf</t>
  </si>
  <si>
    <t>Melting_Curves/meltCurve_P76173_ynfH.pdf</t>
  </si>
  <si>
    <t>Melting_Curves/meltCurve_P76176_ydgD.pdf</t>
  </si>
  <si>
    <t>Melting_Curves/meltCurve_P76177_ydgH.pdf</t>
  </si>
  <si>
    <t>Melting_Curves/meltCurve_P76187_ydhF.pdf</t>
  </si>
  <si>
    <t>Melting_Curves/meltCurve_P76192_ydhV.pdf</t>
  </si>
  <si>
    <t>Melting_Curves/meltCurve_P76193_ynhG.pdf</t>
  </si>
  <si>
    <t>Melting_Curves/meltCurve_P76194_sufE.pdf</t>
  </si>
  <si>
    <t>Melting_Curves/meltCurve_P76206_ydiY.pdf</t>
  </si>
  <si>
    <t>Melting_Curves/meltCurve_P76216_astB.pdf</t>
  </si>
  <si>
    <t>Melting_Curves/meltCurve_P76217_astD.pdf</t>
  </si>
  <si>
    <t>Melting_Curves/meltCurve_P76220_ydjY.pdf</t>
  </si>
  <si>
    <t>Melting_Curves/meltCurve_P76223_ynjB.pdf</t>
  </si>
  <si>
    <t>Melting_Curves/meltCurve_P76227_ynjH.pdf</t>
  </si>
  <si>
    <t>Melting_Curves/meltCurve_P76235_yeaH.pdf</t>
  </si>
  <si>
    <t>Melting_Curves/meltCurve_P76243_yeaO.pdf</t>
  </si>
  <si>
    <t>Melting_Curves/meltCurve_P76251_dmlA.pdf</t>
  </si>
  <si>
    <t>Melting_Curves/meltCurve_P76256_tsaB.pdf</t>
  </si>
  <si>
    <t>Melting_Curves/meltCurve_P76268_kdgR.pdf</t>
  </si>
  <si>
    <t>Melting_Curves/meltCurve_P76270_msrC.pdf</t>
  </si>
  <si>
    <t>Melting_Curves/meltCurve_P76272_yebT.pdf</t>
  </si>
  <si>
    <t>Melting_Curves/meltCurve_P76290_cmoA.pdf</t>
  </si>
  <si>
    <t>Melting_Curves/meltCurve_P76298_flhA.pdf</t>
  </si>
  <si>
    <t>Melting_Curves/meltCurve_P76316_dcyD.pdf</t>
  </si>
  <si>
    <t>Melting_Curves/meltCurve_P76318_yedK.pdf</t>
  </si>
  <si>
    <t>Melting_Curves/meltCurve_P76329_yedP.pdf</t>
  </si>
  <si>
    <t>Melting_Curves/meltCurve_P76342_msrP.pdf</t>
  </si>
  <si>
    <t>Melting_Curves/meltCurve_P76346_mtfA.pdf</t>
  </si>
  <si>
    <t>Melting_Curves/meltCurve_P76372_wzzB.pdf</t>
  </si>
  <si>
    <t>Melting_Curves/meltCurve_P76397_mdtA.pdf</t>
  </si>
  <si>
    <t>Melting_Curves/meltCurve_P76402_yegP.pdf</t>
  </si>
  <si>
    <t>Melting_Curves/meltCurve_P76403_yegQ.pdf</t>
  </si>
  <si>
    <t>Melting_Curves/meltCurve_P76407_yegS.pdf</t>
  </si>
  <si>
    <t>Melting_Curves/meltCurve_P76440_preT.pdf</t>
  </si>
  <si>
    <t>Melting_Curves/meltCurve_P76445_lpxT.pdf</t>
  </si>
  <si>
    <t>Melting_Curves/meltCurve_P76502_sixA.pdf</t>
  </si>
  <si>
    <t>Melting_Curves/meltCurve_P76506_mlaA.pdf</t>
  </si>
  <si>
    <t>Melting_Curves/meltCurve_P76535_murQ.pdf</t>
  </si>
  <si>
    <t>Melting_Curves/meltCurve_P76536_yfeX.pdf</t>
  </si>
  <si>
    <t>Melting_Curves/meltCurve_P76537_yfeY.pdf</t>
  </si>
  <si>
    <t>Melting_Curves/meltCurve_P76541_eutL.pdf</t>
  </si>
  <si>
    <t>Melting_Curves/meltCurve_P76550_yffS.pdf</t>
  </si>
  <si>
    <t>Melting_Curves/meltCurve_P76555_eutQ.pdf</t>
  </si>
  <si>
    <t>Melting_Curves/meltCurve_P76558_maeB.pdf</t>
  </si>
  <si>
    <t>Melting_Curves/meltCurve_P76561_ypfH.pdf</t>
  </si>
  <si>
    <t>Melting_Curves/meltCurve_P76569_yfgD.pdf</t>
  </si>
  <si>
    <t>Melting_Curves/meltCurve_P76575_yfgJ.pdf</t>
  </si>
  <si>
    <t>Melting_Curves/meltCurve_P76576_yfgM.pdf</t>
  </si>
  <si>
    <t>Melting_Curves/meltCurve_P76578_yfhM.pdf</t>
  </si>
  <si>
    <t>Melting_Curves/meltCurve_P76594_pka.pdf</t>
  </si>
  <si>
    <t>Melting_Curves/meltCurve_P76621_csiD.pdf</t>
  </si>
  <si>
    <t>Melting_Curves/meltCurve_P76658_hldE.pdf</t>
  </si>
  <si>
    <t>Melting_Curves/meltCurve_P77148_ydhS.pdf</t>
  </si>
  <si>
    <t>Melting_Curves/meltCurve_P77162_ykfB.pdf</t>
  </si>
  <si>
    <t>Melting_Curves/meltCurve_P77173_zipA.pdf</t>
  </si>
  <si>
    <t>Melting_Curves/meltCurve_P77181_paaY.pdf</t>
  </si>
  <si>
    <t>Melting_Curves/meltCurve_P77202_dsbG.pdf</t>
  </si>
  <si>
    <t>Melting_Curves/meltCurve_P77212_rclA.pdf</t>
  </si>
  <si>
    <t>Melting_Curves/meltCurve_P77213_ybdK.pdf</t>
  </si>
  <si>
    <t>Melting_Curves/meltCurve_P77215_rhmD.pdf</t>
  </si>
  <si>
    <t>Melting_Curves/meltCurve_P77243_prpD.pdf</t>
  </si>
  <si>
    <t>Melting_Curves/meltCurve_P77247_yniC.pdf</t>
  </si>
  <si>
    <t>Melting_Curves/meltCurve_P77252_ykgE.pdf</t>
  </si>
  <si>
    <t>Melting_Curves/meltCurve_P77258_nemA.pdf</t>
  </si>
  <si>
    <t>Melting_Curves/meltCurve_P77269_yphF.pdf</t>
  </si>
  <si>
    <t>Melting_Curves/meltCurve_P77285_rsxG.pdf</t>
  </si>
  <si>
    <t>Melting_Curves/meltCurve_P77318_ydeN.pdf</t>
  </si>
  <si>
    <t>Melting_Curves/meltCurve_P77330_borD.pdf</t>
  </si>
  <si>
    <t>Melting_Curves/meltCurve_P77338_mscK.pdf</t>
  </si>
  <si>
    <t>Melting_Curves/meltCurve_P77348_mppA.pdf</t>
  </si>
  <si>
    <t>Melting_Curves/meltCurve_P77368_ybcL.pdf</t>
  </si>
  <si>
    <t>Melting_Curves/meltCurve_P77376_ydgJ.pdf</t>
  </si>
  <si>
    <t>Melting_Curves/meltCurve_P77395_ybbN.pdf</t>
  </si>
  <si>
    <t>Melting_Curves/meltCurve_P77433_ykgG.pdf</t>
  </si>
  <si>
    <t>Melting_Curves/meltCurve_P77434_alaC.pdf</t>
  </si>
  <si>
    <t>Melting_Curves/meltCurve_P77444_sufS.pdf</t>
  </si>
  <si>
    <t>Melting_Curves/meltCurve_P77454_glsA1.pdf</t>
  </si>
  <si>
    <t>Melting_Curves/meltCurve_P77488_dxs.pdf</t>
  </si>
  <si>
    <t>Melting_Curves/meltCurve_P77499_sufC.pdf</t>
  </si>
  <si>
    <t>Melting_Curves/meltCurve_P77522_sufB.pdf</t>
  </si>
  <si>
    <t>Melting_Curves/meltCurve_P77526_yfcG.pdf</t>
  </si>
  <si>
    <t>Melting_Curves/meltCurve_P77529_ydjN.pdf</t>
  </si>
  <si>
    <t>Melting_Curves/meltCurve_P77541_prpB.pdf</t>
  </si>
  <si>
    <t>Melting_Curves/meltCurve_P77544_yfcF.pdf</t>
  </si>
  <si>
    <t>Melting_Curves/meltCurve_P77552_ydhQ.pdf</t>
  </si>
  <si>
    <t>Melting_Curves/meltCurve_P77554_yahJ.pdf</t>
  </si>
  <si>
    <t>Melting_Curves/meltCurve_P77562_yaiW.pdf</t>
  </si>
  <si>
    <t>Melting_Curves/meltCurve_P77581_astC.pdf</t>
  </si>
  <si>
    <t>Melting_Curves/meltCurve_P77611_rsxC.pdf</t>
  </si>
  <si>
    <t>Melting_Curves/meltCurve_P77625_yfbT.pdf</t>
  </si>
  <si>
    <t>Melting_Curves/meltCurve_P77671_allB.pdf</t>
  </si>
  <si>
    <t>Melting_Curves/meltCurve_P77674_prr.pdf</t>
  </si>
  <si>
    <t>Melting_Curves/meltCurve_P77689_sufD.pdf</t>
  </si>
  <si>
    <t>Melting_Curves/meltCurve_P77695_gnsB.pdf</t>
  </si>
  <si>
    <t>Melting_Curves/meltCurve_P77712_fadM.pdf</t>
  </si>
  <si>
    <t>Melting_Curves/meltCurve_P77713_yagH.pdf</t>
  </si>
  <si>
    <t>Melting_Curves/meltCurve_P77718_thiI.pdf</t>
  </si>
  <si>
    <t>Melting_Curves/meltCurve_P77721_ydjF.pdf</t>
  </si>
  <si>
    <t>Melting_Curves/meltCurve_P77735_yajO.pdf</t>
  </si>
  <si>
    <t>Melting_Curves/meltCurve_P77737_oppF.pdf</t>
  </si>
  <si>
    <t>Melting_Curves/meltCurve_P77739_yniA.pdf</t>
  </si>
  <si>
    <t>Melting_Curves/meltCurve_P77748_ydiJ.pdf</t>
  </si>
  <si>
    <t>Melting_Curves/meltCurve_P77754_spy.pdf</t>
  </si>
  <si>
    <t>Melting_Curves/meltCurve_P77756_queC.pdf</t>
  </si>
  <si>
    <t>Melting_Curves/meltCurve_P77774_bamB.pdf</t>
  </si>
  <si>
    <t>Melting_Curves/meltCurve_P77775_yfcH.pdf</t>
  </si>
  <si>
    <t>Melting_Curves/meltCurve_P77783_ynfF.pdf</t>
  </si>
  <si>
    <t>Melting_Curves/meltCurve_P77791_maa.pdf</t>
  </si>
  <si>
    <t>Melting_Curves/meltCurve_P77804_ydgA.pdf</t>
  </si>
  <si>
    <t>Melting_Curves/meltCurve_P77808_yfaY.pdf</t>
  </si>
  <si>
    <t>Melting_Curves/meltCurve_P78055_fsaA.pdf</t>
  </si>
  <si>
    <t>Melting_Curves/meltCurve_P78067_ynjE.pdf</t>
  </si>
  <si>
    <t>Melting_Curves/meltCurve_P80668_feaB.pdf</t>
  </si>
  <si>
    <t>Melting_Curves/meltCurve_Q2M7R5_yibT.pdf</t>
  </si>
  <si>
    <t>Melting_Curves/meltCurve_Q2MB16_yobH.pdf</t>
  </si>
  <si>
    <t>Melting_Curves/meltCurve_Q46799_xdhA.pdf</t>
  </si>
  <si>
    <t>Melting_Curves/meltCurve_Q46801_xdhC.pdf</t>
  </si>
  <si>
    <t>Melting_Curves/meltCurve_Q46803_ygeW.pdf</t>
  </si>
  <si>
    <t>Melting_Curves/meltCurve_Q46807_yqeA.pdf</t>
  </si>
  <si>
    <t>Melting_Curves/meltCurve_Q46811_ygfK.pdf</t>
  </si>
  <si>
    <t>Melting_Curves/meltCurve_Q46814_xdhD.pdf</t>
  </si>
  <si>
    <t>Melting_Curves/meltCurve_Q46822_idi.pdf</t>
  </si>
  <si>
    <t>Melting_Curves/meltCurve_Q46829_bglA.pdf</t>
  </si>
  <si>
    <t>Melting_Curves/meltCurve_Q46845_yghU.pdf</t>
  </si>
  <si>
    <t>Melting_Curves/meltCurve_Q46851_gpr.pdf</t>
  </si>
  <si>
    <t>Melting_Curves/meltCurve_Q46856_yqhD.pdf</t>
  </si>
  <si>
    <t>Melting_Curves/meltCurve_Q46857_dkgA.pdf</t>
  </si>
  <si>
    <t>Melting_Curves/meltCurve_Q46863_ygiS.pdf</t>
  </si>
  <si>
    <t>Melting_Curves/meltCurve_Q46864_mqsA.pdf</t>
  </si>
  <si>
    <t>Melting_Curves/meltCurve_Q46868_yqiC.pdf</t>
  </si>
  <si>
    <t>Melting_Curves/meltCurve_Q46871_yqjH.pdf</t>
  </si>
  <si>
    <t>Melting_Curves/meltCurve_Q46893_ispD.pdf</t>
  </si>
  <si>
    <t>Melting_Curves/meltCurve_Q46920_queF.pdf</t>
  </si>
  <si>
    <t>Melting_Curves/meltCurve_Q46938_kduI.pdf</t>
  </si>
  <si>
    <t>Melting_Curves/meltCurve_Q46948_yajL.pdf</t>
  </si>
  <si>
    <t>Melting_Curves/meltCurve_Q47146_fadE.pdf</t>
  </si>
  <si>
    <t>Melting_Curves/meltCurve_Q47147_yafJ.pdf</t>
  </si>
  <si>
    <t>Melting_Curves/meltCurve_Q47150_dinJ.pdf</t>
  </si>
  <si>
    <t>Melting_Curves/meltCurve_Q47157_yafO.pdf</t>
  </si>
  <si>
    <t>Melting_Curves/meltCurve_Q47622_sapA.pdf</t>
  </si>
  <si>
    <t>Melting_Curves/meltCurve_Q47679_yafV.pdf</t>
  </si>
  <si>
    <t>Melting_Curves/meltCurve_Q47690_mmuM.pdf</t>
  </si>
  <si>
    <t>Melting_Curves/meltCurve_Q57261_truD.pdf</t>
  </si>
  <si>
    <t>Melting_Curves/meltCurve_Q59385_copA.pdf</t>
  </si>
  <si>
    <t>Melting_Curves/meltCurve_Q93K97_nudF.pdf</t>
  </si>
  <si>
    <t>Melting_Curves/meltCurve_Q9LBU0_kgtP.pdf</t>
  </si>
  <si>
    <t>Melting_Curves/meltCurve_Q9LBU5_yrdA.pdf</t>
  </si>
  <si>
    <t>Melting_Curves/meltCurve_Q9LBV1_mobB.pdf</t>
  </si>
  <si>
    <t>Yes</t>
  </si>
  <si>
    <t>No</t>
  </si>
  <si>
    <t>Beta-galactosidase</t>
  </si>
  <si>
    <t>6-phosphogluconate dehydrogenase, decarboxylating</t>
  </si>
  <si>
    <t>Fumarate reductase flavoprotein subunit</t>
  </si>
  <si>
    <t>NADP-specific glutamate dehydrogenase</t>
  </si>
  <si>
    <t>NADH dehydrogenase</t>
  </si>
  <si>
    <t>Superoxide dismutase [Mn]</t>
  </si>
  <si>
    <t>Ribonucleoside-diphosphate reductase 1 subunit alpha</t>
  </si>
  <si>
    <t>Maltodextrin phosphorylase</t>
  </si>
  <si>
    <t>Aspartate aminotransferase</t>
  </si>
  <si>
    <t>Homoserine kinase</t>
  </si>
  <si>
    <t>PTS system mannitol-specific EIICBA component</t>
  </si>
  <si>
    <t>Bifunctional aspartokinase/homoserine dehydrogenase 1</t>
  </si>
  <si>
    <t>RNA polymerase sigma factor RpoD</t>
  </si>
  <si>
    <t>DNA polymerase I</t>
  </si>
  <si>
    <t>Alkaline phosphatase</t>
  </si>
  <si>
    <t>Signal peptidase I</t>
  </si>
  <si>
    <t>L-asparaginase 2</t>
  </si>
  <si>
    <t>Beta-lactamase</t>
  </si>
  <si>
    <t>Phosphoenolpyruvate carboxylase</t>
  </si>
  <si>
    <t>Anthranilate synthase component 1</t>
  </si>
  <si>
    <t>Bifunctional protein TrpGD</t>
  </si>
  <si>
    <t>Tryptophan biosynthesis protein TrpCF</t>
  </si>
  <si>
    <t>D-serine dehydratase</t>
  </si>
  <si>
    <t>Threonine synthase</t>
  </si>
  <si>
    <t>Cystathionine gamma-synthase</t>
  </si>
  <si>
    <t>Mannose-6-phosphate isomerase</t>
  </si>
  <si>
    <t>Tryptophan--tRNA ligase</t>
  </si>
  <si>
    <t>Isoleucine--tRNA ligase</t>
  </si>
  <si>
    <t>Alanine--tRNA ligase</t>
  </si>
  <si>
    <t>Methionine--tRNA ligase</t>
  </si>
  <si>
    <t>Glycine--tRNA ligase alpha subunit</t>
  </si>
  <si>
    <t>Glycine--tRNA ligase beta subunit</t>
  </si>
  <si>
    <t>Glutamine--tRNA ligase</t>
  </si>
  <si>
    <t>30S ribosomal protein S6</t>
  </si>
  <si>
    <t>30S ribosomal protein S7</t>
  </si>
  <si>
    <t>50S ribosomal protein L15</t>
  </si>
  <si>
    <t>Maltose transport system permease protein MalF</t>
  </si>
  <si>
    <t>Penicillin-binding protein 1A</t>
  </si>
  <si>
    <t>Penicillin-binding protein 1B</t>
  </si>
  <si>
    <t>L-arabinose-binding periplasmic protein</t>
  </si>
  <si>
    <t>Ribose import binding protein RbsB</t>
  </si>
  <si>
    <t>Outer membrane protein TolC</t>
  </si>
  <si>
    <t>Outer membrane protein F</t>
  </si>
  <si>
    <t>Methyl-accepting chemotaxis protein I</t>
  </si>
  <si>
    <t>Maltoporin</t>
  </si>
  <si>
    <t>Uncharacterized protein YgeA</t>
  </si>
  <si>
    <t>Protein MioC</t>
  </si>
  <si>
    <t>Maltose operon periplasmic protein</t>
  </si>
  <si>
    <t>4-hydroxy-tetrahydrodipicolinate reductase</t>
  </si>
  <si>
    <t>GMP synthase [glutamine-hydrolyzing]</t>
  </si>
  <si>
    <t>Esterase FrsA</t>
  </si>
  <si>
    <t>Glutathione synthetase</t>
  </si>
  <si>
    <t>Aromatic-amino-acid aminotransferase</t>
  </si>
  <si>
    <t>Glutamate--tRNA ligase</t>
  </si>
  <si>
    <t>Leucine-specific-binding protein</t>
  </si>
  <si>
    <t>Aminopeptidase N</t>
  </si>
  <si>
    <t>Lipoprotein 28</t>
  </si>
  <si>
    <t>Flagellin</t>
  </si>
  <si>
    <t>3-deoxy-manno-octulosonate cytidylyltransferase</t>
  </si>
  <si>
    <t>D-ribose pyranase</t>
  </si>
  <si>
    <t>Ribose import ATP-binding protein RbsA</t>
  </si>
  <si>
    <t>Dihydroorotase</t>
  </si>
  <si>
    <t>Aminodeoxychorismate synthase component 1</t>
  </si>
  <si>
    <t>Fumarate hydratase class II</t>
  </si>
  <si>
    <t>Polyribonucleotide nucleotidyltransferase</t>
  </si>
  <si>
    <t>3-dehydroquinate dehydratase</t>
  </si>
  <si>
    <t>Protease 3</t>
  </si>
  <si>
    <t>Erythronate-4-phosphate dehydrogenase</t>
  </si>
  <si>
    <t>Bis(5-nucleosyl)-tetraphosphatase [symmetrical]</t>
  </si>
  <si>
    <t>Methyl-accepting chemotaxis protein III</t>
  </si>
  <si>
    <t>Sorbitol-6-phosphate 2-dehydrogenase</t>
  </si>
  <si>
    <t>Dihydroxy-acid dehydratase</t>
  </si>
  <si>
    <t>Ketol-acid reductoisomerase (NADP(+))</t>
  </si>
  <si>
    <t>Beta-glucuronidase</t>
  </si>
  <si>
    <t>D-lactate dehydrogenase</t>
  </si>
  <si>
    <t>CDP-diacylglycerol pyrophosphatase</t>
  </si>
  <si>
    <t>Thioredoxin/glutathione peroxidase BtuE</t>
  </si>
  <si>
    <t>DNA topoisomerase 1</t>
  </si>
  <si>
    <t>GTPase Era</t>
  </si>
  <si>
    <t>DNA polymerase III subunit tau</t>
  </si>
  <si>
    <t>Glutathione reductase</t>
  </si>
  <si>
    <t>Alpha-galactosidase</t>
  </si>
  <si>
    <t>HTH-type transcriptional regulator EbgR</t>
  </si>
  <si>
    <t>Dihydrolipoyllysine-residue acetyltransferase component of pyruvate dehydrogenase complex</t>
  </si>
  <si>
    <t>Multifunctional CCA protein</t>
  </si>
  <si>
    <t>HTH-type transcriptional regulator DicA</t>
  </si>
  <si>
    <t>Deoxyuridine 5-triphosphate nucleotidohydrolase</t>
  </si>
  <si>
    <t>Flagellar motor switch protein FliM</t>
  </si>
  <si>
    <t>Porphobilinogen deaminase</t>
  </si>
  <si>
    <t>Histidinol-phosphate aminotransferase</t>
  </si>
  <si>
    <t>Histidine biosynthesis bifunctional protein HisB</t>
  </si>
  <si>
    <t>Histidinol dehydrogenase</t>
  </si>
  <si>
    <t>Histidine biosynthesis bifunctional protein HisIE</t>
  </si>
  <si>
    <t>Ribosomal RNA small subunit methyltransferase A</t>
  </si>
  <si>
    <t>Outer membrane protein C</t>
  </si>
  <si>
    <t>ATP-dependent 6-phosphofructokinase isozyme 2</t>
  </si>
  <si>
    <t>NAD(P) transhydrogenase subunit alpha</t>
  </si>
  <si>
    <t>Pyruvate dehydrogenase [ubiquinone]</t>
  </si>
  <si>
    <t>Gamma-glutamyl phosphate reductase</t>
  </si>
  <si>
    <t>Peptide chain release factor RF2</t>
  </si>
  <si>
    <t>Succinate dehydrogenase iron-sulfur subunit</t>
  </si>
  <si>
    <t>Methyl-accepting chemotaxis protein II</t>
  </si>
  <si>
    <t>Methyl-accepting chemotaxis protein IV</t>
  </si>
  <si>
    <t>T-protein</t>
  </si>
  <si>
    <t>Protein UshA</t>
  </si>
  <si>
    <t>Periplasmic AppA protein</t>
  </si>
  <si>
    <t>Sodium/proline symporter</t>
  </si>
  <si>
    <t>Valine--tRNA ligase</t>
  </si>
  <si>
    <t>Chemotaxis response regulator protein-glutamate methylesterase</t>
  </si>
  <si>
    <t>Chemotaxis protein CheA</t>
  </si>
  <si>
    <t>Phenylalanine--tRNA ligase beta subunit</t>
  </si>
  <si>
    <t>Transcriptional regulatory protein TyrR</t>
  </si>
  <si>
    <t>3-dehydroquinate synthase</t>
  </si>
  <si>
    <t>Thymidine phosphorylase</t>
  </si>
  <si>
    <t>1,4-alpha-glucan branching enzyme GlgB</t>
  </si>
  <si>
    <t>Leucine--tRNA ligase</t>
  </si>
  <si>
    <t>Iron(3+)-hydroxamate-binding protein FhuD</t>
  </si>
  <si>
    <t>D-alanine--D-alanine ligase B</t>
  </si>
  <si>
    <t>L-threonine 3-dehydrogenase</t>
  </si>
  <si>
    <t>Phosphoribosylformylglycinamidine cyclo-ligase</t>
  </si>
  <si>
    <t>Phosphoribosylglycinamide formyltransferase</t>
  </si>
  <si>
    <t>Dihydrofolate synthase/folylpolyglutamate synthase</t>
  </si>
  <si>
    <t>Isocitrate dehydrogenase [NADP]</t>
  </si>
  <si>
    <t>L-arabinose isomerase</t>
  </si>
  <si>
    <t>Orotidine 5-phosphate decarboxylase</t>
  </si>
  <si>
    <t>Phenylalanine--tRNA ligase alpha subunit</t>
  </si>
  <si>
    <t>2,3-cyclic-nucleotide 2-phosphodiesterase/3-nucleotidase</t>
  </si>
  <si>
    <t>8-oxo-dGTP diphosphatase</t>
  </si>
  <si>
    <t>UDP-N-acetylenolpyruvoylglucosamine reductase</t>
  </si>
  <si>
    <t>USG-1 protein</t>
  </si>
  <si>
    <t>Protease 4</t>
  </si>
  <si>
    <t>D-alanyl-D-alanine carboxypeptidase DacC</t>
  </si>
  <si>
    <t>Colicin V production protein</t>
  </si>
  <si>
    <t>Chaperone protein DnaJ</t>
  </si>
  <si>
    <t>Phosphoenolpyruvate-protein phosphotransferase</t>
  </si>
  <si>
    <t>Type I restriction enzyme EcoKI R protein</t>
  </si>
  <si>
    <t>Type I restriction enzyme EcoKI M protein</t>
  </si>
  <si>
    <t>Malate synthase A</t>
  </si>
  <si>
    <t>N5-carboxyaminoimidazole ribonucleotide synthase</t>
  </si>
  <si>
    <t>Exodeoxyribonuclease III</t>
  </si>
  <si>
    <t>Putative uroporphyrinogen-III C-methyltransferase</t>
  </si>
  <si>
    <t>UDP-glucose 4-epimerase</t>
  </si>
  <si>
    <t>Galactose-1-phosphate uridylyltransferase</t>
  </si>
  <si>
    <t>Respiratory nitrate reductase 1 alpha chain</t>
  </si>
  <si>
    <t>Prophage tail fiber assembly protein homolog TfaE</t>
  </si>
  <si>
    <t>Ribonuclease D</t>
  </si>
  <si>
    <t>Polyamine aminopropyltransferase</t>
  </si>
  <si>
    <t>Protease 7</t>
  </si>
  <si>
    <t>PTS system N-acetylglucosamine-specific EIICBA component</t>
  </si>
  <si>
    <t>Protein GrpE</t>
  </si>
  <si>
    <t>Formate acetyltransferase 1</t>
  </si>
  <si>
    <t>Rhomboid protease GlpG</t>
  </si>
  <si>
    <t>Glycerophosphodiester phosphodiesterase, periplasmic</t>
  </si>
  <si>
    <t>Mannitol-1-phosphate 5-dehydrogenase</t>
  </si>
  <si>
    <t>Bifunctional protein PutA</t>
  </si>
  <si>
    <t>Cell division protein DedD</t>
  </si>
  <si>
    <t>Lysine/arginine/ornithine-binding periplasmic protein</t>
  </si>
  <si>
    <t>Glutamate synthase [NADPH] large chain</t>
  </si>
  <si>
    <t>Glutamate synthase [NADPH] small chain</t>
  </si>
  <si>
    <t>Molybdenum import ATP-binding protein ModC</t>
  </si>
  <si>
    <t>UvrABC system protein A</t>
  </si>
  <si>
    <t>Acetate kinase</t>
  </si>
  <si>
    <t>Acyl carrier protein</t>
  </si>
  <si>
    <t>Alanine racemase, biosynthetic</t>
  </si>
  <si>
    <t>Cysteine desulfurase IscS</t>
  </si>
  <si>
    <t>Endonuclease 4</t>
  </si>
  <si>
    <t>Arginine repressor</t>
  </si>
  <si>
    <t>3-phosphoshikimate 1-carboxyvinyltransferase</t>
  </si>
  <si>
    <t>Shikimate kinase 1</t>
  </si>
  <si>
    <t>Shikimate kinase 2</t>
  </si>
  <si>
    <t>Argininosuccinate synthase</t>
  </si>
  <si>
    <t>ATP-dependent dethiobiotin synthetase BioD 2</t>
  </si>
  <si>
    <t>Carbamoyl-phosphate synthase small chain</t>
  </si>
  <si>
    <t>Glycerol kinase</t>
  </si>
  <si>
    <t>60 kDa chaperonin</t>
  </si>
  <si>
    <t>10 kDa chaperonin</t>
  </si>
  <si>
    <t>Nicotinamide-nucleotide amidohydrolase PncC</t>
  </si>
  <si>
    <t>ATP-dependent Clp protease proteolytic subunit</t>
  </si>
  <si>
    <t>ATP-dependent Clp protease ATP-binding subunit ClpX</t>
  </si>
  <si>
    <t>ATP-dependent protease ATPase subunit HslU</t>
  </si>
  <si>
    <t>Cytidylate kinase</t>
  </si>
  <si>
    <t>Pantothenate kinase</t>
  </si>
  <si>
    <t>Phosphopantetheine adenylyltransferase</t>
  </si>
  <si>
    <t>Dephospho-CoA kinase</t>
  </si>
  <si>
    <t>Sulfate transporter CysZ</t>
  </si>
  <si>
    <t>D-amino acid dehydrogenase</t>
  </si>
  <si>
    <t>D-alanine--D-alanine ligase A</t>
  </si>
  <si>
    <t>Diaminopimelate epimerase</t>
  </si>
  <si>
    <t>Peptide deformylase</t>
  </si>
  <si>
    <t>Phosphopentomutase</t>
  </si>
  <si>
    <t>Deoxyribose-phosphate aldolase</t>
  </si>
  <si>
    <t>4-hydroxy-tetrahydrodipicolinate synthase</t>
  </si>
  <si>
    <t>Altronate oxidoreductase</t>
  </si>
  <si>
    <t>Co-chaperone protein HscB</t>
  </si>
  <si>
    <t>D-aminoacyl-tRNA deacylase</t>
  </si>
  <si>
    <t>Elongation factor G</t>
  </si>
  <si>
    <t>Elongation factor P</t>
  </si>
  <si>
    <t>Elongation factor P-like protein</t>
  </si>
  <si>
    <t>Elongation factor Ts</t>
  </si>
  <si>
    <t>GTPase Der</t>
  </si>
  <si>
    <t>Probable GTP-binding protein EngB</t>
  </si>
  <si>
    <t>Enolase</t>
  </si>
  <si>
    <t>3-hydroxydecanoyl-[acyl-carrier-protein] dehydratase</t>
  </si>
  <si>
    <t>3-hydroxyacyl-[acyl-carrier-protein] dehydratase FabZ</t>
  </si>
  <si>
    <t>3-oxoacyl-[acyl-carrier-protein] synthase 3</t>
  </si>
  <si>
    <t>Flagellar L-ring protein</t>
  </si>
  <si>
    <t>Glycerol-3-phosphate dehydrogenase [NAD(P)+]</t>
  </si>
  <si>
    <t>Glucose-6-phosphate isomerase</t>
  </si>
  <si>
    <t>Galactokinase</t>
  </si>
  <si>
    <t>GTP cyclohydrolase 1</t>
  </si>
  <si>
    <t>Glycine cleavage system H protein</t>
  </si>
  <si>
    <t>Ribosomal RNA small subunit methyltransferase G</t>
  </si>
  <si>
    <t>Glycogen synthase</t>
  </si>
  <si>
    <t>Glucose-1-phosphate adenylyltransferase</t>
  </si>
  <si>
    <t>Glucokinase</t>
  </si>
  <si>
    <t>Phospho-N-acetylmuramoyl-pentapeptide-transferase</t>
  </si>
  <si>
    <t>Transcription elongation factor GreA</t>
  </si>
  <si>
    <t>Glutamate--cysteine ligase</t>
  </si>
  <si>
    <t>RNA-binding protein Hfq</t>
  </si>
  <si>
    <t>Integration host factor subunit alpha</t>
  </si>
  <si>
    <t>Integration host factor subunit beta</t>
  </si>
  <si>
    <t>33 kDa chaperonin</t>
  </si>
  <si>
    <t>Chaperone protein DnaK</t>
  </si>
  <si>
    <t>Chaperone protein HscA</t>
  </si>
  <si>
    <t>Chaperone protein HtpG</t>
  </si>
  <si>
    <t>Translation initiation factor IF-2</t>
  </si>
  <si>
    <t>Translation initiation factor IF-3</t>
  </si>
  <si>
    <t>2-dehydro-3-deoxyphosphooctonate aldolase</t>
  </si>
  <si>
    <t>Ribose-phosphate pyrophosphokinase</t>
  </si>
  <si>
    <t>Thymidylate kinase</t>
  </si>
  <si>
    <t>Acyl-[acyl-carrier-protein]--UDP-N-acetylglucosamine O-acyltransferase</t>
  </si>
  <si>
    <t>UDP-3-O-acyl-N-acetylglucosamine deacetylase</t>
  </si>
  <si>
    <t>Maf-like protein YceF</t>
  </si>
  <si>
    <t>Methylglyoxal synthase</t>
  </si>
  <si>
    <t>Cell division topological specificity factor</t>
  </si>
  <si>
    <t>Cyclic pyranopterin monophosphate synthase</t>
  </si>
  <si>
    <t>Large-conductance mechanosensitive channel</t>
  </si>
  <si>
    <t>Peptide methionine sulfoxide reductase MsrA</t>
  </si>
  <si>
    <t>Peptide methionine sulfoxide reductase MsrB</t>
  </si>
  <si>
    <t>UDP-N-acetylglucosamine 1-carboxyvinyltransferase</t>
  </si>
  <si>
    <t>Glucosamine-6-phosphate deaminase</t>
  </si>
  <si>
    <t>Putative N-acetylmannosamine-6-phosphate 2-epimerase</t>
  </si>
  <si>
    <t>Nucleoside diphosphate kinase</t>
  </si>
  <si>
    <t>N utilization substance protein B</t>
  </si>
  <si>
    <t>Oligoribonuclease</t>
  </si>
  <si>
    <t>Aspartate 1-decarboxylase</t>
  </si>
  <si>
    <t>Pyridoxine 5-phosphate synthase</t>
  </si>
  <si>
    <t>ATP-dependent 6-phosphofructokinase isozyme 1</t>
  </si>
  <si>
    <t>Phosphoglycerate kinase</t>
  </si>
  <si>
    <t>Probable phosphoglycerate mutase GpmB</t>
  </si>
  <si>
    <t>Inorganic pyrophosphatase</t>
  </si>
  <si>
    <t>NAD kinase</t>
  </si>
  <si>
    <t>Glutamate 5-kinase</t>
  </si>
  <si>
    <t>ATP-dependent protease subunit HslV</t>
  </si>
  <si>
    <t>LexA repressor</t>
  </si>
  <si>
    <t>Peptidase E</t>
  </si>
  <si>
    <t>Peptidyl-tRNA hydrolase</t>
  </si>
  <si>
    <t>Adenylosuccinate synthetase</t>
  </si>
  <si>
    <t>Phosphoribosylaminoimidazole-succinocarboxamide synthase</t>
  </si>
  <si>
    <t>Dihydroorotate dehydrogenase (quinone)</t>
  </si>
  <si>
    <t>CTP synthase</t>
  </si>
  <si>
    <t>Uridylate kinase</t>
  </si>
  <si>
    <t>Aspartate carbamoyltransferase regulatory chain</t>
  </si>
  <si>
    <t>S-adenosylmethionine decarboxylase proenzyme</t>
  </si>
  <si>
    <t>30S ribosome-binding factor</t>
  </si>
  <si>
    <t>Protein RecA</t>
  </si>
  <si>
    <t>Recombination protein RecR</t>
  </si>
  <si>
    <t>Peptide chain release factor RF1</t>
  </si>
  <si>
    <t>Peptide chain release factor RF3</t>
  </si>
  <si>
    <t>GTP cyclohydrolase-2</t>
  </si>
  <si>
    <t>3,4-dihydroxy-2-butanone 4-phosphate synthase</t>
  </si>
  <si>
    <t>50S ribosomal protein L10</t>
  </si>
  <si>
    <t>50S ribosomal protein L11</t>
  </si>
  <si>
    <t>50S ribosomal protein L7/L12</t>
  </si>
  <si>
    <t>50S ribosomal protein L19</t>
  </si>
  <si>
    <t>50S ribosomal protein L1</t>
  </si>
  <si>
    <t>50S ribosomal protein L20</t>
  </si>
  <si>
    <t>50S ribosomal protein L27</t>
  </si>
  <si>
    <t>50S ribosomal protein L28</t>
  </si>
  <si>
    <t>50S ribosomal protein L31</t>
  </si>
  <si>
    <t>50S ribosomal protein L36</t>
  </si>
  <si>
    <t>50S ribosomal protein L9</t>
  </si>
  <si>
    <t>30S ribosomal protein S10</t>
  </si>
  <si>
    <t>30S ribosomal protein S11</t>
  </si>
  <si>
    <t>30S ribosomal protein S12</t>
  </si>
  <si>
    <t>30S ribosomal protein S13</t>
  </si>
  <si>
    <t>30S ribosomal protein S16</t>
  </si>
  <si>
    <t>30S ribosomal protein S18</t>
  </si>
  <si>
    <t>30S ribosomal protein S19</t>
  </si>
  <si>
    <t>30S ribosomal protein S20</t>
  </si>
  <si>
    <t>30S ribosomal protein S2</t>
  </si>
  <si>
    <t>30S ribosomal protein S3</t>
  </si>
  <si>
    <t>30S ribosomal protein S4</t>
  </si>
  <si>
    <t>30S ribosomal protein S5</t>
  </si>
  <si>
    <t>30S ribosomal protein S8</t>
  </si>
  <si>
    <t>30S ribosomal protein S9</t>
  </si>
  <si>
    <t>Ribosome maturation factor RimM</t>
  </si>
  <si>
    <t>Ribonuclease 3</t>
  </si>
  <si>
    <t>Ribose-5-phosphate isomerase A</t>
  </si>
  <si>
    <t>DNA-directed RNA polymerase subunit alpha</t>
  </si>
  <si>
    <t>Ribosome-recycling factor</t>
  </si>
  <si>
    <t>Holliday junction ATP-dependent DNA helicase RuvA</t>
  </si>
  <si>
    <t>S-adenosylmethionine synthase</t>
  </si>
  <si>
    <t>L-seryl-tRNA(Sec) selenium transferase</t>
  </si>
  <si>
    <t>Sugar fermentation stimulation protein A</t>
  </si>
  <si>
    <t>Serine hydroxymethyltransferase</t>
  </si>
  <si>
    <t>Aerobic C4-dicarboxylate transport protein</t>
  </si>
  <si>
    <t>SsrA-binding protein</t>
  </si>
  <si>
    <t>Succinate--CoA ligase [ADP-forming] subunit beta</t>
  </si>
  <si>
    <t>5/3-nucleotidase SurE</t>
  </si>
  <si>
    <t>Queuine tRNA-ribosyltransferase</t>
  </si>
  <si>
    <t>Trigger factor</t>
  </si>
  <si>
    <t>Tryptophanase</t>
  </si>
  <si>
    <t>Protein TolB</t>
  </si>
  <si>
    <t>Triosephosphate isomerase</t>
  </si>
  <si>
    <t>Thiol peroxidase</t>
  </si>
  <si>
    <t>Transaldolase A</t>
  </si>
  <si>
    <t>Transaldolase B</t>
  </si>
  <si>
    <t>tRNA (guanine-N(1)-)-methyltransferase</t>
  </si>
  <si>
    <t>Tryptophan synthase alpha chain</t>
  </si>
  <si>
    <t>Tryptophan synthase beta chain</t>
  </si>
  <si>
    <t>Thymidylate synthase</t>
  </si>
  <si>
    <t>Ubiquinone/menaquinone biosynthesis C-methyltransferase UbiE</t>
  </si>
  <si>
    <t>Endoribonuclease YbeY</t>
  </si>
  <si>
    <t>Probable transcriptional regulatory protein YebC</t>
  </si>
  <si>
    <t>Probable transcriptional regulatory protein YeeN</t>
  </si>
  <si>
    <t>Phosphoenolpyruvate synthase regulatory protein</t>
  </si>
  <si>
    <t>Nucleoid-associated protein YbaB</t>
  </si>
  <si>
    <t>UPF0145 protein YbjQ</t>
  </si>
  <si>
    <t>Transcriptional repressor NrdR</t>
  </si>
  <si>
    <t>UPF0178 protein YaiI</t>
  </si>
  <si>
    <t>O-acetyl-ADP-ribose deacetylase</t>
  </si>
  <si>
    <t>UPF0227 protein YcfP</t>
  </si>
  <si>
    <t>UPF0231 protein YacL</t>
  </si>
  <si>
    <t>UPF0234 protein YajQ</t>
  </si>
  <si>
    <t>Uracil phosphoribosyltransferase</t>
  </si>
  <si>
    <t>Uridine kinase</t>
  </si>
  <si>
    <t>UvrABC system protein B</t>
  </si>
  <si>
    <t>Uronate isomerase</t>
  </si>
  <si>
    <t>NAD(P)H dehydrogenase (quinone)</t>
  </si>
  <si>
    <t>Der GTPase-activating protein YihI</t>
  </si>
  <si>
    <t>Putative pre-16S rRNA nuclease</t>
  </si>
  <si>
    <t>UPF0246 protein YaaA</t>
  </si>
  <si>
    <t>tRNA (guanine-N(7)-)-methyltransferase</t>
  </si>
  <si>
    <t>ATP-dependent RNA helicase RhlB</t>
  </si>
  <si>
    <t>Phosphatidylserine decarboxylase proenzyme</t>
  </si>
  <si>
    <t>Serine--tRNA ligase</t>
  </si>
  <si>
    <t>Asparagine--tRNA ligase</t>
  </si>
  <si>
    <t>Threonine--tRNA ligase</t>
  </si>
  <si>
    <t>UPF0265 protein YeeX</t>
  </si>
  <si>
    <t>Macrodomain Ter protein</t>
  </si>
  <si>
    <t>Lysine--tRNA ligase</t>
  </si>
  <si>
    <t>Lysine--tRNA ligase, heat inducible</t>
  </si>
  <si>
    <t>Probable Fe(2+)-trafficking protein</t>
  </si>
  <si>
    <t>Fumarate reductase subunit C</t>
  </si>
  <si>
    <t>Fumarate reductase subunit D</t>
  </si>
  <si>
    <t>Regulator of ribonuclease activity A</t>
  </si>
  <si>
    <t>Protein SlyX</t>
  </si>
  <si>
    <t>UPF0283 membrane protein YcjF</t>
  </si>
  <si>
    <t>HTH-type transcriptional regulator ArgP</t>
  </si>
  <si>
    <t>Ribosomal protein L11 methyltransferase</t>
  </si>
  <si>
    <t>DNA-directed RNA polymerase subunit beta</t>
  </si>
  <si>
    <t>Protein Syd</t>
  </si>
  <si>
    <t>UPF0294 protein YafD</t>
  </si>
  <si>
    <t>Met repressor</t>
  </si>
  <si>
    <t>Ribonuclease BN</t>
  </si>
  <si>
    <t>Fatty acid metabolism regulator protein</t>
  </si>
  <si>
    <t>Transcriptional regulator NanR</t>
  </si>
  <si>
    <t>Transcriptional regulator SlyA</t>
  </si>
  <si>
    <t>UPF0301 protein YqgE</t>
  </si>
  <si>
    <t>UPF0304 protein YfbU</t>
  </si>
  <si>
    <t>UPF0307 protein YjgA</t>
  </si>
  <si>
    <t>Protein YceI</t>
  </si>
  <si>
    <t>Alpha-D-glucose 1-phosphate phosphatase YihX</t>
  </si>
  <si>
    <t>Sugar phosphatase YidA</t>
  </si>
  <si>
    <t>Acyl-CoA thioester hydrolase YciA</t>
  </si>
  <si>
    <t>Outer membrane lipoprotein Blc</t>
  </si>
  <si>
    <t>Outer membrane protein assembly factor BamC</t>
  </si>
  <si>
    <t>Outer membrane lipoprotein SlyB</t>
  </si>
  <si>
    <t>Outer membrane protein A</t>
  </si>
  <si>
    <t>Peptidoglycan-associated lipoprotein</t>
  </si>
  <si>
    <t>Outer membrane protein W</t>
  </si>
  <si>
    <t>Outer membrane protein X</t>
  </si>
  <si>
    <t>Nucleoside-specific channel-forming protein tsx</t>
  </si>
  <si>
    <t>Outer membrane protein assembly factor BamE</t>
  </si>
  <si>
    <t>Outer membrane protein assembly factor BamA</t>
  </si>
  <si>
    <t>Ribosomal-protein-alanine acetyltransferase</t>
  </si>
  <si>
    <t>3-oxoacyl-[acyl-carrier-protein] synthase 1</t>
  </si>
  <si>
    <t>KHG/KDPG aldolase</t>
  </si>
  <si>
    <t>L-asparaginase 1</t>
  </si>
  <si>
    <t>Chemotaxis protein CheW</t>
  </si>
  <si>
    <t>Cold shock-like protein CspE</t>
  </si>
  <si>
    <t>DNA polymerase III subunit beta</t>
  </si>
  <si>
    <t>Fructose-bisphosphate aldolase class 1</t>
  </si>
  <si>
    <t>Fructose-1,6-bisphosphatase class 1</t>
  </si>
  <si>
    <t>Bacterial non-heme ferritin</t>
  </si>
  <si>
    <t>Cell division protein FtsZ</t>
  </si>
  <si>
    <t>Ferric uptake regulation protein</t>
  </si>
  <si>
    <t>Glyceraldehyde-3-phosphate dehydrogenase A</t>
  </si>
  <si>
    <t>D-erythrose-4-phosphate dehydrogenase</t>
  </si>
  <si>
    <t>Aldose 1-epimerase</t>
  </si>
  <si>
    <t>Glutamine synthetase</t>
  </si>
  <si>
    <t>Fructose-1,6-bisphosphatase 1 class 2</t>
  </si>
  <si>
    <t>Glutathione S-transferase GstA</t>
  </si>
  <si>
    <t>Serine acetyltransferase</t>
  </si>
  <si>
    <t>2,3,4,5-tetrahydropyridine-2,6-dicarboxylate N-succinyltransferase</t>
  </si>
  <si>
    <t>Fumarate and nitrate reduction regulatory protein</t>
  </si>
  <si>
    <t>Transcriptional regulator MntR</t>
  </si>
  <si>
    <t>HTH-type transcriptional regulator CysB</t>
  </si>
  <si>
    <t>Isocitrate lyase</t>
  </si>
  <si>
    <t>Transcriptional regulator ModE</t>
  </si>
  <si>
    <t>G/U mismatch-specific DNA glycosylase</t>
  </si>
  <si>
    <t>Cob(I)yrinic acid a,c-diamide adenosyltransferase</t>
  </si>
  <si>
    <t>Protein phosphatase CheZ</t>
  </si>
  <si>
    <t>Ribonuclease G</t>
  </si>
  <si>
    <t>Ribokinase</t>
  </si>
  <si>
    <t>P-protein</t>
  </si>
  <si>
    <t>PhoH-like protein</t>
  </si>
  <si>
    <t>Phosphate-specific transport system accessory protein PhoU</t>
  </si>
  <si>
    <t>FKBP-type peptidyl-prolyl cis-trans isomerase SlyD</t>
  </si>
  <si>
    <t>FKBP-type 22 kDa peptidyl-prolyl cis-trans isomerase</t>
  </si>
  <si>
    <t>Peptidyl-prolyl cis-trans isomerase C</t>
  </si>
  <si>
    <t>Pyrroline-5-carboxylate reductase</t>
  </si>
  <si>
    <t>Lon protease</t>
  </si>
  <si>
    <t>Hypoxanthine phosphoribosyltransferase</t>
  </si>
  <si>
    <t>Xanthine phosphoribosyltransferase</t>
  </si>
  <si>
    <t>Phosphate acetyltransferase</t>
  </si>
  <si>
    <t>Phosphocarrier protein NPr</t>
  </si>
  <si>
    <t>Pyruvate formate-lyase 1-activating enzyme</t>
  </si>
  <si>
    <t>Dihydrolipoyl dehydrogenase</t>
  </si>
  <si>
    <t>Thioredoxin reductase</t>
  </si>
  <si>
    <t>Aerobic respiration control protein ArcA</t>
  </si>
  <si>
    <t>Acetyl-coenzyme A carboxylase carboxyl transferase subunit beta</t>
  </si>
  <si>
    <t>Aldehyde-alcohol dehydrogenase</t>
  </si>
  <si>
    <t>Aspartate-semialdehyde dehydrogenase</t>
  </si>
  <si>
    <t>2Fe-2S ferredoxin</t>
  </si>
  <si>
    <t>Cell division ATP-binding protein FtsE</t>
  </si>
  <si>
    <t>Lactaldehyde reductase</t>
  </si>
  <si>
    <t>Galactitol-1-phosphate 5-dehydrogenase</t>
  </si>
  <si>
    <t>Glycerol dehydrogenase</t>
  </si>
  <si>
    <t>D-3-phosphoglycerate dehydrogenase</t>
  </si>
  <si>
    <t>Protein tas</t>
  </si>
  <si>
    <t>Uncharacterized ABC transporter ATP-binding protein YbbA</t>
  </si>
  <si>
    <t>Uncharacterized ABC transporter ATP-binding protein YbiT</t>
  </si>
  <si>
    <t>HTH-type transcriptional regulator PuuR</t>
  </si>
  <si>
    <t>Lipopolysaccharide export system ATP-binding protein LptB</t>
  </si>
  <si>
    <t>Uncharacterized HTH-type transcriptional regulator YiaG</t>
  </si>
  <si>
    <t>HTH-type transcriptional regulator UlaR</t>
  </si>
  <si>
    <t>Energy-dependent translational throttle protein EttA</t>
  </si>
  <si>
    <t>Acid stress protein IbaG</t>
  </si>
  <si>
    <t>Rod shape-determining protein MreB</t>
  </si>
  <si>
    <t>Cold shock protein CspA</t>
  </si>
  <si>
    <t>Cold shock-like protein CspC</t>
  </si>
  <si>
    <t>Nitrogen regulatory protein P-II 1</t>
  </si>
  <si>
    <t>Phosphocarrier protein HPr</t>
  </si>
  <si>
    <t>50S ribosomal protein L13</t>
  </si>
  <si>
    <t>Transcriptional regulatory protein OmpR</t>
  </si>
  <si>
    <t>Thioredoxin 1</t>
  </si>
  <si>
    <t>Ribosomal large subunit pseudouridine synthase A</t>
  </si>
  <si>
    <t>Ribosomal large subunit pseudouridine synthase C</t>
  </si>
  <si>
    <t>Ribosomal small subunit pseudouridine synthase A</t>
  </si>
  <si>
    <t>Protein QmcA</t>
  </si>
  <si>
    <t>Protein YobA</t>
  </si>
  <si>
    <t>Uncharacterized lipoprotein YeaY</t>
  </si>
  <si>
    <t>Inner membrane protein YagU</t>
  </si>
  <si>
    <t>3-octaprenyl-4-hydroxybenzoate carboxy-lyase</t>
  </si>
  <si>
    <t>UTP--glucose-1-phosphate uridylyltransferase</t>
  </si>
  <si>
    <t>Universal stress protein D</t>
  </si>
  <si>
    <t>Universal stress protein E</t>
  </si>
  <si>
    <t>Inner membrane protein YbhL</t>
  </si>
  <si>
    <t>Iron-binding protein IscA</t>
  </si>
  <si>
    <t>D-serine/D-alanine/glycine transporter</t>
  </si>
  <si>
    <t>Arginine transport ATP-binding protein ArtP</t>
  </si>
  <si>
    <t>Dipeptide transport ATP-binding protein DppD</t>
  </si>
  <si>
    <t>Putrescine export system ATP-binding protein SapF</t>
  </si>
  <si>
    <t>ATP-dependent zinc metalloprotease FtsH</t>
  </si>
  <si>
    <t>3-oxoacyl-[acyl-carrier-protein] synthase 2</t>
  </si>
  <si>
    <t>Malonyl CoA-acyl carrier protein transacylase</t>
  </si>
  <si>
    <t>Probable anaerobic dimethyl sulfoxide reductase chain YnfG</t>
  </si>
  <si>
    <t>Formate dehydrogenase-O iron-sulfur subunit</t>
  </si>
  <si>
    <t>Hydrogenase-2 operon protein HybA</t>
  </si>
  <si>
    <t>Hydrogenase isoenzymes nickel incorporation protein HypB</t>
  </si>
  <si>
    <t>Uncharacterized protein YaiA</t>
  </si>
  <si>
    <t>Anti-adapter protein IraP</t>
  </si>
  <si>
    <t>Transcriptional repressor FrmR</t>
  </si>
  <si>
    <t>Uncharacterized protein YajD</t>
  </si>
  <si>
    <t>Uncharacterized protein YbaA</t>
  </si>
  <si>
    <t>Cys-tRNA(Pro)/Cys-tRNA(Cys) deacylase YbaK</t>
  </si>
  <si>
    <t>Inner membrane protein YlaC</t>
  </si>
  <si>
    <t>Inner membrane protein YbbJ</t>
  </si>
  <si>
    <t>Uncharacterized protein YbcJ</t>
  </si>
  <si>
    <t>Uncharacterized protein YbdF</t>
  </si>
  <si>
    <t>Uncharacterized protein YbeL</t>
  </si>
  <si>
    <t>Uncharacterized protein YbgE</t>
  </si>
  <si>
    <t>Uncharacterized protein YbgJ</t>
  </si>
  <si>
    <t>Uncharacterized protein YbgS</t>
  </si>
  <si>
    <t>Uncharacterized protein YbhP</t>
  </si>
  <si>
    <t>Probable L,D-transpeptidase YbiS</t>
  </si>
  <si>
    <t>UPF0434 protein YcaR</t>
  </si>
  <si>
    <t>Inner membrane protein YccF</t>
  </si>
  <si>
    <t>Sulfurtransferase TusE</t>
  </si>
  <si>
    <t>Heat shock protein HspQ</t>
  </si>
  <si>
    <t>Iron uptake system component EfeO</t>
  </si>
  <si>
    <t>Uncharacterized lipoprotein YceB</t>
  </si>
  <si>
    <t>Large ribosomal RNA subunit accumulation protein YceD</t>
  </si>
  <si>
    <t>Penicillin-binding protein activator LpoB</t>
  </si>
  <si>
    <t>Protein YcgL</t>
  </si>
  <si>
    <t>Protein YciI</t>
  </si>
  <si>
    <t>Protein YciN</t>
  </si>
  <si>
    <t>Acylphosphatase</t>
  </si>
  <si>
    <t>NAD(P) transhydrogenase subunit beta</t>
  </si>
  <si>
    <t>Fructose-bisphosphate aldolase class 2</t>
  </si>
  <si>
    <t>2-amino-3-ketobutyrate coenzyme A ligase</t>
  </si>
  <si>
    <t>Branched-chain-amino-acid aminotransferase</t>
  </si>
  <si>
    <t>FAD:protein FMN transferase</t>
  </si>
  <si>
    <t>Adenylosuccinate lyase</t>
  </si>
  <si>
    <t>Phospho-2-dehydro-3-deoxyheptonate aldolase, Phe-sensitive</t>
  </si>
  <si>
    <t>ATP synthase subunit a</t>
  </si>
  <si>
    <t>ATP synthase subunit b</t>
  </si>
  <si>
    <t>ATP synthase subunit delta</t>
  </si>
  <si>
    <t>ATP synthase gamma chain</t>
  </si>
  <si>
    <t>ATP synthase subunit alpha</t>
  </si>
  <si>
    <t>ATP synthase subunit beta</t>
  </si>
  <si>
    <t>Magnesium-transporting ATPase, P-type 1</t>
  </si>
  <si>
    <t>Modulator of FtsH protease HflC</t>
  </si>
  <si>
    <t>Modulator of FtsH protease HflK</t>
  </si>
  <si>
    <t>Bacterioferritin</t>
  </si>
  <si>
    <t>Acetyl-coenzyme A carboxylase carboxyl transferase subunit alpha</t>
  </si>
  <si>
    <t>Biotin carboxyl carrier protein of acetyl-CoA carboxylase</t>
  </si>
  <si>
    <t>DNA-binding transcriptional regulator BolA</t>
  </si>
  <si>
    <t>Cytochrome b561</t>
  </si>
  <si>
    <t>Poly(A) polymerase I</t>
  </si>
  <si>
    <t>Ethanolamine utilization protein EutM</t>
  </si>
  <si>
    <t>Cytidine deaminase</t>
  </si>
  <si>
    <t>CDP-diacylglycerol--glycerol-3-phosphate 3-phosphatidyltransferase</t>
  </si>
  <si>
    <t>Cell division protein FtsA</t>
  </si>
  <si>
    <t>Citrate synthase</t>
  </si>
  <si>
    <t>ATP-dependent Clp protease ATP-binding subunit ClpA</t>
  </si>
  <si>
    <t>Cytochrome bo(3) ubiquinol oxidase subunit 1</t>
  </si>
  <si>
    <t>Cytochrome bo(3) ubiquinol oxidase subunit 2</t>
  </si>
  <si>
    <t>Cytochrome bd-I ubiquinol oxidase subunit 1</t>
  </si>
  <si>
    <t>Cytochrome bd-I ubiquinol oxidase subunit 2</t>
  </si>
  <si>
    <t>Cysteine synthase A</t>
  </si>
  <si>
    <t>Cytochrome c-type protein NapC</t>
  </si>
  <si>
    <t>Diacylglycerol kinase</t>
  </si>
  <si>
    <t>Anaerobic C4-dicarboxylate transporter DcuA</t>
  </si>
  <si>
    <t>Purine nucleoside phosphorylase DeoD-type</t>
  </si>
  <si>
    <t>Coenzyme A biosynthesis bifunctional protein CoaBC</t>
  </si>
  <si>
    <t>2-hydroxy-3-oxopropionate reductase</t>
  </si>
  <si>
    <t>Dihydrofolate reductase</t>
  </si>
  <si>
    <t>RNA polymerase-binding transcription factor DksA</t>
  </si>
  <si>
    <t>DNA primase</t>
  </si>
  <si>
    <t>DNA protection during starvation protein</t>
  </si>
  <si>
    <t>1,4-dihydroxy-2-naphthoyl-CoA synthase</t>
  </si>
  <si>
    <t>Ribosome-binding ATPase YchF</t>
  </si>
  <si>
    <t>Glyoxalase ElbB</t>
  </si>
  <si>
    <t>Biopolymer transport protein ExbB</t>
  </si>
  <si>
    <t>Protein TolQ</t>
  </si>
  <si>
    <t>Biopolymer transport protein ExbD</t>
  </si>
  <si>
    <t>Protein TolR</t>
  </si>
  <si>
    <t>Flavodoxin 2</t>
  </si>
  <si>
    <t>Flagellar motor switch protein FliG</t>
  </si>
  <si>
    <t>3-deoxy-D-manno-octulosonate 8-phosphate phosphatase KdsC</t>
  </si>
  <si>
    <t>Chaperone SurA</t>
  </si>
  <si>
    <t>Outer membrane protein assembly factor BamD</t>
  </si>
  <si>
    <t>Dihydropteroate synthase</t>
  </si>
  <si>
    <t>Dihydroneopterin aldolase</t>
  </si>
  <si>
    <t>Dihydroneopterin triphosphate 2-epimerase</t>
  </si>
  <si>
    <t>Probable formate transporter 1</t>
  </si>
  <si>
    <t>Cell division protein FtsX</t>
  </si>
  <si>
    <t>Fumarate hydratase class I, aerobic</t>
  </si>
  <si>
    <t>Aspartate ammonia-lyase</t>
  </si>
  <si>
    <t>Succinate dehydrogenase flavoprotein subunit</t>
  </si>
  <si>
    <t>Succinate dehydrogenase hydrophobic membrane anchor subunit</t>
  </si>
  <si>
    <t>Fumarate reductase iron-sulfur subunit</t>
  </si>
  <si>
    <t>Zinc uptake regulation protein</t>
  </si>
  <si>
    <t>Glucose-6-phosphate 1-dehydrogenase</t>
  </si>
  <si>
    <t>Glutaredoxin 2</t>
  </si>
  <si>
    <t>Glutaredoxin 3</t>
  </si>
  <si>
    <t>Glutaredoxin 4</t>
  </si>
  <si>
    <t>Lactoylglutathione lyase</t>
  </si>
  <si>
    <t>Hydroxyacylglutathione hydrolase GloB</t>
  </si>
  <si>
    <t>Glycogen phosphorylase</t>
  </si>
  <si>
    <t>Protein GnsA</t>
  </si>
  <si>
    <t>Uncharacterized GST-like protein YibF</t>
  </si>
  <si>
    <t>Stringent starvation protein A</t>
  </si>
  <si>
    <t>Glutathione S-transferase GstB</t>
  </si>
  <si>
    <t>Replicative DNA helicase</t>
  </si>
  <si>
    <t>Delta-aminolevulinic acid dehydratase</t>
  </si>
  <si>
    <t>Protein HemY</t>
  </si>
  <si>
    <t>Iron-sulfur cluster insertion protein ErpA</t>
  </si>
  <si>
    <t>Bifunctional protein GlmU</t>
  </si>
  <si>
    <t>Iron-sulfur cluster assembly scaffold protein IscU</t>
  </si>
  <si>
    <t>Hydrogenase-1 large chain</t>
  </si>
  <si>
    <t>Hydrogenase-2 large chain</t>
  </si>
  <si>
    <t>Purine nucleoside phosphoramidase</t>
  </si>
  <si>
    <t>DNA-binding protein HU-alpha</t>
  </si>
  <si>
    <t>DNA-binding protein HU-beta</t>
  </si>
  <si>
    <t>DNA-binding protein H-NS</t>
  </si>
  <si>
    <t>DNA-binding protein StpA</t>
  </si>
  <si>
    <t>Right origin-binding protein</t>
  </si>
  <si>
    <t>Leucine-responsive regulatory protein</t>
  </si>
  <si>
    <t>cAMP-activated global transcriptional regulator CRP</t>
  </si>
  <si>
    <t>Putative aga operon transcriptional repressor</t>
  </si>
  <si>
    <t>Exu regulon transcriptional regulator</t>
  </si>
  <si>
    <t>Uncharacterized HTH-type transcriptional regulator YegW</t>
  </si>
  <si>
    <t>HTH-type transcriptional repressor AllR</t>
  </si>
  <si>
    <t>HTH-type transcriptional repressor CytR</t>
  </si>
  <si>
    <t>HTH-type transcriptional regulator GntR</t>
  </si>
  <si>
    <t>HTH-type transcriptional repressor PurR</t>
  </si>
  <si>
    <t>Hydrogen peroxide-inducible genes activator</t>
  </si>
  <si>
    <t>Uncharacterized HTH-type transcriptional regulator YeiE</t>
  </si>
  <si>
    <t>Transcriptional repressor MprA</t>
  </si>
  <si>
    <t>HTH-type transcriptional regulator RpiR</t>
  </si>
  <si>
    <t>HTH-type transcriptional regulator YjdC</t>
  </si>
  <si>
    <t>Lipopolysaccharide assembly protein A</t>
  </si>
  <si>
    <t>Protein MpaA</t>
  </si>
  <si>
    <t>Uncharacterized protein YdcH</t>
  </si>
  <si>
    <t>Putative monooxygenase YdhR</t>
  </si>
  <si>
    <t>Uncharacterized protein YdhZ</t>
  </si>
  <si>
    <t>Putative NAD(P)H nitroreductase YdjA</t>
  </si>
  <si>
    <t>Uncharacterized protein YeaG</t>
  </si>
  <si>
    <t>DNA-binding transcriptional activator EvgA</t>
  </si>
  <si>
    <t>Uncharacterized protein YecA</t>
  </si>
  <si>
    <t>Uncharacterized protein YecJ</t>
  </si>
  <si>
    <t>Protein YeeZ</t>
  </si>
  <si>
    <t>UPF0381 protein YfcZ</t>
  </si>
  <si>
    <t>Uncharacterized protein YfhG</t>
  </si>
  <si>
    <t>Inner membrane protein YphA</t>
  </si>
  <si>
    <t>Ribosome-associated inhibitor A</t>
  </si>
  <si>
    <t>Octaprenyl diphosphate synthase</t>
  </si>
  <si>
    <t>Inhibitor of vertebrate lysozyme</t>
  </si>
  <si>
    <t>Pyruvate kinase I</t>
  </si>
  <si>
    <t>Leu/Ile/Val-binding protein</t>
  </si>
  <si>
    <t>Acyl-CoA thioesterase 1</t>
  </si>
  <si>
    <t>Murein hydrolase activator NlpD</t>
  </si>
  <si>
    <t>Uncharacterized lipoprotein YajG</t>
  </si>
  <si>
    <t>Osmotically-inducible putative lipoprotein OsmE</t>
  </si>
  <si>
    <t>LPS-assembly lipoprotein LptE</t>
  </si>
  <si>
    <t>Lipoprotein-releasing system transmembrane protein LolC</t>
  </si>
  <si>
    <t>Uncharacterized protein YgaU</t>
  </si>
  <si>
    <t>tRNA-modifying protein YgfZ</t>
  </si>
  <si>
    <t>Acetolactate synthase isozyme 1 small subunit</t>
  </si>
  <si>
    <t>Inositol-1-monophosphatase</t>
  </si>
  <si>
    <t>Inosine-5-monophosphate dehydrogenase</t>
  </si>
  <si>
    <t>Enterobactin synthase component B</t>
  </si>
  <si>
    <t>Isochorismatase family protein YecD</t>
  </si>
  <si>
    <t>Uncharacterized protein YiaF</t>
  </si>
  <si>
    <t>Uncharacterized protein YibL</t>
  </si>
  <si>
    <t>UPF0438 protein YifE</t>
  </si>
  <si>
    <t>Uncharacterized lipoprotein YifL</t>
  </si>
  <si>
    <t>Ubiquinone biosynthesis protein UbiJ</t>
  </si>
  <si>
    <t>Protein YihD</t>
  </si>
  <si>
    <t>Uncharacterized protein YgaM</t>
  </si>
  <si>
    <t>Ribosomal RNA large subunit methyltransferase M</t>
  </si>
  <si>
    <t>LOG family protein YgdH</t>
  </si>
  <si>
    <t>Cell division protein ZapA</t>
  </si>
  <si>
    <t>Uncharacterized protein YggE</t>
  </si>
  <si>
    <t>Uncharacterized protein YggN</t>
  </si>
  <si>
    <t>UPF0441 protein YgiB</t>
  </si>
  <si>
    <t>Putative acid--amine ligase YgiC</t>
  </si>
  <si>
    <t>Uncharacterized protein YgiM</t>
  </si>
  <si>
    <t>Probable quinol monooxygenase YgiN</t>
  </si>
  <si>
    <t>Protein YgiW</t>
  </si>
  <si>
    <t>Lipopolysaccharide export system protein LptA</t>
  </si>
  <si>
    <t>Uncharacterized protein YhbW</t>
  </si>
  <si>
    <t>Probable phospholipid-binding protein MlaC</t>
  </si>
  <si>
    <t>Lipopolysaccharide export system protein LptC</t>
  </si>
  <si>
    <t>Inner membrane protein YhcB</t>
  </si>
  <si>
    <t>Protein YhfA</t>
  </si>
  <si>
    <t>Uncharacterized protein YhhA</t>
  </si>
  <si>
    <t>Peptidyl-prolyl cis-trans isomerase D</t>
  </si>
  <si>
    <t>50S ribosomal protein L14</t>
  </si>
  <si>
    <t>50S ribosomal protein L16</t>
  </si>
  <si>
    <t>50S ribosomal protein L23</t>
  </si>
  <si>
    <t>30S ribosomal protein S15</t>
  </si>
  <si>
    <t>UPF0092 membrane protein YajC</t>
  </si>
  <si>
    <t>tRNA (cytidine/uridine-2-O-)-methyltransferase TrmJ</t>
  </si>
  <si>
    <t>Multidrug efflux pump subunit AcrA</t>
  </si>
  <si>
    <t>Alkyl hydroperoxide reductase subunit C</t>
  </si>
  <si>
    <t>AMP nucleosidase</t>
  </si>
  <si>
    <t>Methionine aminopeptidase</t>
  </si>
  <si>
    <t>Class B acid phosphatase</t>
  </si>
  <si>
    <t>Arginine N-succinyltransferase</t>
  </si>
  <si>
    <t>Gamma-glutamylcyclotransferase family protein YtfP</t>
  </si>
  <si>
    <t>Putative peroxiredoxin bcp</t>
  </si>
  <si>
    <t>Cell division activator CedA</t>
  </si>
  <si>
    <t>Putative cation transport regulator ChaB</t>
  </si>
  <si>
    <t>Chemotaxis protein CheY</t>
  </si>
  <si>
    <t>Endoribonuclease MazF</t>
  </si>
  <si>
    <t>Magnesium and cobalt efflux protein CorC</t>
  </si>
  <si>
    <t>Sensor histidine kinase CpxA</t>
  </si>
  <si>
    <t>Periplasmic protein CpxP</t>
  </si>
  <si>
    <t>Transcriptional regulatory protein CpxR</t>
  </si>
  <si>
    <t>Protein CreA</t>
  </si>
  <si>
    <t>Siroheme synthase</t>
  </si>
  <si>
    <t>D-alanyl-D-alanine carboxypeptidase DacA</t>
  </si>
  <si>
    <t>RutC family protein YoaB</t>
  </si>
  <si>
    <t>Signal transduction histidine-protein kinase BarA</t>
  </si>
  <si>
    <t>Universal stress protein A</t>
  </si>
  <si>
    <t>Succinyl-diaminopimelate desuccinylase</t>
  </si>
  <si>
    <t>Protein DcrB</t>
  </si>
  <si>
    <t>Serine endoprotease DegS</t>
  </si>
  <si>
    <t>D-galactose-binding periplasmic protein</t>
  </si>
  <si>
    <t>Dipeptide transport system permease protein DppC</t>
  </si>
  <si>
    <t>Thiol:disulfide interchange protein DsbA</t>
  </si>
  <si>
    <t>Thiol:disulfide interchange protein DsbC</t>
  </si>
  <si>
    <t>Regulator of sigma-E protease RseP</t>
  </si>
  <si>
    <t>Protein ElaA</t>
  </si>
  <si>
    <t>Protein ElaB</t>
  </si>
  <si>
    <t>tRNA-2-methylthio-N(6)-dimethylallyladenosine synthase</t>
  </si>
  <si>
    <t>Ribosomal protein S12 methylthiotransferase RimO</t>
  </si>
  <si>
    <t>Phosphatase NudJ</t>
  </si>
  <si>
    <t>Isochorismate synthase EntC</t>
  </si>
  <si>
    <t>Osmolarity sensor protein EnvZ</t>
  </si>
  <si>
    <t>Ethanolamine ammonia-lyase heavy chain</t>
  </si>
  <si>
    <t>3-oxoacyl-[acyl-carrier-protein] reductase FabG</t>
  </si>
  <si>
    <t>Enoyl-[acyl-carrier-protein] reductase [NADH] FabI</t>
  </si>
  <si>
    <t>Ferrienterobactin-binding periplasmic protein</t>
  </si>
  <si>
    <t>Negative regulator of flagellin synthesis</t>
  </si>
  <si>
    <t>RNA polymerase sigma factor FliA</t>
  </si>
  <si>
    <t>L-cystine-binding protein FliY</t>
  </si>
  <si>
    <t>NAD(P)H-flavin reductase</t>
  </si>
  <si>
    <t>L-fucose mutarotase</t>
  </si>
  <si>
    <t>Glyoxylate carboligase</t>
  </si>
  <si>
    <t>Protein GlcG</t>
  </si>
  <si>
    <t>Glutamine-binding periplasmic protein</t>
  </si>
  <si>
    <t>Glutamine transport system permease protein GlnP</t>
  </si>
  <si>
    <t>Glutamate/aspartate import permease protein GltJ</t>
  </si>
  <si>
    <t>Bifunctional glutathionylspermidine synthetase/amidase</t>
  </si>
  <si>
    <t>Glucarate dehydratase</t>
  </si>
  <si>
    <t>DNA gyrase subunit A</t>
  </si>
  <si>
    <t>DNA gyrase subunit B</t>
  </si>
  <si>
    <t>Acid stress chaperone HdeA</t>
  </si>
  <si>
    <t>Acid stress chaperone HdeB</t>
  </si>
  <si>
    <t>Protein HdeD</t>
  </si>
  <si>
    <t>7-alpha-hydroxysteroid dehydrogenase</t>
  </si>
  <si>
    <t>Histidine-binding periplasmic protein</t>
  </si>
  <si>
    <t>Chaperone protein Skp</t>
  </si>
  <si>
    <t>Regulator of RpoS</t>
  </si>
  <si>
    <t>Hydrogenase 3 maturation protease</t>
  </si>
  <si>
    <t>3,5-cyclic adenosine monophosphate phosphodiesterase CpdA</t>
  </si>
  <si>
    <t>Probable phosphoribulokinase</t>
  </si>
  <si>
    <t>Maltose-binding periplasmic protein</t>
  </si>
  <si>
    <t>UPF0056 inner membrane protein MarC</t>
  </si>
  <si>
    <t>Nucleoside triphosphate pyrophosphohydrolase</t>
  </si>
  <si>
    <t>Modulator of drug activity B</t>
  </si>
  <si>
    <t>Septum site-determining protein MinD</t>
  </si>
  <si>
    <t>Molybdenum cofactor biosynthesis protein B</t>
  </si>
  <si>
    <t>Molybdopterin adenylyltransferase</t>
  </si>
  <si>
    <t>Iron-sulfur cluster carrier protein</t>
  </si>
  <si>
    <t>5-methylthioadenosine/S-adenosylhomocysteine nucleosidase</t>
  </si>
  <si>
    <t>N-acetylglucosamine-6-phosphate deacetylase</t>
  </si>
  <si>
    <t>N-acetylglucosamine repressor</t>
  </si>
  <si>
    <t>Ribonucleotide monophosphatase NagD</t>
  </si>
  <si>
    <t>Nitrate/nitrite response regulator protein NarL</t>
  </si>
  <si>
    <t>Cell division protein ZapB</t>
  </si>
  <si>
    <t>UPF0047 protein YjbQ</t>
  </si>
  <si>
    <t>Uncharacterized protein YjbR</t>
  </si>
  <si>
    <t>Inner membrane protein YjcH</t>
  </si>
  <si>
    <t>Uncharacterized protein YjdI</t>
  </si>
  <si>
    <t>HTH-type transcriptional repressor NsrR</t>
  </si>
  <si>
    <t>tRNA threonylcarbamoyladenosine biosynthesis protein TsaE</t>
  </si>
  <si>
    <t>Regulator of ribonuclease activity B</t>
  </si>
  <si>
    <t>2-iminobutanoate/2-iminopropanoate deaminase</t>
  </si>
  <si>
    <t>Lipopolysaccharide export system permease protein LptF</t>
  </si>
  <si>
    <t>Na(+)/H(+) antiporter NhaB</t>
  </si>
  <si>
    <t>Nitrogen regulation protein NR(II)</t>
  </si>
  <si>
    <t>NADH-quinone oxidoreductase subunit B</t>
  </si>
  <si>
    <t>NADH-quinone oxidoreductase subunit E</t>
  </si>
  <si>
    <t>NADH-quinone oxidoreductase subunit H</t>
  </si>
  <si>
    <t>NADH-quinone oxidoreductase subunit I</t>
  </si>
  <si>
    <t>NADH-quinone oxidoreductase subunit J</t>
  </si>
  <si>
    <t>NADH-quinone oxidoreductase subunit K</t>
  </si>
  <si>
    <t>NADH-quinone oxidoreductase subunit M</t>
  </si>
  <si>
    <t>NADH-quinone oxidoreductase subunit N</t>
  </si>
  <si>
    <t>Nucleoside permease NupC</t>
  </si>
  <si>
    <t>Transcription termination/antitermination protein NusA</t>
  </si>
  <si>
    <t>Transcription termination/antitermination protein NusG</t>
  </si>
  <si>
    <t>2-oxoglutarate dehydrogenase E1 component</t>
  </si>
  <si>
    <t>Dihydrolipoyllysine-residue succinyltransferase component of 2-oxoglutarate dehydrogenase complex</t>
  </si>
  <si>
    <t>Pyruvate dehydrogenase E1 component</t>
  </si>
  <si>
    <t>Oligopeptide transport system permease protein OppB</t>
  </si>
  <si>
    <t>Oligopeptide transport system permease protein OppC</t>
  </si>
  <si>
    <t>Osmotically-inducible protein Y</t>
  </si>
  <si>
    <t>DNA topoisomerase 4 subunit A</t>
  </si>
  <si>
    <t>Pyridoxine/pyridoxamine 5-phosphate oxidase</t>
  </si>
  <si>
    <t>Putative permease PerM</t>
  </si>
  <si>
    <t>Protein PhnA</t>
  </si>
  <si>
    <t>Phosphate regulon transcriptional regulatory protein PhoB</t>
  </si>
  <si>
    <t>Low-affinity inorganic phosphate transporter 1</t>
  </si>
  <si>
    <t>Metalloprotease PmbA</t>
  </si>
  <si>
    <t>Nicotinamide riboside transporter PnuC</t>
  </si>
  <si>
    <t>Spermidine/putrescine-binding periplasmic protein</t>
  </si>
  <si>
    <t>Peptidyl-prolyl cis-trans isomerase A</t>
  </si>
  <si>
    <t>Phosphate starvation-inducible protein PsiF</t>
  </si>
  <si>
    <t>Phage shock protein A</t>
  </si>
  <si>
    <t>Phage shock protein C</t>
  </si>
  <si>
    <t>GTP cyclohydrolase 1 type 2 homolog</t>
  </si>
  <si>
    <t>Uncharacterized metal-dependent hydrolase YcfH</t>
  </si>
  <si>
    <t>NTE family protein RssA</t>
  </si>
  <si>
    <t>C4-dicarboxylic acid transporter DauA</t>
  </si>
  <si>
    <t>Uncharacterized protein YciO</t>
  </si>
  <si>
    <t>Dihydromonapterin reductase</t>
  </si>
  <si>
    <t>UPF0118 inner membrane protein YdiK</t>
  </si>
  <si>
    <t>L-cystine transport system permease protein YecS</t>
  </si>
  <si>
    <t>Riboflavin synthase</t>
  </si>
  <si>
    <t>Regulator of nucleoside diphosphate kinase</t>
  </si>
  <si>
    <t>Protein rof</t>
  </si>
  <si>
    <t>Ribosome hibernation promoting factor</t>
  </si>
  <si>
    <t>Regulator of sigma D</t>
  </si>
  <si>
    <t>Sigma-E factor regulatory protein RseB</t>
  </si>
  <si>
    <t>Negative modulator of initiation of replication</t>
  </si>
  <si>
    <t>Protein SseB</t>
  </si>
  <si>
    <t>Stringent starvation protein B</t>
  </si>
  <si>
    <t>ECA polysaccharide chain length modulation protein</t>
  </si>
  <si>
    <t>Ribulose-phosphate 3-epimerase</t>
  </si>
  <si>
    <t>N5-carboxyaminoimidazole ribonucleotide mutase</t>
  </si>
  <si>
    <t>GTP pyrophosphokinase</t>
  </si>
  <si>
    <t>Uncharacterized protein YibN</t>
  </si>
  <si>
    <t>Transcription termination factor Rho</t>
  </si>
  <si>
    <t>Riboflavin biosynthesis protein RibF</t>
  </si>
  <si>
    <t>50S ribosomal protein L17</t>
  </si>
  <si>
    <t>50S ribosomal protein L21</t>
  </si>
  <si>
    <t>50S ribosomal protein L30</t>
  </si>
  <si>
    <t>50S ribosomal protein L6</t>
  </si>
  <si>
    <t>30S ribosomal protein S14</t>
  </si>
  <si>
    <t>30S ribosomal protein S17</t>
  </si>
  <si>
    <t>30S ribosomal protein S1</t>
  </si>
  <si>
    <t>Sulfate-binding protein</t>
  </si>
  <si>
    <t>sn-glycerol-3-phosphate-binding periplasmic protein UgpB</t>
  </si>
  <si>
    <t>Phosphate-binding protein PstS</t>
  </si>
  <si>
    <t>Uncharacterized oxidoreductase YghA</t>
  </si>
  <si>
    <t>Protein-export protein SecB</t>
  </si>
  <si>
    <t>Protein translocase subunit SecD</t>
  </si>
  <si>
    <t>Protein translocase subunit SecE</t>
  </si>
  <si>
    <t>Protein-export membrane protein SecG</t>
  </si>
  <si>
    <t>Protein translocase subunit SecY</t>
  </si>
  <si>
    <t>Phosphoserine phosphatase</t>
  </si>
  <si>
    <t>ECF RNA polymerase sigma-E factor</t>
  </si>
  <si>
    <t>Soluble lytic murein transglycosylase</t>
  </si>
  <si>
    <t>Superoxide dismutase [Cu-Zn]</t>
  </si>
  <si>
    <t>Superoxide dismutase [Fe]</t>
  </si>
  <si>
    <t>Signal recognition particle protein</t>
  </si>
  <si>
    <t>Single-stranded DNA-binding protein</t>
  </si>
  <si>
    <t>Chromate reductase</t>
  </si>
  <si>
    <t>Succinate--CoA ligase [ADP-forming] subunit alpha</t>
  </si>
  <si>
    <t>Sulfur acceptor protein CsdE</t>
  </si>
  <si>
    <t>Acyl-CoA thioesterase 2</t>
  </si>
  <si>
    <t>Thioredoxin 2</t>
  </si>
  <si>
    <t>Metalloprotease TldD</t>
  </si>
  <si>
    <t>Ribose import permease protein RbsC</t>
  </si>
  <si>
    <t>Trk system potassium uptake protein TrkA</t>
  </si>
  <si>
    <t>tRNA (guanosine(18)-2-O)-methyltransferase</t>
  </si>
  <si>
    <t>Uncharacterized tRNA/rRNA methyltransferase YfiF</t>
  </si>
  <si>
    <t>tRNA (cytidine(34)-2-O)-methyltransferase</t>
  </si>
  <si>
    <t>Tyrosine--tRNA ligase</t>
  </si>
  <si>
    <t>RNA-binding protein YhbY</t>
  </si>
  <si>
    <t>Putative reactive intermediate deaminase TdcF</t>
  </si>
  <si>
    <t>Ribosome association toxin RatA</t>
  </si>
  <si>
    <t>Ribosomal RNA small subunit methyltransferase E</t>
  </si>
  <si>
    <t>50S ribosomal protein L18</t>
  </si>
  <si>
    <t>UPF0345 protein YaiE</t>
  </si>
  <si>
    <t>Small heat shock protein IbpA</t>
  </si>
  <si>
    <t>Antitoxin RelB</t>
  </si>
  <si>
    <t>Peroxiredoxin OsmC</t>
  </si>
  <si>
    <t>Proline/betaine transporter</t>
  </si>
  <si>
    <t>Small-conductance mechanosensitive channel</t>
  </si>
  <si>
    <t>Ribosomal protein S6--L-glutamate ligase</t>
  </si>
  <si>
    <t>Periplasmic serine endoprotease DegP</t>
  </si>
  <si>
    <t>D-tagatose-1,6-bisphosphate aldolase subunit GatY</t>
  </si>
  <si>
    <t>D-tagatose-1,6-bisphosphate aldolase subunit GatZ</t>
  </si>
  <si>
    <t>Phosphoethanolamine transferase EptC</t>
  </si>
  <si>
    <t>Elongation factor Tu 1</t>
  </si>
  <si>
    <t>Sensor histidine kinase RcsC</t>
  </si>
  <si>
    <t>Transcriptional regulatory protein RcsB</t>
  </si>
  <si>
    <t>Endolytic peptidoglycan transglycosylase RlpA</t>
  </si>
  <si>
    <t>Signal recognition particle receptor FtsY</t>
  </si>
  <si>
    <t>Glutamine transport ATP-binding protein GlnQ</t>
  </si>
  <si>
    <t>1-(5-phosphoribosyl)-5-[(5-phosphoribosylamino)methylideneamino] imidazole-4-carboxamide isomerase</t>
  </si>
  <si>
    <t>Enterobactin synthase component E</t>
  </si>
  <si>
    <t>Long-chain fatty acid transport protein</t>
  </si>
  <si>
    <t>Protein translocase subunit SecA</t>
  </si>
  <si>
    <t>Lipid-A-disaccharide synthase</t>
  </si>
  <si>
    <t>Glycerophosphodiester phosphodiesterase, cytoplasmic</t>
  </si>
  <si>
    <t>Respiratory nitrate reductase 1 beta chain</t>
  </si>
  <si>
    <t>Argininosuccinate lyase</t>
  </si>
  <si>
    <t>Enterobactin synthase component F</t>
  </si>
  <si>
    <t>Cell division protein DamX</t>
  </si>
  <si>
    <t>Arginine--tRNA ligase</t>
  </si>
  <si>
    <t>UDP-N-acetylmuramoyl-tripeptide--D-alanyl-D-alanine ligase</t>
  </si>
  <si>
    <t>Chorismate synthase</t>
  </si>
  <si>
    <t>Molybdopterin molybdenumtransferase</t>
  </si>
  <si>
    <t>Molybdopterin-synthase adenylyltransferase</t>
  </si>
  <si>
    <t>Uracil-DNA glycosylase</t>
  </si>
  <si>
    <t>Uridine phosphorylase</t>
  </si>
  <si>
    <t>UPF0098 protein YbhB</t>
  </si>
  <si>
    <t>Methionine synthase</t>
  </si>
  <si>
    <t>1,6-anhydro-N-acetylmuramyl-L-alanine amidase AmpD</t>
  </si>
  <si>
    <t>Protein FdhE</t>
  </si>
  <si>
    <t>Catalase-peroxidase</t>
  </si>
  <si>
    <t>Fe(3+) dicitrate transport protein FecA</t>
  </si>
  <si>
    <t>Periplasmic trehalase</t>
  </si>
  <si>
    <t>Probable bifunctional chitinase/lysozyme</t>
  </si>
  <si>
    <t>Ribosomal-protein-serine acetyltransferase</t>
  </si>
  <si>
    <t>UDP-N-acetylmuramoylalanine--D-glutamate ligase</t>
  </si>
  <si>
    <t>Fe(3+) dicitrate-binding periplasmic protein</t>
  </si>
  <si>
    <t>Xaa-Pro aminopeptidase</t>
  </si>
  <si>
    <t>DNA helicase IV</t>
  </si>
  <si>
    <t>DNA ligase</t>
  </si>
  <si>
    <t>Glycogen debranching enzyme</t>
  </si>
  <si>
    <t>Flagellar motor switch protein FliN</t>
  </si>
  <si>
    <t>Carbon starvation protein A</t>
  </si>
  <si>
    <t>Glucitol operon repressor</t>
  </si>
  <si>
    <t>Phosphoribosylformylglycinamidine synthase</t>
  </si>
  <si>
    <t>Flagellar regulator flk</t>
  </si>
  <si>
    <t>Cytosol non-specific dipeptidase</t>
  </si>
  <si>
    <t>Antitoxin PrlF</t>
  </si>
  <si>
    <t>Bifunctional purine biosynthesis protein PurH</t>
  </si>
  <si>
    <t>Phosphoribosylamine--glycine ligase</t>
  </si>
  <si>
    <t>Shikimate dehydrogenase (NADP(+))</t>
  </si>
  <si>
    <t>Quinoprotein glucose dehydrogenase</t>
  </si>
  <si>
    <t>4-alpha-glucanotransferase</t>
  </si>
  <si>
    <t>L-serine dehydratase 1</t>
  </si>
  <si>
    <t>Selenide, water dikinase</t>
  </si>
  <si>
    <t>DNA replication terminus site-binding protein</t>
  </si>
  <si>
    <t>Proline--tRNA ligase</t>
  </si>
  <si>
    <t>Protein PhnB</t>
  </si>
  <si>
    <t>Thiosulfate-binding protein</t>
  </si>
  <si>
    <t>Cysteine synthase B</t>
  </si>
  <si>
    <t>Cell shape-determining protein MreC</t>
  </si>
  <si>
    <t>Arabinose 5-phosphate isomerase GutQ</t>
  </si>
  <si>
    <t>Oxygen-insensitive NADPH nitroreductase</t>
  </si>
  <si>
    <t>Glutamine--fructose-6-phosphate aminotransferase [isomerizing]</t>
  </si>
  <si>
    <t>UDP-N-acetylglucosamine--N-acetylmuramyl-(pentapeptide) pyrophosphoryl-undecaprenol N-acetylglucosamine transferase</t>
  </si>
  <si>
    <t>Phosphoadenosine phosphosulfate reductase</t>
  </si>
  <si>
    <t>UDP-N-acetylmuramate--L-alanine ligase</t>
  </si>
  <si>
    <t>Ubiquinone biosynthesis O-methyltransferase</t>
  </si>
  <si>
    <t>Septum site-determining protein MinC</t>
  </si>
  <si>
    <t>Acetylornithine/succinyldiaminopimelate aminotransferase</t>
  </si>
  <si>
    <t>Dimethyl sulfoxide reductase DmsA</t>
  </si>
  <si>
    <t>Anaerobic dimethyl sulfoxide reductase chain B</t>
  </si>
  <si>
    <t>NH(3)-dependent NAD(+) synthetase</t>
  </si>
  <si>
    <t>Gamma-glutamyltranspeptidase</t>
  </si>
  <si>
    <t>Respiratory nitrate reductase 2 beta chain</t>
  </si>
  <si>
    <t>Respiratory nitrate reductase 2 alpha chain</t>
  </si>
  <si>
    <t>4-hydroxythreonine-4-phosphate dehydrogenase</t>
  </si>
  <si>
    <t>Ethanolamine ammonia-lyase light chain</t>
  </si>
  <si>
    <t>Glucose-1-phosphatase</t>
  </si>
  <si>
    <t>Protein TolA</t>
  </si>
  <si>
    <t>DNA topoisomerase 4 subunit B</t>
  </si>
  <si>
    <t>Biotin sulfoxide reductase</t>
  </si>
  <si>
    <t>Probable adenosine monophosphate-protein transferase fic</t>
  </si>
  <si>
    <t>PTS system fructose-specific EIIBBC component</t>
  </si>
  <si>
    <t>3-ketoacyl-CoA thiolase</t>
  </si>
  <si>
    <t>Sulfate adenylyltransferase subunit 2</t>
  </si>
  <si>
    <t>Xaa-Pro dipeptidase</t>
  </si>
  <si>
    <t>Constitutive ornithine decarboxylase</t>
  </si>
  <si>
    <t>Biosynthetic arginine decarboxylase</t>
  </si>
  <si>
    <t>Fatty acid oxidation complex subunit alpha</t>
  </si>
  <si>
    <t>Catalase HPII</t>
  </si>
  <si>
    <t>Ribonuclease I</t>
  </si>
  <si>
    <t>Protein YciF</t>
  </si>
  <si>
    <t>Protein YciE</t>
  </si>
  <si>
    <t>Uncharacterized protein YcaC</t>
  </si>
  <si>
    <t>Nicotinamidase</t>
  </si>
  <si>
    <t>Ribonuclease R</t>
  </si>
  <si>
    <t>ATP-dependent RNA helicase SrmB</t>
  </si>
  <si>
    <t>Ribonuclease E</t>
  </si>
  <si>
    <t>Pyruvate kinase II</t>
  </si>
  <si>
    <t>UDP-3-O-(3-hydroxymyristoyl)glucosamine N-acyltransferase</t>
  </si>
  <si>
    <t>Cysteine--tRNA ligase</t>
  </si>
  <si>
    <t>Aspartate--tRNA ligase</t>
  </si>
  <si>
    <t>Asparagine synthetase B [glutamine-hydrolyzing]</t>
  </si>
  <si>
    <t>Transcriptional regulator MraZ</t>
  </si>
  <si>
    <t>UDP-N-acetylmuramoyl-L-alanyl-D-glutamate--2,6-diaminopimelate ligase</t>
  </si>
  <si>
    <t>3(2),5-bisphosphate nucleotidase CysQ</t>
  </si>
  <si>
    <t>4-aminobutyrate aminotransferase GabT</t>
  </si>
  <si>
    <t>Phosphoenolpyruvate carboxykinase (ATP)</t>
  </si>
  <si>
    <t>Adenosine deaminase</t>
  </si>
  <si>
    <t>Chromosome partition protein MukE</t>
  </si>
  <si>
    <t>Non-specific ribonucleoside hydrolase RihC</t>
  </si>
  <si>
    <t>Farnesyl diphosphate synthase</t>
  </si>
  <si>
    <t>tRNA/tmRNA (uracil-C(5))-methyltransferase</t>
  </si>
  <si>
    <t>Low affinity tryptophan permease</t>
  </si>
  <si>
    <t>Galactoside transport system permease protein MglC</t>
  </si>
  <si>
    <t>Protein MalY</t>
  </si>
  <si>
    <t>Thymidine kinase</t>
  </si>
  <si>
    <t>DNA mismatch repair protein MutL</t>
  </si>
  <si>
    <t>5-keto-4-deoxy-D-glucarate aldolase</t>
  </si>
  <si>
    <t>Phosphoenolpyruvate synthase</t>
  </si>
  <si>
    <t>Phosphoserine aminotransferase</t>
  </si>
  <si>
    <t>Ecotin</t>
  </si>
  <si>
    <t>CDP-diacylglycerol--serine O-phosphatidyltransferase</t>
  </si>
  <si>
    <t>Transcriptional regulatory protein PhoP</t>
  </si>
  <si>
    <t>Sensor protein PhoQ</t>
  </si>
  <si>
    <t>UPF0701 protein YicC</t>
  </si>
  <si>
    <t>Periplasmic oligopeptide-binding protein</t>
  </si>
  <si>
    <t>Periplasmic dipeptide transport protein</t>
  </si>
  <si>
    <t>Thiosulfate sulfurtransferase PspE</t>
  </si>
  <si>
    <t>Tail-specific protease</t>
  </si>
  <si>
    <t>Peptidyl-prolyl cis-trans isomerase B</t>
  </si>
  <si>
    <t>Ferrochelatase</t>
  </si>
  <si>
    <t>Methionyl-tRNA formyltransferase</t>
  </si>
  <si>
    <t>Glutamate-1-semialdehyde 2,1-aminomutase</t>
  </si>
  <si>
    <t>Protease HtpX</t>
  </si>
  <si>
    <t>Acetylornithine deacetylase</t>
  </si>
  <si>
    <t>Apolipoprotein N-acyltransferase</t>
  </si>
  <si>
    <t>Dipeptidyl carboxypeptidase</t>
  </si>
  <si>
    <t>Lipopolysaccharide heptosyltransferase 1</t>
  </si>
  <si>
    <t>Protein YffB</t>
  </si>
  <si>
    <t>Biotin carboxylase</t>
  </si>
  <si>
    <t>Formate dehydrogenase, nitrate-inducible, major subunit</t>
  </si>
  <si>
    <t>Bifunctional protein FolD</t>
  </si>
  <si>
    <t>Mrr restriction system protein</t>
  </si>
  <si>
    <t>Uncharacterized GTP-binding protein YjiA</t>
  </si>
  <si>
    <t>Lipid A biosynthesis myristoyltransferase</t>
  </si>
  <si>
    <t>Mannonate dehydratase</t>
  </si>
  <si>
    <t>Flavohemoprotein</t>
  </si>
  <si>
    <t>HTH-type transcriptional regulator AscG</t>
  </si>
  <si>
    <t>Sigma factor-binding protein Crl</t>
  </si>
  <si>
    <t>RNA polymerase sigma-54 factor</t>
  </si>
  <si>
    <t>Protease 2</t>
  </si>
  <si>
    <t>Tellurite methyltransferase</t>
  </si>
  <si>
    <t>S-(hydroxymethyl)glutathione dehydrogenase</t>
  </si>
  <si>
    <t>Aconitate hydratase A</t>
  </si>
  <si>
    <t>GTPase HflX</t>
  </si>
  <si>
    <t>tRNA modification GTPase MnmE</t>
  </si>
  <si>
    <t>Cytosine deaminase</t>
  </si>
  <si>
    <t>Succinate-semialdehyde dehydrogenase [NADP(+)] GabD</t>
  </si>
  <si>
    <t>Riboflavin biosynthesis protein RibD</t>
  </si>
  <si>
    <t>Guanosine-5-triphosphate,3-diphosphate pyrophosphatase</t>
  </si>
  <si>
    <t>Lactaldehyde dehydrogenase</t>
  </si>
  <si>
    <t>Membrane protein insertase YidC</t>
  </si>
  <si>
    <t>tRNA-specific 2-thiouridylase MnmA</t>
  </si>
  <si>
    <t>Metalloprotease LoiP</t>
  </si>
  <si>
    <t>Putative oxidoreductase YdbC</t>
  </si>
  <si>
    <t>Cytoplasmic alpha-amylase</t>
  </si>
  <si>
    <t>NAD-dependent malic enzyme</t>
  </si>
  <si>
    <t>Probable acrylyl-CoA reductase AcuI</t>
  </si>
  <si>
    <t>1-acyl-sn-glycerol-3-phosphate acyltransferase</t>
  </si>
  <si>
    <t>Cell division protein FtsP</t>
  </si>
  <si>
    <t>Surface composition regulator</t>
  </si>
  <si>
    <t>Uncharacterized protein YfeD</t>
  </si>
  <si>
    <t>Phosphate acyltransferase</t>
  </si>
  <si>
    <t>Aminomethyltransferase</t>
  </si>
  <si>
    <t>Aldehyde reductase Ahr</t>
  </si>
  <si>
    <t>Trifunctional NAD biosynthesis/regulator protein NadR</t>
  </si>
  <si>
    <t>Oligopeptidase A</t>
  </si>
  <si>
    <t>Transketolase 1</t>
  </si>
  <si>
    <t>Multidrug export protein EmrA</t>
  </si>
  <si>
    <t>Soluble pyridine nucleotide transhydrogenase</t>
  </si>
  <si>
    <t>50S ribosomal protein L16 3-hydroxylase</t>
  </si>
  <si>
    <t>Cytoskeleton protein RodZ</t>
  </si>
  <si>
    <t>Acetyl-coenzyme A synthetase</t>
  </si>
  <si>
    <t>UDP-N-acetylglucosamine 2-epimerase</t>
  </si>
  <si>
    <t>UDP-N-acetyl-D-mannosamine dehydrogenase</t>
  </si>
  <si>
    <t>dTDP-4-amino-4,6-dideoxygalactose transaminase</t>
  </si>
  <si>
    <t>Pyridoxal phosphate phosphatase YigL</t>
  </si>
  <si>
    <t>IMPACT family member YigZ</t>
  </si>
  <si>
    <t>dCTP deaminase</t>
  </si>
  <si>
    <t>Protein AsmA</t>
  </si>
  <si>
    <t>Quinone oxidoreductase 1</t>
  </si>
  <si>
    <t>Endolytic murein transglycosylase</t>
  </si>
  <si>
    <t>tRNA (adenine(37)-N6)-methyltransferase</t>
  </si>
  <si>
    <t>D-methionine-binding lipoprotein MetQ</t>
  </si>
  <si>
    <t>Ferredoxin--NADP reductase</t>
  </si>
  <si>
    <t>Anaerobic ribonucleoside-triphosphate reductase</t>
  </si>
  <si>
    <t>Trehalose-6-phosphate hydrolase</t>
  </si>
  <si>
    <t>DNA polymerase III subunit chi</t>
  </si>
  <si>
    <t>Alanine racemase, catabolic</t>
  </si>
  <si>
    <t>Uncharacterized protein YcgB</t>
  </si>
  <si>
    <t>ATP-binding/permease protein CydD</t>
  </si>
  <si>
    <t>Cell division protein FtsN</t>
  </si>
  <si>
    <t>o-succinylbenzoate synthase</t>
  </si>
  <si>
    <t>UPF0502 protein YceH</t>
  </si>
  <si>
    <t>Uroporphyrinogen decarboxylase</t>
  </si>
  <si>
    <t>Peptidase T</t>
  </si>
  <si>
    <t>Nicotinate-nucleotide pyrophosphorylase [carboxylating]</t>
  </si>
  <si>
    <t>3-isopropylmalate dehydrogenase</t>
  </si>
  <si>
    <t>3-isopropylmalate dehydratase small subunit</t>
  </si>
  <si>
    <t>Phosphomethylpyrimidine synthase</t>
  </si>
  <si>
    <t>Uncharacterized protein YbiB</t>
  </si>
  <si>
    <t>Methionine import ATP-binding protein MetN</t>
  </si>
  <si>
    <t>Exoribonuclease 2</t>
  </si>
  <si>
    <t>Putative ABC transporter arginine-binding protein 2</t>
  </si>
  <si>
    <t>ABC transporter arginine-binding protein 1</t>
  </si>
  <si>
    <t>2,5-diketo-D-gluconic acid reductase B</t>
  </si>
  <si>
    <t>Uncharacterized HTH-type transcriptional regulator YafC</t>
  </si>
  <si>
    <t>Bifunctional glutamine synthetase adenylyltransferase/adenylyl-removing enzyme</t>
  </si>
  <si>
    <t>Inorganic triphosphatase</t>
  </si>
  <si>
    <t>Transcription-repair-coupling factor</t>
  </si>
  <si>
    <t>3-methyl-2-oxobutanoate hydroxymethyltransferase</t>
  </si>
  <si>
    <t>Uncharacterized lipoprotein YedD</t>
  </si>
  <si>
    <t>Flagellar assembly protein FliH</t>
  </si>
  <si>
    <t>Voltage-gated potassium channel Kch</t>
  </si>
  <si>
    <t>Bifunctional protein Aas</t>
  </si>
  <si>
    <t>Phosphoglucosamine mutase</t>
  </si>
  <si>
    <t>Uncharacterized protein YdeI</t>
  </si>
  <si>
    <t>Protein YdeJ</t>
  </si>
  <si>
    <t>Putrescine-binding periplasmic protein</t>
  </si>
  <si>
    <t>3-mercaptopyruvate sulfurtransferase</t>
  </si>
  <si>
    <t>Multidrug efflux pump subunit AcrB</t>
  </si>
  <si>
    <t>Uncharacterized protein YicH</t>
  </si>
  <si>
    <t>Uncharacterized protein YidR</t>
  </si>
  <si>
    <t>Galactonate operon transcriptional repressor</t>
  </si>
  <si>
    <t>ATPase RavA</t>
  </si>
  <si>
    <t>Uncharacterized HTH-type transcriptional regulator YieP</t>
  </si>
  <si>
    <t>Thiamine-binding periplasmic protein</t>
  </si>
  <si>
    <t>LPS-assembly protein LptD</t>
  </si>
  <si>
    <t>Protein deglycase 1</t>
  </si>
  <si>
    <t>2-methylcitrate synthase</t>
  </si>
  <si>
    <t>Pantothenate synthetase</t>
  </si>
  <si>
    <t>Trehalose-6-phosphate synthase</t>
  </si>
  <si>
    <t>Nitrate/nitrite response regulator protein NarP</t>
  </si>
  <si>
    <t>Bifunctional NAD(P)H-hydrate repair enzyme Nnr</t>
  </si>
  <si>
    <t>Uncharacterized oxidoreductase YciK</t>
  </si>
  <si>
    <t>NADH-quinone oxidoreductase subunit F</t>
  </si>
  <si>
    <t>Lipoate-protein ligase A</t>
  </si>
  <si>
    <t>Oxygen-independent coproporphyrinogen III oxidase</t>
  </si>
  <si>
    <t>GTP-binding protein TypA/BipA</t>
  </si>
  <si>
    <t>Protein YiiM</t>
  </si>
  <si>
    <t>Uncharacterized protein YiiQ</t>
  </si>
  <si>
    <t>UPF0381 protein YiiS</t>
  </si>
  <si>
    <t>Formate dehydrogenase-O major subunit</t>
  </si>
  <si>
    <t>Sulfurtransferase FdhD</t>
  </si>
  <si>
    <t>Phosphoglycolate phosphatase</t>
  </si>
  <si>
    <t>NADH pyrophosphatase</t>
  </si>
  <si>
    <t>Fructose-6-phosphate aldolase 2</t>
  </si>
  <si>
    <t>Uncharacterized protein YjaG</t>
  </si>
  <si>
    <t>23S rRNA pseudouridine(2604) synthase</t>
  </si>
  <si>
    <t>tRNA-dihydrouridine(20/20a) synthase</t>
  </si>
  <si>
    <t>Cation/acetate symporter ActP</t>
  </si>
  <si>
    <t>Multidrug resistance protein MdtO</t>
  </si>
  <si>
    <t>Zinc-binding GTPase YeiR</t>
  </si>
  <si>
    <t>Glucans biosynthesis protein G</t>
  </si>
  <si>
    <t>Glycine dehydrogenase (decarboxylating)</t>
  </si>
  <si>
    <t>Inner membrane protein YebE</t>
  </si>
  <si>
    <t>Protein YebF</t>
  </si>
  <si>
    <t>Formate-dependent phosphoribosylglycinamide formyltransferase</t>
  </si>
  <si>
    <t>Putative acyl-CoA dehydrogenase AidB</t>
  </si>
  <si>
    <t>Glycine betaine-binding protein YehZ</t>
  </si>
  <si>
    <t>Periplasmic beta-glucosidase</t>
  </si>
  <si>
    <t>Uncharacterized oxidoreductase YohF</t>
  </si>
  <si>
    <t>Transketolase 2</t>
  </si>
  <si>
    <t>Nickel-binding periplasmic protein</t>
  </si>
  <si>
    <t>Regulatory protein RecX</t>
  </si>
  <si>
    <t>NADH-quinone oxidoreductase subunit C/D</t>
  </si>
  <si>
    <t>NADH-quinone oxidoreductase subunit G</t>
  </si>
  <si>
    <t>NADH-quinone oxidoreductase subunit L</t>
  </si>
  <si>
    <t>Ribosomal large subunit pseudouridine synthase D</t>
  </si>
  <si>
    <t>Laccase domain protein YfiH</t>
  </si>
  <si>
    <t>Uncharacterized protein YejA</t>
  </si>
  <si>
    <t>Uncharacterized ABC transporter ATP-binding protein YejF</t>
  </si>
  <si>
    <t>Periplasmic nitrate reductase</t>
  </si>
  <si>
    <t>Protein YdcF</t>
  </si>
  <si>
    <t>Alkyl hydroperoxide reductase subunit F</t>
  </si>
  <si>
    <t>Blue copper oxidase CueO</t>
  </si>
  <si>
    <t>Thiol:disulfide interchange protein DsbD</t>
  </si>
  <si>
    <t>Curved DNA-binding protein</t>
  </si>
  <si>
    <t>PTS system trehalose-specific EIIBC component</t>
  </si>
  <si>
    <t>Cell division protein ZapD</t>
  </si>
  <si>
    <t>Aconitate hydratase B</t>
  </si>
  <si>
    <t>Recombination-associated protein RdgC</t>
  </si>
  <si>
    <t>Probable HTH-type transcriptional regulator LrhA</t>
  </si>
  <si>
    <t>Phosphoglucomutase</t>
  </si>
  <si>
    <t>Dual-specificity RNA methyltransferase RlmN</t>
  </si>
  <si>
    <t>Formyltetrahydrofolate deformylase</t>
  </si>
  <si>
    <t>Peptidase B</t>
  </si>
  <si>
    <t>GDP-mannose pyrophosphatase NudK</t>
  </si>
  <si>
    <t>UPF0716 protein FxsA</t>
  </si>
  <si>
    <t>Hydrogenase 2 maturation protease</t>
  </si>
  <si>
    <t>PTS system galactitol-specific EIIB component</t>
  </si>
  <si>
    <t>Outer membrane protein slp</t>
  </si>
  <si>
    <t>Dipeptide transport ATP-binding protein DppF</t>
  </si>
  <si>
    <t>Uncharacterized protein YbcH</t>
  </si>
  <si>
    <t>Molybdate-binding periplasmic protein</t>
  </si>
  <si>
    <t>Malate synthase G</t>
  </si>
  <si>
    <t>L-2-hydroxyglutarate oxidase LhgO</t>
  </si>
  <si>
    <t>Uncharacterized protein YjjI</t>
  </si>
  <si>
    <t>Protein-lysine deacetylase</t>
  </si>
  <si>
    <t>Ribose-5-phosphate isomerase B</t>
  </si>
  <si>
    <t>D-xylose-binding periplasmic protein</t>
  </si>
  <si>
    <t>Oxidoreductase UcpA</t>
  </si>
  <si>
    <t>Isoaspartyl peptidase</t>
  </si>
  <si>
    <t>PanD maturation factor</t>
  </si>
  <si>
    <t>Lead, cadmium, zinc and mercury-transporting ATPase</t>
  </si>
  <si>
    <t>Uncharacterized protein YhiI</t>
  </si>
  <si>
    <t>Uncharacterized protein YhiN</t>
  </si>
  <si>
    <t>Ribosomal RNA large subunit methyltransferase J</t>
  </si>
  <si>
    <t>Multidrug resistance protein MdtE</t>
  </si>
  <si>
    <t>Multidrug resistance protein MdtF</t>
  </si>
  <si>
    <t>Inner membrane protein YhjD</t>
  </si>
  <si>
    <t>Uncharacterized protein YhjG</t>
  </si>
  <si>
    <t>2-dehydro-3-deoxygluconokinase</t>
  </si>
  <si>
    <t>Protein YhjJ</t>
  </si>
  <si>
    <t>Protein YhjK</t>
  </si>
  <si>
    <t>Probable lipoprotein YiaD</t>
  </si>
  <si>
    <t>Glyoxylate/hydroxypyruvate reductase B</t>
  </si>
  <si>
    <t>Aldehyde dehydrogenase B</t>
  </si>
  <si>
    <t>2,3-bisphosphoglycerate-independent phosphoglycerate mutase</t>
  </si>
  <si>
    <t>Murein hydrolase activator EnvC</t>
  </si>
  <si>
    <t>ADP-heptose--LPS heptosyltransferase 2</t>
  </si>
  <si>
    <t>Glucose-1-phosphate thymidylyltransferase 1</t>
  </si>
  <si>
    <t>UDP-galactopyranose mutase</t>
  </si>
  <si>
    <t>dTDP-glucose 4,6-dehydratase 1</t>
  </si>
  <si>
    <t>dTDP-4-dehydrorhamnose reductase</t>
  </si>
  <si>
    <t>Ribosomal large subunit pseudouridine synthase B</t>
  </si>
  <si>
    <t>Uncharacterized HTH-type transcriptional regulator YfhH</t>
  </si>
  <si>
    <t>UDP-N-acetylmuramate--L-alanyl-gamma-D-glutamyl-meso-2,6-diaminoheptandioate ligase</t>
  </si>
  <si>
    <t>Glutamate/aspartate import solute-binding protein</t>
  </si>
  <si>
    <t>Universal stress protein F</t>
  </si>
  <si>
    <t>Sulfite reductase [NADPH] flavoprotein alpha-component</t>
  </si>
  <si>
    <t>Isochorismate synthase MenF</t>
  </si>
  <si>
    <t>Oxygen-insensitive NAD(P)H nitroreductase</t>
  </si>
  <si>
    <t>Periplasmic pH-dependent serine endoprotease DegQ</t>
  </si>
  <si>
    <t>D-mannonate oxidoreductase</t>
  </si>
  <si>
    <t>Uxu operon transcriptional regulator</t>
  </si>
  <si>
    <t>High-affinity zinc uptake system protein ZnuA</t>
  </si>
  <si>
    <t>Putative glucose-6-phosphate 1-epimerase</t>
  </si>
  <si>
    <t>Probable L,D-transpeptidase ErfK/SrfK</t>
  </si>
  <si>
    <t>Universal stress protein UP12</t>
  </si>
  <si>
    <t>Uncharacterized protein YtfJ</t>
  </si>
  <si>
    <t>50S ribosomal protein L3 glutamine methyltransferase</t>
  </si>
  <si>
    <t>D-allose-binding periplasmic protein</t>
  </si>
  <si>
    <t>Uncharacterized protein YjdJ</t>
  </si>
  <si>
    <t>Miniconductance mechanosensitive channel MscM</t>
  </si>
  <si>
    <t>Small ribosomal subunit biogenesis GTPase RsgA</t>
  </si>
  <si>
    <t>Lipoprotein BsmA</t>
  </si>
  <si>
    <t>Esterase YjfP</t>
  </si>
  <si>
    <t>Uncharacterized protein YtfB</t>
  </si>
  <si>
    <t>Quinone oxidoreductase 2</t>
  </si>
  <si>
    <t>Translocation and assembly module TamB</t>
  </si>
  <si>
    <t>ABC transporter periplasmic-binding protein YtfQ</t>
  </si>
  <si>
    <t>RutC family protein YjgH</t>
  </si>
  <si>
    <t>Uncharacterized N-acetyltransferase YjgM</t>
  </si>
  <si>
    <t>Uncharacterized protein YjgR</t>
  </si>
  <si>
    <t>Uncharacterized transcriptional regulator YjhU</t>
  </si>
  <si>
    <t>Uncharacterized protein YjhG</t>
  </si>
  <si>
    <t>Putative phosphotransferase IIA component SgcA</t>
  </si>
  <si>
    <t>Putative aminopeptidase SgcX</t>
  </si>
  <si>
    <t>N-acetylneuraminate epimerase</t>
  </si>
  <si>
    <t>Isoaspartyl dipeptidase</t>
  </si>
  <si>
    <t>Uncharacterized protein YjiN</t>
  </si>
  <si>
    <t>Inner membrane protein YjiY</t>
  </si>
  <si>
    <t>Ribosomal RNA small subunit methyltransferase C</t>
  </si>
  <si>
    <t>Uncharacterized protein YjjU</t>
  </si>
  <si>
    <t>Uncharacterized metal-dependent hydrolase YjjV</t>
  </si>
  <si>
    <t>Non-canonical purine NTP phosphatase</t>
  </si>
  <si>
    <t>Alcohol dehydrogenase, propanol-preferring</t>
  </si>
  <si>
    <t>Galactarate dehydratase (L-threo-forming)</t>
  </si>
  <si>
    <t>Inner membrane protein YbaL</t>
  </si>
  <si>
    <t>NADP-dependent 3-hydroxy acid dehydrogenase YdfG</t>
  </si>
  <si>
    <t>Phosphotransferase RcsD</t>
  </si>
  <si>
    <t>Glucans biosynthesis protein D</t>
  </si>
  <si>
    <t>Pyridoxine/pyridoxal/pyridoxamine kinase</t>
  </si>
  <si>
    <t>Lipoprotein NlpE</t>
  </si>
  <si>
    <t>N-methyl-L-tryptophan oxidase</t>
  </si>
  <si>
    <t>FMN-dependent NADH-azoreductase</t>
  </si>
  <si>
    <t>Pyrimidine-specific ribonucleoside hydrolase RihA</t>
  </si>
  <si>
    <t>Glucosidase YgjK</t>
  </si>
  <si>
    <t>2,4-dienoyl-CoA reductase [NADPH]</t>
  </si>
  <si>
    <t>Uncharacterized oxidoreductase YgjR</t>
  </si>
  <si>
    <t>Altronate dehydratase</t>
  </si>
  <si>
    <t>Protein YqjC</t>
  </si>
  <si>
    <t>Glutathionyl-hydroquinone reductase YqjG</t>
  </si>
  <si>
    <t>PFL-like enzyme TdcE</t>
  </si>
  <si>
    <t>GTPase ObgE/CgtA</t>
  </si>
  <si>
    <t>N-acetylgalactosamine-specific phosphotransferase enzyme IIB component 2</t>
  </si>
  <si>
    <t>UDP-2,3-diacylglucosamine hydrolase</t>
  </si>
  <si>
    <t>Paraquat-inducible protein B</t>
  </si>
  <si>
    <t>ABC transporter ATP-binding protein uup</t>
  </si>
  <si>
    <t>Arabinose 5-phosphate isomerase KdsD</t>
  </si>
  <si>
    <t>Uncharacterized protein YhcH</t>
  </si>
  <si>
    <t>N-acetylmannosamine kinase</t>
  </si>
  <si>
    <t>Penicillin-binding protein activator LpoA</t>
  </si>
  <si>
    <t>Protein deglycase 2</t>
  </si>
  <si>
    <t>FKBP-type peptidyl-prolyl cis-trans isomerase FkpA</t>
  </si>
  <si>
    <t>Protein TusB</t>
  </si>
  <si>
    <t>1-deoxy-D-xylulose 5-phosphate reductoisomerase</t>
  </si>
  <si>
    <t>RNA chaperone ProQ</t>
  </si>
  <si>
    <t>S-ribosylhomocysteine lyase</t>
  </si>
  <si>
    <t>Threonylcarbamoyl-AMP synthase</t>
  </si>
  <si>
    <t>Uncharacterized protein YrdD</t>
  </si>
  <si>
    <t>ADP compounds hydrolase NudE</t>
  </si>
  <si>
    <t>Putative membrane protein IgaA homolog</t>
  </si>
  <si>
    <t>Cell division coordinator CpoB</t>
  </si>
  <si>
    <t>Uncharacterized lipoprotein YajI</t>
  </si>
  <si>
    <t>Inner membrane protein YedI</t>
  </si>
  <si>
    <t>Putative acyl-CoA thioester hydrolase YbhC</t>
  </si>
  <si>
    <t>Uncharacterized protein YhdP</t>
  </si>
  <si>
    <t>Protein YhgF</t>
  </si>
  <si>
    <t>RNA 3-terminal phosphate cyclase</t>
  </si>
  <si>
    <t>Quercetin 2,3-dioxygenase</t>
  </si>
  <si>
    <t>Uncharacterized oxidoreductase YhhX</t>
  </si>
  <si>
    <t>Trimethylamine-N-oxide reductase 2</t>
  </si>
  <si>
    <t>Aerotaxis receptor</t>
  </si>
  <si>
    <t>Uncharacterized protein YaiL</t>
  </si>
  <si>
    <t>L-Ala-D/L-Glu epimerase</t>
  </si>
  <si>
    <t>Protein YecM</t>
  </si>
  <si>
    <t>dITP/XTP pyrophosphatase</t>
  </si>
  <si>
    <t>Glycolate oxidase subunit GlcE</t>
  </si>
  <si>
    <t>Uncharacterized protein YaeR</t>
  </si>
  <si>
    <t>Transcriptional regulatory protein RstA</t>
  </si>
  <si>
    <t>UPF0125 protein RatB</t>
  </si>
  <si>
    <t>Flagellum-specific ATP synthase</t>
  </si>
  <si>
    <t>Probable pyruvate-flavodoxin oxidoreductase</t>
  </si>
  <si>
    <t>6-phosphogluconolactonase</t>
  </si>
  <si>
    <t>Inner membrane protein YgaP</t>
  </si>
  <si>
    <t>Putative carboxymethylenebutenolidase</t>
  </si>
  <si>
    <t>PTS system glucitol/sorbitol-specific EIIB component</t>
  </si>
  <si>
    <t>RNA polymerase-associated protein RapA</t>
  </si>
  <si>
    <t>Chromosome partition protein MukF</t>
  </si>
  <si>
    <t>tRNA pseudouridine synthase B</t>
  </si>
  <si>
    <t>Ribosomal RNA small subunit methyltransferase H</t>
  </si>
  <si>
    <t>50S ribosomal protein L2</t>
  </si>
  <si>
    <t>50S ribosomal protein L3</t>
  </si>
  <si>
    <t>Ditrans,polycis-undecaprenyl-diphosphate synthase ((2E,6E)-farnesyl-diphosphate specific)</t>
  </si>
  <si>
    <t>Guanylate kinase</t>
  </si>
  <si>
    <t>GMP reductase</t>
  </si>
  <si>
    <t>Protein FixA</t>
  </si>
  <si>
    <t>Imidazole glycerol phosphate synthase subunit HisH</t>
  </si>
  <si>
    <t>50S ribosomal protein L24</t>
  </si>
  <si>
    <t>Agmatinase</t>
  </si>
  <si>
    <t>Imidazole glycerol phosphate synthase subunit HisF</t>
  </si>
  <si>
    <t>50S ribosomal protein L4</t>
  </si>
  <si>
    <t>Lipid A export ATP-binding/permease protein MsbA</t>
  </si>
  <si>
    <t>ATP phosphoribosyltransferase</t>
  </si>
  <si>
    <t>Elongation factor 4</t>
  </si>
  <si>
    <t>Putative transport protein YidE</t>
  </si>
  <si>
    <t>Histidine--tRNA ligase</t>
  </si>
  <si>
    <t>50S ribosomal protein L22</t>
  </si>
  <si>
    <t>Outer-membrane lipoprotein carrier protein</t>
  </si>
  <si>
    <t>Outer-membrane lipoprotein LolB</t>
  </si>
  <si>
    <t>Carbonic anhydrase 2</t>
  </si>
  <si>
    <t>6,7-dimethyl-8-ribityllumazine synthase</t>
  </si>
  <si>
    <t>Malate dehydrogenase</t>
  </si>
  <si>
    <t>Flavodoxin 1</t>
  </si>
  <si>
    <t>50S ribosomal protein L5</t>
  </si>
  <si>
    <t>Glucans biosynthesis glucosyltransferase H</t>
  </si>
  <si>
    <t>4-diphosphocytidyl-2-C-methyl-D-erythritol kinase</t>
  </si>
  <si>
    <t>2-C-methyl-D-erythritol 2,4-cyclodiphosphate synthase</t>
  </si>
  <si>
    <t>4-hydroxy-3-methylbut-2-en-1-yl diphosphate synthase (flavodoxin)</t>
  </si>
  <si>
    <t>4-hydroxy-3-methylbut-2-enyl diphosphate reductase</t>
  </si>
  <si>
    <t>Protein ApaG</t>
  </si>
  <si>
    <t>2,3-bisphosphoglycerate-dependent phosphoglycerate mutase</t>
  </si>
  <si>
    <t>UPF0325 protein YaeH</t>
  </si>
  <si>
    <t>Fe/S biogenesis protein NfuA</t>
  </si>
  <si>
    <t>23S rRNA (guanosine-2-O-)-methyltransferase RlmB</t>
  </si>
  <si>
    <t>Transcriptional regulator GadE</t>
  </si>
  <si>
    <t>Phosphoheptose isomerase</t>
  </si>
  <si>
    <t>D-glycero-beta-D-manno-heptose-1,7-bisphosphate 7-phosphatase</t>
  </si>
  <si>
    <t>Probable glutamate/gamma-aminobutyrate antiporter</t>
  </si>
  <si>
    <t>Chaperone protein ClpB</t>
  </si>
  <si>
    <t>Inner membrane transport protein YqeG</t>
  </si>
  <si>
    <t>Probable phospholipid import ATP-binding protein MlaF</t>
  </si>
  <si>
    <t>Uncharacterized ABC transporter ATP-binding protein YheS</t>
  </si>
  <si>
    <t>N-acetylmuramoyl-L-alanine amidase AmiC</t>
  </si>
  <si>
    <t>Uncharacterized protein YpfJ</t>
  </si>
  <si>
    <t>Uncharacterized lipoprotein YdcL</t>
  </si>
  <si>
    <t>Uncharacterized protein YdcY</t>
  </si>
  <si>
    <t>(4S)-4-hydroxy-5-phosphonooxypentane-2,3-dione isomerase</t>
  </si>
  <si>
    <t>Putative selenoprotein YdfZ</t>
  </si>
  <si>
    <t>OriC-binding nucleoid-associated protein</t>
  </si>
  <si>
    <t>Uncharacterized protein YdiZ</t>
  </si>
  <si>
    <t>Uncharacterized protein YeaK</t>
  </si>
  <si>
    <t>Uncharacterized protein YebV</t>
  </si>
  <si>
    <t>Uncharacterized protein YebY</t>
  </si>
  <si>
    <t>Inner membrane protein YecN</t>
  </si>
  <si>
    <t>Uncharacterized protein YodD</t>
  </si>
  <si>
    <t>Transcriptional repressor RcnR</t>
  </si>
  <si>
    <t>Nickel/cobalt homeostasis protein RcnB</t>
  </si>
  <si>
    <t>7-carboxy-7-deazaguanine synthase</t>
  </si>
  <si>
    <t>Uncharacterized protein YggT</t>
  </si>
  <si>
    <t>Uncharacterized protein YqjD</t>
  </si>
  <si>
    <t>Inner membrane protein YqjE</t>
  </si>
  <si>
    <t>Transcriptional regulator YqjI</t>
  </si>
  <si>
    <t>Toxin YhaV</t>
  </si>
  <si>
    <t>Uncharacterized protein YraP</t>
  </si>
  <si>
    <t>Probable phospholipid ABC transporter-binding protein MlaB</t>
  </si>
  <si>
    <t>Probable phospholipid ABC transporter-binding protein MlaD</t>
  </si>
  <si>
    <t>Probable phospholipid ABC transporter permease protein MlaE</t>
  </si>
  <si>
    <t>Uncharacterized protein YhcO</t>
  </si>
  <si>
    <t>Uncharacterized protein YheO</t>
  </si>
  <si>
    <t>Uncharacterized lipoprotein YgdI</t>
  </si>
  <si>
    <t>Uncharacterized protein YqcA</t>
  </si>
  <si>
    <t>Uncharacterized Nudix hydrolase YfcD</t>
  </si>
  <si>
    <t>Uncharacterized protein YgeY</t>
  </si>
  <si>
    <t>6-carboxy-5,6,7,8-tetrahydropterin synthase</t>
  </si>
  <si>
    <t>Diaminopropionate ammonia-lyase</t>
  </si>
  <si>
    <t>Beta-barrel assembly-enhancing protease</t>
  </si>
  <si>
    <t>UPF0001 protein YggS</t>
  </si>
  <si>
    <t>Phosphodiesterase YfcE</t>
  </si>
  <si>
    <t>UPF0114 protein YqhA</t>
  </si>
  <si>
    <t>UPF0267 protein YqfB</t>
  </si>
  <si>
    <t>Probable HTH-type transcriptional regulator YhaJ</t>
  </si>
  <si>
    <t>Copper homeostasis protein CutC</t>
  </si>
  <si>
    <t>ADP-L-glycero-D-manno-heptose-6-epimerase</t>
  </si>
  <si>
    <t>Autonomous glycyl radical cofactor</t>
  </si>
  <si>
    <t>Maltose/maltodextrin import ATP-binding protein MalK</t>
  </si>
  <si>
    <t>Stationary-phase-induced ribosome-associated protein</t>
  </si>
  <si>
    <t>UPF0337 protein YjbJ</t>
  </si>
  <si>
    <t>30S ribosomal protein S21</t>
  </si>
  <si>
    <t>Glutaredoxin 1</t>
  </si>
  <si>
    <t>ATP synthase subunit c</t>
  </si>
  <si>
    <t>Cytosol aminopeptidase</t>
  </si>
  <si>
    <t>50S ribosomal protein L25</t>
  </si>
  <si>
    <t>Succinate dehydrogenase cytochrome b556 subunit</t>
  </si>
  <si>
    <t>Translation initiation factor IF-1</t>
  </si>
  <si>
    <t>Transcriptional regulatory protein BaeR</t>
  </si>
  <si>
    <t>Antitoxin YefM</t>
  </si>
  <si>
    <t>Outer membrane lipoprotein RcsF</t>
  </si>
  <si>
    <t>Sec-independent protein translocase protein TatB</t>
  </si>
  <si>
    <t>Sec-independent protein translocase protein TatA</t>
  </si>
  <si>
    <t>Adenylate kinase</t>
  </si>
  <si>
    <t>Long-chain-fatty-acid--CoA ligase</t>
  </si>
  <si>
    <t>Adenine phosphoribosyltransferase</t>
  </si>
  <si>
    <t>Iron-sulfur cluster repair protein YtfE</t>
  </si>
  <si>
    <t>Hydrogenase-1 small chain</t>
  </si>
  <si>
    <t>Hydrogenase-2 small chain</t>
  </si>
  <si>
    <t>Major outer membrane lipoprotein Lpp</t>
  </si>
  <si>
    <t>PTS system glucose-specific EIIA component</t>
  </si>
  <si>
    <t>PTS system glucose-specific EIICB component</t>
  </si>
  <si>
    <t>PTS system N,N-diacetylchitobiose-specific EIIB component</t>
  </si>
  <si>
    <t>PTS system mannose-specific EIIAB component</t>
  </si>
  <si>
    <t>PTS system mannose-specific EIIC component</t>
  </si>
  <si>
    <t>PTS system mannose-specific EIID component</t>
  </si>
  <si>
    <t>Multiphosphoryl transfer protein</t>
  </si>
  <si>
    <t>Ascorbate-specific PTS system EIIA component</t>
  </si>
  <si>
    <t>Ascorbate-specific PTS system EIIB component</t>
  </si>
  <si>
    <t>PTS system galactitol-specific EIIA component</t>
  </si>
  <si>
    <t>Nitrogen regulatory protein</t>
  </si>
  <si>
    <t>PTS system galactitol-specific EIIC component</t>
  </si>
  <si>
    <t>Tat proofreading chaperone DmsD</t>
  </si>
  <si>
    <t>Spermidine/putrescine import ATP-binding protein PotA</t>
  </si>
  <si>
    <t>Glutamate decarboxylase alpha</t>
  </si>
  <si>
    <t>Glutamate decarboxylase beta</t>
  </si>
  <si>
    <t>Carbon storage regulator</t>
  </si>
  <si>
    <t>L-fucose isomerase</t>
  </si>
  <si>
    <t>Ribonucleoside-diphosphate reductase 1 subunit beta</t>
  </si>
  <si>
    <t>Probable 2-keto-3-deoxy-galactonate aldolase YagE</t>
  </si>
  <si>
    <t>Aldehyde reductase YahK</t>
  </si>
  <si>
    <t>Uncharacterized protein YahO</t>
  </si>
  <si>
    <t>(S)-ureidoglycine aminohydrolase</t>
  </si>
  <si>
    <t>2-octaprenyl-3-methyl-6-methoxy-1,4-benzoquinol hydroxylase</t>
  </si>
  <si>
    <t>Esterase YbfF</t>
  </si>
  <si>
    <t>Uncharacterized protein YbgK</t>
  </si>
  <si>
    <t>Putative gluconeogenesis factor</t>
  </si>
  <si>
    <t>UPF0194 membrane protein YbhG</t>
  </si>
  <si>
    <t>Ribosomal RNA large subunit methyltransferase F</t>
  </si>
  <si>
    <t>Sugar phosphatase YbiV</t>
  </si>
  <si>
    <t>Glutathione-binding protein GsiB</t>
  </si>
  <si>
    <t>Uncharacterized lipoprotein YbjP</t>
  </si>
  <si>
    <t>Low specificity L-threonine aldolase</t>
  </si>
  <si>
    <t>Uncharacterized protein YcbX</t>
  </si>
  <si>
    <t>Ribosomal RNA large subunit methyltransferase K/L</t>
  </si>
  <si>
    <t>Uncharacterized protein YccU</t>
  </si>
  <si>
    <t>Ribosomal RNA large subunit methyltransferase I</t>
  </si>
  <si>
    <t>Glyoxylate/hydroxypyruvate reductase A</t>
  </si>
  <si>
    <t>Probable phosphatase YcdX</t>
  </si>
  <si>
    <t>Chaperone protein YcdY</t>
  </si>
  <si>
    <t>Putative oxidoreductase YceM</t>
  </si>
  <si>
    <t>Flagellar hook protein FlgE</t>
  </si>
  <si>
    <t>HTH-type transcriptional repressor ComR</t>
  </si>
  <si>
    <t>N-acetyl-D-glucosamine kinase</t>
  </si>
  <si>
    <t>NAD-dependent protein deacylase</t>
  </si>
  <si>
    <t>Ribosomal large subunit pseudouridine synthase E</t>
  </si>
  <si>
    <t>Prophage repressor CohE</t>
  </si>
  <si>
    <t>Uncharacterized protein YcgJ</t>
  </si>
  <si>
    <t>Inhibitor of g-type lysozyme</t>
  </si>
  <si>
    <t>Uncharacterized protein YcgM</t>
  </si>
  <si>
    <t>Murein tetrapeptide carboxypeptidase</t>
  </si>
  <si>
    <t>PEP-dependent dihydroxyacetone kinase, ADP-binding subunit DhaL</t>
  </si>
  <si>
    <t>PEP-dependent dihydroxyacetone kinase, dihydroxyacetone-binding subunit DhaK</t>
  </si>
  <si>
    <t>Oligopeptide transport ATP-binding protein OppD</t>
  </si>
  <si>
    <t>Uncharacterized protein YcjX</t>
  </si>
  <si>
    <t>Uncharacterized protein YcjY</t>
  </si>
  <si>
    <t>tRNA 2-thiocytidine biosynthesis protein TtcA</t>
  </si>
  <si>
    <t>Prophage repressor RacR</t>
  </si>
  <si>
    <t>Transcriptional repressor PaaX</t>
  </si>
  <si>
    <t>Uncharacterized protein YdcJ</t>
  </si>
  <si>
    <t>Uncharacterized acetyltransferase YdcK</t>
  </si>
  <si>
    <t>Putative ABC transporter periplasmic-binding protein YdcS</t>
  </si>
  <si>
    <t>NADPH-dependent curcumin reductase</t>
  </si>
  <si>
    <t>Uncharacterized protein YncE</t>
  </si>
  <si>
    <t>Uncharacterized protein YddH</t>
  </si>
  <si>
    <t>Probable D,D-dipeptide-binding periplasmic protein DdpA</t>
  </si>
  <si>
    <t>Autoinducer 2-binding protein LsrB</t>
  </si>
  <si>
    <t>3-hydroxy-5-phosphonooxypentane-2,4-dione thiolase</t>
  </si>
  <si>
    <t>Trans-aconitate 2-methyltransferase</t>
  </si>
  <si>
    <t>Succinate semialdehyde dehydrogenase [NAD(P)+] Sad</t>
  </si>
  <si>
    <t>Uncharacterized protein YnfD</t>
  </si>
  <si>
    <t>Anaerobic dimethyl sulfoxide reductase chain YnfH</t>
  </si>
  <si>
    <t>Uncharacterized serine protease YdgD</t>
  </si>
  <si>
    <t>Protein YdgH</t>
  </si>
  <si>
    <t>Oxidoreductase YdhF</t>
  </si>
  <si>
    <t>Uncharacterized oxidoreductase YdhV</t>
  </si>
  <si>
    <t>Probable L,D-transpeptidase YnhG</t>
  </si>
  <si>
    <t>Cysteine desulfuration protein SufE</t>
  </si>
  <si>
    <t>Uncharacterized protein YdiY</t>
  </si>
  <si>
    <t>N-succinylarginine dihydrolase</t>
  </si>
  <si>
    <t>N-succinylglutamate 5-semialdehyde dehydrogenase</t>
  </si>
  <si>
    <t>Uncharacterized protein YdjY</t>
  </si>
  <si>
    <t>Protein YnjB</t>
  </si>
  <si>
    <t>Uncharacterized protein YnjH</t>
  </si>
  <si>
    <t>UPF0229 protein YeaH</t>
  </si>
  <si>
    <t>Uncharacterized protein YeaO</t>
  </si>
  <si>
    <t>D-malate dehydrogenase [decarboxylating]</t>
  </si>
  <si>
    <t>tRNA threonylcarbamoyladenosine biosynthesis protein TsaB</t>
  </si>
  <si>
    <t>Transcriptional regulator KdgR</t>
  </si>
  <si>
    <t>Free methionine-R-sulfoxide reductase</t>
  </si>
  <si>
    <t>Uncharacterized protein YebT</t>
  </si>
  <si>
    <t>Carboxy-S-adenosyl-L-methionine synthase</t>
  </si>
  <si>
    <t>Flagellar biosynthesis protein FlhA</t>
  </si>
  <si>
    <t>D-cysteine desulfhydrase</t>
  </si>
  <si>
    <t>Putative SOS response-associated peptidase YedK</t>
  </si>
  <si>
    <t>Mannosyl-3-phosphoglycerate phosphatase</t>
  </si>
  <si>
    <t>Protein-methionine-sulfoxide reductase catalytic subunit MsrP</t>
  </si>
  <si>
    <t>Protein MtfA</t>
  </si>
  <si>
    <t>Chain length determinant protein</t>
  </si>
  <si>
    <t>Multidrug resistance protein MdtA</t>
  </si>
  <si>
    <t>UPF0339 protein YegP</t>
  </si>
  <si>
    <t>Uncharacterized protease YegQ</t>
  </si>
  <si>
    <t>Lipid kinase YegS</t>
  </si>
  <si>
    <t>NAD-dependent dihydropyrimidine dehydrogenase subunit PreT</t>
  </si>
  <si>
    <t>Lipid A 1-diphosphate synthase</t>
  </si>
  <si>
    <t>Phosphohistidine phosphatase SixA</t>
  </si>
  <si>
    <t>Probable phospholipid-binding lipoprotein MlaA</t>
  </si>
  <si>
    <t>N-acetylmuramic acid 6-phosphate etherase</t>
  </si>
  <si>
    <t>Probable deferrochelatase/peroxidase YfeX</t>
  </si>
  <si>
    <t>Uncharacterized protein YfeY</t>
  </si>
  <si>
    <t>Ethanolamine utilization protein EutL</t>
  </si>
  <si>
    <t>Uncharacterized protein YffS</t>
  </si>
  <si>
    <t>Ethanolamine utilization protein EutQ</t>
  </si>
  <si>
    <t>NADP-dependent malic enzyme</t>
  </si>
  <si>
    <t>Esterase YpfH</t>
  </si>
  <si>
    <t>Uncharacterized protein YfgD</t>
  </si>
  <si>
    <t>Uncharacterized protein YfgJ</t>
  </si>
  <si>
    <t>UPF0070 protein YfgM</t>
  </si>
  <si>
    <t>Uncharacterized lipoprotein YfhM</t>
  </si>
  <si>
    <t>Protein lysine acetyltransferase Pka</t>
  </si>
  <si>
    <t>Protein CsiD</t>
  </si>
  <si>
    <t>Bifunctional protein HldE</t>
  </si>
  <si>
    <t>Uncharacterized protein YdhS</t>
  </si>
  <si>
    <t>Uncharacterized protein YkfB</t>
  </si>
  <si>
    <t>Cell division protein ZipA</t>
  </si>
  <si>
    <t>Phenylacetic acid degradation protein PaaY</t>
  </si>
  <si>
    <t>Thiol:disulfide interchange protein DsbG</t>
  </si>
  <si>
    <t>Probable pyridine nucleotide-disulfide oxidoreductase RclA</t>
  </si>
  <si>
    <t>Putative glutamate--cysteine ligase 2</t>
  </si>
  <si>
    <t>L-rhamnonate dehydratase</t>
  </si>
  <si>
    <t>2-methylcitrate dehydratase</t>
  </si>
  <si>
    <t>2-deoxyglucose-6-phosphate phosphatase</t>
  </si>
  <si>
    <t>Uncharacterized protein YkgE</t>
  </si>
  <si>
    <t>N-ethylmaleimide reductase</t>
  </si>
  <si>
    <t>ABC transporter periplasmic-binding protein YphF</t>
  </si>
  <si>
    <t>Electron transport complex subunit RsxG</t>
  </si>
  <si>
    <t>Uncharacterized sulfatase YdeN</t>
  </si>
  <si>
    <t>Prophage lipoprotein Bor homolog</t>
  </si>
  <si>
    <t>Mechanosensitive channel MscK</t>
  </si>
  <si>
    <t>Periplasmic murein peptide-binding protein</t>
  </si>
  <si>
    <t>UPF0098 protein YbcL</t>
  </si>
  <si>
    <t>Uncharacterized oxidoreductase YdgJ</t>
  </si>
  <si>
    <t>Uncharacterized protein YbbN</t>
  </si>
  <si>
    <t>Uncharacterized protein YkgG</t>
  </si>
  <si>
    <t>Glutamate-pyruvate aminotransferase AlaC</t>
  </si>
  <si>
    <t>Cysteine desulfurase</t>
  </si>
  <si>
    <t>Glutaminase 1</t>
  </si>
  <si>
    <t>1-deoxy-D-xylulose-5-phosphate synthase</t>
  </si>
  <si>
    <t>Probable ATP-dependent transporter SufC</t>
  </si>
  <si>
    <t>FeS cluster assembly protein SufB</t>
  </si>
  <si>
    <t>Disulfide-bond oxidoreductase YfcG</t>
  </si>
  <si>
    <t>L-cystine transporter YdjN</t>
  </si>
  <si>
    <t>2-methylisocitrate lyase</t>
  </si>
  <si>
    <t>Glutathione S-transferase YfcF</t>
  </si>
  <si>
    <t>Uncharacterized protein YdhQ</t>
  </si>
  <si>
    <t>Uncharacterized protein YahJ</t>
  </si>
  <si>
    <t>Uncharacterized protein YaiW</t>
  </si>
  <si>
    <t>Succinylornithine transaminase</t>
  </si>
  <si>
    <t>Electron transport complex subunit RsxC</t>
  </si>
  <si>
    <t>Sugar phosphatase YfbT</t>
  </si>
  <si>
    <t>Allantoinase</t>
  </si>
  <si>
    <t>Gamma-aminobutyraldehyde dehydrogenase</t>
  </si>
  <si>
    <t>FeS cluster assembly protein SufD</t>
  </si>
  <si>
    <t>Protein GnsB</t>
  </si>
  <si>
    <t>Long-chain acyl-CoA thioesterase FadM</t>
  </si>
  <si>
    <t>Putative beta-xylosidase</t>
  </si>
  <si>
    <t>tRNA sulfurtransferase</t>
  </si>
  <si>
    <t>Uncharacterized HTH-type transcriptional regulator YdjF</t>
  </si>
  <si>
    <t>Uncharacterized oxidoreductase YajO</t>
  </si>
  <si>
    <t>Oligopeptide transport ATP-binding protein OppF</t>
  </si>
  <si>
    <t>Uncharacterized protein YniA</t>
  </si>
  <si>
    <t>Uncharacterized protein YdiJ</t>
  </si>
  <si>
    <t>Periplasmic chaperone Spy</t>
  </si>
  <si>
    <t>7-cyano-7-deazaguanine synthase</t>
  </si>
  <si>
    <t>Outer membrane protein assembly factor BamB</t>
  </si>
  <si>
    <t>Epimerase family protein YfcH</t>
  </si>
  <si>
    <t>Probable dimethyl sulfoxide reductase chain YnfF</t>
  </si>
  <si>
    <t>Maltose O-acetyltransferase</t>
  </si>
  <si>
    <t>Protein YdgA</t>
  </si>
  <si>
    <t>NMN amidohydrolase-like protein YfaY</t>
  </si>
  <si>
    <t>Fructose-6-phosphate aldolase 1</t>
  </si>
  <si>
    <t>Thiosulfate sulfurtransferase YnjE</t>
  </si>
  <si>
    <t>Phenylacetaldehyde dehydrogenase</t>
  </si>
  <si>
    <t>Uncharacterized protein YibT</t>
  </si>
  <si>
    <t>Uncharacterized protein YobH</t>
  </si>
  <si>
    <t>Putative xanthine dehydrogenase molybdenum-binding subunit XdhA</t>
  </si>
  <si>
    <t>Putatuve xanthine dehydrogenase iron-sulfur-binding subunit XdhC</t>
  </si>
  <si>
    <t>Uncharacterized protein YgeW</t>
  </si>
  <si>
    <t>Carbamate kinase-like protein YqeA</t>
  </si>
  <si>
    <t>Uncharacterized protein YgfK</t>
  </si>
  <si>
    <t>Probable hypoxanthine oxidase XdhD</t>
  </si>
  <si>
    <t>Isopentenyl-diphosphate Delta-isomerase</t>
  </si>
  <si>
    <t>6-phospho-beta-glucosidase BglA</t>
  </si>
  <si>
    <t>Disulfide-bond oxidoreductase YghU</t>
  </si>
  <si>
    <t>L-glyceraldehyde 3-phosphate reductase</t>
  </si>
  <si>
    <t>Alcohol dehydrogenase YqhD</t>
  </si>
  <si>
    <t>2,5-diketo-D-gluconic acid reductase A</t>
  </si>
  <si>
    <t>Probable deoxycholate-binding periplasmic protein YgiS</t>
  </si>
  <si>
    <t>Antitoxin MqsA</t>
  </si>
  <si>
    <t>Uncharacterized protein YqiC</t>
  </si>
  <si>
    <t>NADPH-dependent ferric-chelate reductase</t>
  </si>
  <si>
    <t>2-C-methyl-D-erythritol 4-phosphate cytidylyltransferase</t>
  </si>
  <si>
    <t>NADPH-dependent 7-cyano-7-deazaguanine reductase</t>
  </si>
  <si>
    <t>4-deoxy-L-threo-5-hexosulose-uronate ketol-isomerase</t>
  </si>
  <si>
    <t>Protein deglycase 3</t>
  </si>
  <si>
    <t>Acyl-coenzyme A dehydrogenase</t>
  </si>
  <si>
    <t>Putative glutamine amidotransferase YafJ</t>
  </si>
  <si>
    <t>Antitoxin DinJ</t>
  </si>
  <si>
    <t>mRNA interferase YafO</t>
  </si>
  <si>
    <t>Probable ABC transporter periplasmic-binding protein SapA</t>
  </si>
  <si>
    <t>Hydrolase YafV</t>
  </si>
  <si>
    <t>Homocysteine S-methyltransferase</t>
  </si>
  <si>
    <t>tRNA pseudouridine synthase D</t>
  </si>
  <si>
    <t>Copper-exporting P-type ATPase A</t>
  </si>
  <si>
    <t>ADP-ribose pyrophosphatase</t>
  </si>
  <si>
    <t>Alpha-ketoglutarate permease (Fragment)</t>
  </si>
  <si>
    <t>Transferase (Fragment)</t>
  </si>
  <si>
    <t>Molybdopterin-guanine dinucleotide biosynthesis protein B</t>
  </si>
  <si>
    <t>G0ZKW2</t>
  </si>
  <si>
    <t>P00350</t>
  </si>
  <si>
    <t>P00363</t>
  </si>
  <si>
    <t>P00370</t>
  </si>
  <si>
    <t>P00393</t>
  </si>
  <si>
    <t>P00448</t>
  </si>
  <si>
    <t>P00452</t>
  </si>
  <si>
    <t>P00490</t>
  </si>
  <si>
    <t>P00509</t>
  </si>
  <si>
    <t>P00547</t>
  </si>
  <si>
    <t>P00550</t>
  </si>
  <si>
    <t>P00561</t>
  </si>
  <si>
    <t>P00579</t>
  </si>
  <si>
    <t>P00582</t>
  </si>
  <si>
    <t>P00634</t>
  </si>
  <si>
    <t>P00803</t>
  </si>
  <si>
    <t>P00805</t>
  </si>
  <si>
    <t>P00811</t>
  </si>
  <si>
    <t>P00864</t>
  </si>
  <si>
    <t>P00895</t>
  </si>
  <si>
    <t>P00904</t>
  </si>
  <si>
    <t>P00909</t>
  </si>
  <si>
    <t>P00926</t>
  </si>
  <si>
    <t>P00934</t>
  </si>
  <si>
    <t>P00935</t>
  </si>
  <si>
    <t>P00946</t>
  </si>
  <si>
    <t>P00954</t>
  </si>
  <si>
    <t>P00956</t>
  </si>
  <si>
    <t>P00957</t>
  </si>
  <si>
    <t>P00959</t>
  </si>
  <si>
    <t>P00960</t>
  </si>
  <si>
    <t>P00961</t>
  </si>
  <si>
    <t>P00962</t>
  </si>
  <si>
    <t>P02358</t>
  </si>
  <si>
    <t>P02359</t>
  </si>
  <si>
    <t>P02413</t>
  </si>
  <si>
    <t>P02916</t>
  </si>
  <si>
    <t>P02918</t>
  </si>
  <si>
    <t>P02919</t>
  </si>
  <si>
    <t>P02924</t>
  </si>
  <si>
    <t>P02925</t>
  </si>
  <si>
    <t>P02930</t>
  </si>
  <si>
    <t>P02931</t>
  </si>
  <si>
    <t>P02942</t>
  </si>
  <si>
    <t>P02943</t>
  </si>
  <si>
    <t>P03813</t>
  </si>
  <si>
    <t>P03817</t>
  </si>
  <si>
    <t>P03841</t>
  </si>
  <si>
    <t>P04036</t>
  </si>
  <si>
    <t>P04079</t>
  </si>
  <si>
    <t>P04335</t>
  </si>
  <si>
    <t>P04425</t>
  </si>
  <si>
    <t>P04693</t>
  </si>
  <si>
    <t>P04805</t>
  </si>
  <si>
    <t>P04816</t>
  </si>
  <si>
    <t>P04825</t>
  </si>
  <si>
    <t>P04846</t>
  </si>
  <si>
    <t>P04949</t>
  </si>
  <si>
    <t>P04951</t>
  </si>
  <si>
    <t>P04982</t>
  </si>
  <si>
    <t>P04983</t>
  </si>
  <si>
    <t>P05020</t>
  </si>
  <si>
    <t>P05041</t>
  </si>
  <si>
    <t>P05042</t>
  </si>
  <si>
    <t>P05055</t>
  </si>
  <si>
    <t>P05194</t>
  </si>
  <si>
    <t>P05458</t>
  </si>
  <si>
    <t>P05459</t>
  </si>
  <si>
    <t>P05637</t>
  </si>
  <si>
    <t>P05704</t>
  </si>
  <si>
    <t>P05707</t>
  </si>
  <si>
    <t>P05791</t>
  </si>
  <si>
    <t>P05793</t>
  </si>
  <si>
    <t>P05804</t>
  </si>
  <si>
    <t>P06149</t>
  </si>
  <si>
    <t>P06282</t>
  </si>
  <si>
    <t>P06610</t>
  </si>
  <si>
    <t>P06612</t>
  </si>
  <si>
    <t>P06616</t>
  </si>
  <si>
    <t>P06710</t>
  </si>
  <si>
    <t>P06715</t>
  </si>
  <si>
    <t>P06720</t>
  </si>
  <si>
    <t>P06846</t>
  </si>
  <si>
    <t>P06959</t>
  </si>
  <si>
    <t>P06961</t>
  </si>
  <si>
    <t>P06966</t>
  </si>
  <si>
    <t>P06968</t>
  </si>
  <si>
    <t>P06974</t>
  </si>
  <si>
    <t>P06983</t>
  </si>
  <si>
    <t>P06986</t>
  </si>
  <si>
    <t>P06987</t>
  </si>
  <si>
    <t>P06988</t>
  </si>
  <si>
    <t>P06989</t>
  </si>
  <si>
    <t>P06992</t>
  </si>
  <si>
    <t>P06996</t>
  </si>
  <si>
    <t>P06999</t>
  </si>
  <si>
    <t>P07001</t>
  </si>
  <si>
    <t>P07003</t>
  </si>
  <si>
    <t>P07004</t>
  </si>
  <si>
    <t>P07012</t>
  </si>
  <si>
    <t>P07014</t>
  </si>
  <si>
    <t>P07017</t>
  </si>
  <si>
    <t>P07018</t>
  </si>
  <si>
    <t>P07023</t>
  </si>
  <si>
    <t>P07024</t>
  </si>
  <si>
    <t>P07102</t>
  </si>
  <si>
    <t>P07117</t>
  </si>
  <si>
    <t>P07118</t>
  </si>
  <si>
    <t>P07330</t>
  </si>
  <si>
    <t>P07363</t>
  </si>
  <si>
    <t>P07395</t>
  </si>
  <si>
    <t>P07604</t>
  </si>
  <si>
    <t>P07639</t>
  </si>
  <si>
    <t>P07650</t>
  </si>
  <si>
    <t>P07762</t>
  </si>
  <si>
    <t>P07813</t>
  </si>
  <si>
    <t>P07822</t>
  </si>
  <si>
    <t>P07862</t>
  </si>
  <si>
    <t>P07913</t>
  </si>
  <si>
    <t>P08178</t>
  </si>
  <si>
    <t>P08179</t>
  </si>
  <si>
    <t>P08192</t>
  </si>
  <si>
    <t>P08200</t>
  </si>
  <si>
    <t>P08202</t>
  </si>
  <si>
    <t>P08244</t>
  </si>
  <si>
    <t>P08312</t>
  </si>
  <si>
    <t>P08331</t>
  </si>
  <si>
    <t>P08337</t>
  </si>
  <si>
    <t>P08373</t>
  </si>
  <si>
    <t>P08390</t>
  </si>
  <si>
    <t>P08395</t>
  </si>
  <si>
    <t>P08506</t>
  </si>
  <si>
    <t>P08550</t>
  </si>
  <si>
    <t>P08622</t>
  </si>
  <si>
    <t>P08839</t>
  </si>
  <si>
    <t>P08956</t>
  </si>
  <si>
    <t>P08957</t>
  </si>
  <si>
    <t>P08997</t>
  </si>
  <si>
    <t>P09029</t>
  </si>
  <si>
    <t>P09030</t>
  </si>
  <si>
    <t>P09127</t>
  </si>
  <si>
    <t>P09147</t>
  </si>
  <si>
    <t>P09148</t>
  </si>
  <si>
    <t>P09152</t>
  </si>
  <si>
    <t>P09153</t>
  </si>
  <si>
    <t>P09155</t>
  </si>
  <si>
    <t>P09158</t>
  </si>
  <si>
    <t>P09169</t>
  </si>
  <si>
    <t>P09323</t>
  </si>
  <si>
    <t>P09372</t>
  </si>
  <si>
    <t>P09373</t>
  </si>
  <si>
    <t>P09391</t>
  </si>
  <si>
    <t>P09394</t>
  </si>
  <si>
    <t>P09424</t>
  </si>
  <si>
    <t>P09546</t>
  </si>
  <si>
    <t>P09549</t>
  </si>
  <si>
    <t>P09551</t>
  </si>
  <si>
    <t>P09831</t>
  </si>
  <si>
    <t>P09832</t>
  </si>
  <si>
    <t>P09833</t>
  </si>
  <si>
    <t>P0A698</t>
  </si>
  <si>
    <t>P0A6A3</t>
  </si>
  <si>
    <t>P0A6A8</t>
  </si>
  <si>
    <t>P0A6B4</t>
  </si>
  <si>
    <t>P0A6B7</t>
  </si>
  <si>
    <t>P0A6C1</t>
  </si>
  <si>
    <t>P0A6D0</t>
  </si>
  <si>
    <t>P0A6D3</t>
  </si>
  <si>
    <t>P0A6D7</t>
  </si>
  <si>
    <t>P0A6E1</t>
  </si>
  <si>
    <t>P0A6E4</t>
  </si>
  <si>
    <t>P0A6E9</t>
  </si>
  <si>
    <t>P0A6F1</t>
  </si>
  <si>
    <t>P0A6F3</t>
  </si>
  <si>
    <t>P0A6F5</t>
  </si>
  <si>
    <t>P0A6F9</t>
  </si>
  <si>
    <t>P0A6G3</t>
  </si>
  <si>
    <t>P0A6G7</t>
  </si>
  <si>
    <t>P0A6H1</t>
  </si>
  <si>
    <t>P0A6H5</t>
  </si>
  <si>
    <t>P0A6I0</t>
  </si>
  <si>
    <t>P0A6I3</t>
  </si>
  <si>
    <t>P0A6I6</t>
  </si>
  <si>
    <t>P0A6I9</t>
  </si>
  <si>
    <t>P0A6J3</t>
  </si>
  <si>
    <t>P0A6J5</t>
  </si>
  <si>
    <t>P0A6J8</t>
  </si>
  <si>
    <t>P0A6K1</t>
  </si>
  <si>
    <t>P0A6K3</t>
  </si>
  <si>
    <t>P0A6K6</t>
  </si>
  <si>
    <t>P0A6L0</t>
  </si>
  <si>
    <t>P0A6L2</t>
  </si>
  <si>
    <t>P0A6L7</t>
  </si>
  <si>
    <t>P0A6L9</t>
  </si>
  <si>
    <t>P0A6M4</t>
  </si>
  <si>
    <t>P0A6M8</t>
  </si>
  <si>
    <t>P0A6N4</t>
  </si>
  <si>
    <t>P0A6N8</t>
  </si>
  <si>
    <t>P0A6P1</t>
  </si>
  <si>
    <t>P0A6P5</t>
  </si>
  <si>
    <t>P0A6P7</t>
  </si>
  <si>
    <t>P0A6P9</t>
  </si>
  <si>
    <t>P0A6Q3</t>
  </si>
  <si>
    <t>P0A6Q6</t>
  </si>
  <si>
    <t>P0A6R0</t>
  </si>
  <si>
    <t>P0A6S0</t>
  </si>
  <si>
    <t>P0A6S7</t>
  </si>
  <si>
    <t>P0A6T1</t>
  </si>
  <si>
    <t>P0A6T3</t>
  </si>
  <si>
    <t>P0A6T5</t>
  </si>
  <si>
    <t>P0A6T9</t>
  </si>
  <si>
    <t>P0A6U5</t>
  </si>
  <si>
    <t>P0A6U8</t>
  </si>
  <si>
    <t>P0A6V1</t>
  </si>
  <si>
    <t>P0A6V8</t>
  </si>
  <si>
    <t>P0A6W3</t>
  </si>
  <si>
    <t>P0A6W5</t>
  </si>
  <si>
    <t>P0A6W9</t>
  </si>
  <si>
    <t>P0A6X3</t>
  </si>
  <si>
    <t>P0A6X7</t>
  </si>
  <si>
    <t>P0A6Y1</t>
  </si>
  <si>
    <t>P0A6Y5</t>
  </si>
  <si>
    <t>P0A6Y8</t>
  </si>
  <si>
    <t>P0A6Z1</t>
  </si>
  <si>
    <t>P0A6Z3</t>
  </si>
  <si>
    <t>P0A705</t>
  </si>
  <si>
    <t>P0A707</t>
  </si>
  <si>
    <t>P0A715</t>
  </si>
  <si>
    <t>P0A717</t>
  </si>
  <si>
    <t>P0A720</t>
  </si>
  <si>
    <t>P0A722</t>
  </si>
  <si>
    <t>P0A725</t>
  </si>
  <si>
    <t>P0A729</t>
  </si>
  <si>
    <t>P0A731</t>
  </si>
  <si>
    <t>P0A734</t>
  </si>
  <si>
    <t>P0A738</t>
  </si>
  <si>
    <t>P0A742</t>
  </si>
  <si>
    <t>P0A744</t>
  </si>
  <si>
    <t>P0A746</t>
  </si>
  <si>
    <t>P0A749</t>
  </si>
  <si>
    <t>P0A759</t>
  </si>
  <si>
    <t>P0A761</t>
  </si>
  <si>
    <t>P0A763</t>
  </si>
  <si>
    <t>P0A780</t>
  </si>
  <si>
    <t>P0A784</t>
  </si>
  <si>
    <t>P0A790</t>
  </si>
  <si>
    <t>P0A794</t>
  </si>
  <si>
    <t>P0A796</t>
  </si>
  <si>
    <t>P0A799</t>
  </si>
  <si>
    <t>P0A7A2</t>
  </si>
  <si>
    <t>P0A7A9</t>
  </si>
  <si>
    <t>P0A7B3</t>
  </si>
  <si>
    <t>P0A7B5</t>
  </si>
  <si>
    <t>P0A7B8</t>
  </si>
  <si>
    <t>P0A7C2</t>
  </si>
  <si>
    <t>P0A7C6</t>
  </si>
  <si>
    <t>P0A7D1</t>
  </si>
  <si>
    <t>P0A7D4</t>
  </si>
  <si>
    <t>P0A7D7</t>
  </si>
  <si>
    <t>P0A7E1</t>
  </si>
  <si>
    <t>P0A7E5</t>
  </si>
  <si>
    <t>P0A7E9</t>
  </si>
  <si>
    <t>P0A7F3</t>
  </si>
  <si>
    <t>P0A7F6</t>
  </si>
  <si>
    <t>P0A7G2</t>
  </si>
  <si>
    <t>P0A7G6</t>
  </si>
  <si>
    <t>P0A7H6</t>
  </si>
  <si>
    <t>P0A7I0</t>
  </si>
  <si>
    <t>P0A7I4</t>
  </si>
  <si>
    <t>P0A7I7</t>
  </si>
  <si>
    <t>P0A7J0</t>
  </si>
  <si>
    <t>P0A7J3</t>
  </si>
  <si>
    <t>P0A7J7</t>
  </si>
  <si>
    <t>P0A7K2</t>
  </si>
  <si>
    <t>P0A7K6</t>
  </si>
  <si>
    <t>P0A7L0</t>
  </si>
  <si>
    <t>P0A7L3</t>
  </si>
  <si>
    <t>P0A7L8</t>
  </si>
  <si>
    <t>P0A7M2</t>
  </si>
  <si>
    <t>P0A7M9</t>
  </si>
  <si>
    <t>P0A7Q6</t>
  </si>
  <si>
    <t>P0A7R1</t>
  </si>
  <si>
    <t>P0A7R5</t>
  </si>
  <si>
    <t>P0A7R9</t>
  </si>
  <si>
    <t>P0A7S3</t>
  </si>
  <si>
    <t>P0A7S9</t>
  </si>
  <si>
    <t>P0A7T3</t>
  </si>
  <si>
    <t>P0A7T7</t>
  </si>
  <si>
    <t>P0A7U3</t>
  </si>
  <si>
    <t>P0A7U7</t>
  </si>
  <si>
    <t>P0A7V0</t>
  </si>
  <si>
    <t>P0A7V3</t>
  </si>
  <si>
    <t>P0A7V8</t>
  </si>
  <si>
    <t>P0A7W1</t>
  </si>
  <si>
    <t>P0A7W7</t>
  </si>
  <si>
    <t>P0A7X3</t>
  </si>
  <si>
    <t>P0A7X6</t>
  </si>
  <si>
    <t>P0A7Y0</t>
  </si>
  <si>
    <t>P0A7Z0</t>
  </si>
  <si>
    <t>P0A7Z4</t>
  </si>
  <si>
    <t>P0A805</t>
  </si>
  <si>
    <t>P0A809</t>
  </si>
  <si>
    <t>P0A817</t>
  </si>
  <si>
    <t>P0A821</t>
  </si>
  <si>
    <t>P0A823</t>
  </si>
  <si>
    <t>P0A825</t>
  </si>
  <si>
    <t>P0A830</t>
  </si>
  <si>
    <t>P0A832</t>
  </si>
  <si>
    <t>P0A836</t>
  </si>
  <si>
    <t>P0A840</t>
  </si>
  <si>
    <t>P0A847</t>
  </si>
  <si>
    <t>P0A850</t>
  </si>
  <si>
    <t>P0A853</t>
  </si>
  <si>
    <t>P0A855</t>
  </si>
  <si>
    <t>P0A858</t>
  </si>
  <si>
    <t>P0A862</t>
  </si>
  <si>
    <t>P0A867</t>
  </si>
  <si>
    <t>P0A870</t>
  </si>
  <si>
    <t>P0A873</t>
  </si>
  <si>
    <t>P0A877</t>
  </si>
  <si>
    <t>P0A879</t>
  </si>
  <si>
    <t>P0A884</t>
  </si>
  <si>
    <t>P0A887</t>
  </si>
  <si>
    <t>P0A898</t>
  </si>
  <si>
    <t>P0A8A0</t>
  </si>
  <si>
    <t>P0A8A2</t>
  </si>
  <si>
    <t>P0A8A4</t>
  </si>
  <si>
    <t>P0A8B5</t>
  </si>
  <si>
    <t>P0A8C1</t>
  </si>
  <si>
    <t>P0A8D0</t>
  </si>
  <si>
    <t>P0A8D3</t>
  </si>
  <si>
    <t>P0A8D6</t>
  </si>
  <si>
    <t>P0A8E1</t>
  </si>
  <si>
    <t>P0A8E5</t>
  </si>
  <si>
    <t>P0A8E7</t>
  </si>
  <si>
    <t>P0A8F0</t>
  </si>
  <si>
    <t>P0A8F4</t>
  </si>
  <si>
    <t>P0A8F8</t>
  </si>
  <si>
    <t>P0A8G3</t>
  </si>
  <si>
    <t>P0A8G6</t>
  </si>
  <si>
    <t>P0A8H6</t>
  </si>
  <si>
    <t>P0A8I1</t>
  </si>
  <si>
    <t>P0A8I3</t>
  </si>
  <si>
    <t>P0A8I5</t>
  </si>
  <si>
    <t>P0A8J8</t>
  </si>
  <si>
    <t>P0A8K1</t>
  </si>
  <si>
    <t>P0A8L1</t>
  </si>
  <si>
    <t>P0A8M0</t>
  </si>
  <si>
    <t>P0A8M3</t>
  </si>
  <si>
    <t>P0A8M6</t>
  </si>
  <si>
    <t>P0A8N0</t>
  </si>
  <si>
    <t>P0A8N3</t>
  </si>
  <si>
    <t>P0A8N5</t>
  </si>
  <si>
    <t>P0A8P3</t>
  </si>
  <si>
    <t>P0A8Q0</t>
  </si>
  <si>
    <t>P0A8Q3</t>
  </si>
  <si>
    <t>P0A8R0</t>
  </si>
  <si>
    <t>P0A8R4</t>
  </si>
  <si>
    <t>P0A8R7</t>
  </si>
  <si>
    <t>P0A8S1</t>
  </si>
  <si>
    <t>P0A8T1</t>
  </si>
  <si>
    <t>P0A8T7</t>
  </si>
  <si>
    <t>P0A8U0</t>
  </si>
  <si>
    <t>P0A8U2</t>
  </si>
  <si>
    <t>P0A8U6</t>
  </si>
  <si>
    <t>P0A8V0</t>
  </si>
  <si>
    <t>P0A8V2</t>
  </si>
  <si>
    <t>P0A8V6</t>
  </si>
  <si>
    <t>P0A8W0</t>
  </si>
  <si>
    <t>P0A8W2</t>
  </si>
  <si>
    <t>P0A8W5</t>
  </si>
  <si>
    <t>P0A8W8</t>
  </si>
  <si>
    <t>P0A8X0</t>
  </si>
  <si>
    <t>P0A8X2</t>
  </si>
  <si>
    <t>P0A8Y3</t>
  </si>
  <si>
    <t>P0A8Y5</t>
  </si>
  <si>
    <t>P0A8Z0</t>
  </si>
  <si>
    <t>P0A901</t>
  </si>
  <si>
    <t>P0A903</t>
  </si>
  <si>
    <t>P0A905</t>
  </si>
  <si>
    <t>P0A910</t>
  </si>
  <si>
    <t>P0A912</t>
  </si>
  <si>
    <t>P0A915</t>
  </si>
  <si>
    <t>P0A917</t>
  </si>
  <si>
    <t>P0A927</t>
  </si>
  <si>
    <t>P0A937</t>
  </si>
  <si>
    <t>P0A940</t>
  </si>
  <si>
    <t>P0A948</t>
  </si>
  <si>
    <t>P0A953</t>
  </si>
  <si>
    <t>P0A955</t>
  </si>
  <si>
    <t>P0A962</t>
  </si>
  <si>
    <t>P0A964</t>
  </si>
  <si>
    <t>P0A972</t>
  </si>
  <si>
    <t>P0A988</t>
  </si>
  <si>
    <t>P0A991</t>
  </si>
  <si>
    <t>P0A993</t>
  </si>
  <si>
    <t>P0A998</t>
  </si>
  <si>
    <t>P0A9A6</t>
  </si>
  <si>
    <t>P0A9A9</t>
  </si>
  <si>
    <t>P0A9B2</t>
  </si>
  <si>
    <t>P0A9B6</t>
  </si>
  <si>
    <t>P0A9C3</t>
  </si>
  <si>
    <t>P0A9C5</t>
  </si>
  <si>
    <t>P0A9C9</t>
  </si>
  <si>
    <t>P0A9D2</t>
  </si>
  <si>
    <t>P0A9D4</t>
  </si>
  <si>
    <t>P0A9D8</t>
  </si>
  <si>
    <t>P0A9E5</t>
  </si>
  <si>
    <t>P0A9F1</t>
  </si>
  <si>
    <t>P0A9F3</t>
  </si>
  <si>
    <t>P0A9G6</t>
  </si>
  <si>
    <t>P0A9G8</t>
  </si>
  <si>
    <t>P0A9H1</t>
  </si>
  <si>
    <t>P0A9H5</t>
  </si>
  <si>
    <t>P0A9H9</t>
  </si>
  <si>
    <t>P0A9J0</t>
  </si>
  <si>
    <t>P0A9J6</t>
  </si>
  <si>
    <t>P0A9J8</t>
  </si>
  <si>
    <t>P0A9K3</t>
  </si>
  <si>
    <t>P0A9K7</t>
  </si>
  <si>
    <t>P0A9K9</t>
  </si>
  <si>
    <t>P0A9L3</t>
  </si>
  <si>
    <t>P0A9L5</t>
  </si>
  <si>
    <t>P0A9L8</t>
  </si>
  <si>
    <t>P0A9M0</t>
  </si>
  <si>
    <t>P0A9M2</t>
  </si>
  <si>
    <t>P0A9M5</t>
  </si>
  <si>
    <t>P0A9M8</t>
  </si>
  <si>
    <t>P0A9N0</t>
  </si>
  <si>
    <t>P0A9N4</t>
  </si>
  <si>
    <t>P0A9P0</t>
  </si>
  <si>
    <t>P0A9P4</t>
  </si>
  <si>
    <t>P0A9Q1</t>
  </si>
  <si>
    <t>P0A9Q5</t>
  </si>
  <si>
    <t>P0A9Q7</t>
  </si>
  <si>
    <t>P0A9Q9</t>
  </si>
  <si>
    <t>P0A9R4</t>
  </si>
  <si>
    <t>P0A9R7</t>
  </si>
  <si>
    <t>P0A9S1</t>
  </si>
  <si>
    <t>P0A9S3</t>
  </si>
  <si>
    <t>P0A9S5</t>
  </si>
  <si>
    <t>P0A9T0</t>
  </si>
  <si>
    <t>P0A9T4</t>
  </si>
  <si>
    <t>P0A9T8</t>
  </si>
  <si>
    <t>P0A9U3</t>
  </si>
  <si>
    <t>P0A9U6</t>
  </si>
  <si>
    <t>P0A9V1</t>
  </si>
  <si>
    <t>P0A9V5</t>
  </si>
  <si>
    <t>P0A9W0</t>
  </si>
  <si>
    <t>P0A9W3</t>
  </si>
  <si>
    <t>P0A9W6</t>
  </si>
  <si>
    <t>P0A9X4</t>
  </si>
  <si>
    <t>P0A9X9</t>
  </si>
  <si>
    <t>P0A9Y6</t>
  </si>
  <si>
    <t>P0A9Z1</t>
  </si>
  <si>
    <t>P0AA04</t>
  </si>
  <si>
    <t>P0AA10</t>
  </si>
  <si>
    <t>P0AA16</t>
  </si>
  <si>
    <t>P0AA25</t>
  </si>
  <si>
    <t>P0AA37</t>
  </si>
  <si>
    <t>P0AA39</t>
  </si>
  <si>
    <t>P0AA43</t>
  </si>
  <si>
    <t>P0AA53</t>
  </si>
  <si>
    <t>P0AA57</t>
  </si>
  <si>
    <t>P0AA91</t>
  </si>
  <si>
    <t>P0AAA1</t>
  </si>
  <si>
    <t>P0AAB4</t>
  </si>
  <si>
    <t>P0AAB6</t>
  </si>
  <si>
    <t>P0AAB8</t>
  </si>
  <si>
    <t>P0AAC0</t>
  </si>
  <si>
    <t>P0AAC4</t>
  </si>
  <si>
    <t>P0AAC8</t>
  </si>
  <si>
    <t>P0AAE0</t>
  </si>
  <si>
    <t>P0AAF6</t>
  </si>
  <si>
    <t>P0AAG0</t>
  </si>
  <si>
    <t>P0AAH8</t>
  </si>
  <si>
    <t>P0AAI3</t>
  </si>
  <si>
    <t>P0AAI5</t>
  </si>
  <si>
    <t>P0AAI9</t>
  </si>
  <si>
    <t>P0AAJ1</t>
  </si>
  <si>
    <t>P0AAJ5</t>
  </si>
  <si>
    <t>P0AAJ8</t>
  </si>
  <si>
    <t>P0AAN3</t>
  </si>
  <si>
    <t>P0AAN5</t>
  </si>
  <si>
    <t>P0AAN9</t>
  </si>
  <si>
    <t>P0AAP3</t>
  </si>
  <si>
    <t>P0AAQ2</t>
  </si>
  <si>
    <t>P0AAQ6</t>
  </si>
  <si>
    <t>P0AAR3</t>
  </si>
  <si>
    <t>P0AAS0</t>
  </si>
  <si>
    <t>P0AAS3</t>
  </si>
  <si>
    <t>P0AAS7</t>
  </si>
  <si>
    <t>P0AAT2</t>
  </si>
  <si>
    <t>P0AAT9</t>
  </si>
  <si>
    <t>P0AAV0</t>
  </si>
  <si>
    <t>P0AAV4</t>
  </si>
  <si>
    <t>P0AAV6</t>
  </si>
  <si>
    <t>P0AAW1</t>
  </si>
  <si>
    <t>P0AAX8</t>
  </si>
  <si>
    <t>P0AAZ7</t>
  </si>
  <si>
    <t>P0AB12</t>
  </si>
  <si>
    <t>P0AB18</t>
  </si>
  <si>
    <t>P0AB20</t>
  </si>
  <si>
    <t>P0AB24</t>
  </si>
  <si>
    <t>P0AB26</t>
  </si>
  <si>
    <t>P0AB28</t>
  </si>
  <si>
    <t>P0AB38</t>
  </si>
  <si>
    <t>P0AB43</t>
  </si>
  <si>
    <t>P0AB55</t>
  </si>
  <si>
    <t>P0AB61</t>
  </si>
  <si>
    <t>P0AB65</t>
  </si>
  <si>
    <t>P0AB67</t>
  </si>
  <si>
    <t>P0AB71</t>
  </si>
  <si>
    <t>P0AB77</t>
  </si>
  <si>
    <t>P0AB80</t>
  </si>
  <si>
    <t>P0AB85</t>
  </si>
  <si>
    <t>P0AB89</t>
  </si>
  <si>
    <t>P0AB91</t>
  </si>
  <si>
    <t>P0AB98</t>
  </si>
  <si>
    <t>P0ABA0</t>
  </si>
  <si>
    <t>P0ABA4</t>
  </si>
  <si>
    <t>P0ABA6</t>
  </si>
  <si>
    <t>P0ABB0</t>
  </si>
  <si>
    <t>P0ABB4</t>
  </si>
  <si>
    <t>P0ABB8</t>
  </si>
  <si>
    <t>P0ABC3</t>
  </si>
  <si>
    <t>P0ABC7</t>
  </si>
  <si>
    <t>P0ABD3</t>
  </si>
  <si>
    <t>P0ABD5</t>
  </si>
  <si>
    <t>P0ABD8</t>
  </si>
  <si>
    <t>P0ABE2</t>
  </si>
  <si>
    <t>P0ABE5</t>
  </si>
  <si>
    <t>P0ABF1</t>
  </si>
  <si>
    <t>P0ABF4</t>
  </si>
  <si>
    <t>P0ABF6</t>
  </si>
  <si>
    <t>P0ABF8</t>
  </si>
  <si>
    <t>P0ABH0</t>
  </si>
  <si>
    <t>P0ABH7</t>
  </si>
  <si>
    <t>P0ABH9</t>
  </si>
  <si>
    <t>P0ABI8</t>
  </si>
  <si>
    <t>P0ABJ1</t>
  </si>
  <si>
    <t>P0ABJ9</t>
  </si>
  <si>
    <t>P0ABK2</t>
  </si>
  <si>
    <t>P0ABK5</t>
  </si>
  <si>
    <t>P0ABL5</t>
  </si>
  <si>
    <t>P0ABN1</t>
  </si>
  <si>
    <t>P0ABN5</t>
  </si>
  <si>
    <t>P0ABP8</t>
  </si>
  <si>
    <t>P0ABQ0</t>
  </si>
  <si>
    <t>P0ABQ2</t>
  </si>
  <si>
    <t>P0ABQ4</t>
  </si>
  <si>
    <t>P0ABS1</t>
  </si>
  <si>
    <t>P0ABS5</t>
  </si>
  <si>
    <t>P0ABT2</t>
  </si>
  <si>
    <t>P0ABU0</t>
  </si>
  <si>
    <t>P0ABU2</t>
  </si>
  <si>
    <t>P0ABU5</t>
  </si>
  <si>
    <t>P0ABU7</t>
  </si>
  <si>
    <t>P0ABU9</t>
  </si>
  <si>
    <t>P0ABV2</t>
  </si>
  <si>
    <t>P0ABV6</t>
  </si>
  <si>
    <t>P0ABY4</t>
  </si>
  <si>
    <t>P0ABZ1</t>
  </si>
  <si>
    <t>P0ABZ4</t>
  </si>
  <si>
    <t>P0ABZ6</t>
  </si>
  <si>
    <t>P0AC02</t>
  </si>
  <si>
    <t>P0AC13</t>
  </si>
  <si>
    <t>P0AC16</t>
  </si>
  <si>
    <t>P0AC19</t>
  </si>
  <si>
    <t>P0AC23</t>
  </si>
  <si>
    <t>P0AC30</t>
  </si>
  <si>
    <t>P0AC33</t>
  </si>
  <si>
    <t>P0AC38</t>
  </si>
  <si>
    <t>P0AC41</t>
  </si>
  <si>
    <t>P0AC44</t>
  </si>
  <si>
    <t>P0AC47</t>
  </si>
  <si>
    <t>P0AC51</t>
  </si>
  <si>
    <t>P0AC53</t>
  </si>
  <si>
    <t>P0AC59</t>
  </si>
  <si>
    <t>P0AC62</t>
  </si>
  <si>
    <t>P0AC69</t>
  </si>
  <si>
    <t>P0AC81</t>
  </si>
  <si>
    <t>P0AC84</t>
  </si>
  <si>
    <t>P0AC86</t>
  </si>
  <si>
    <t>P0AC92</t>
  </si>
  <si>
    <t>P0ACA1</t>
  </si>
  <si>
    <t>P0ACA3</t>
  </si>
  <si>
    <t>P0ACA7</t>
  </si>
  <si>
    <t>P0ACB0</t>
  </si>
  <si>
    <t>P0ACB2</t>
  </si>
  <si>
    <t>P0ACB7</t>
  </si>
  <si>
    <t>P0ACC3</t>
  </si>
  <si>
    <t>P0ACC7</t>
  </si>
  <si>
    <t>P0ACD4</t>
  </si>
  <si>
    <t>P0ACD8</t>
  </si>
  <si>
    <t>P0ACE0</t>
  </si>
  <si>
    <t>P0ACE7</t>
  </si>
  <si>
    <t>P0ACF0</t>
  </si>
  <si>
    <t>P0ACF4</t>
  </si>
  <si>
    <t>P0ACF8</t>
  </si>
  <si>
    <t>P0ACG1</t>
  </si>
  <si>
    <t>P0ACI0</t>
  </si>
  <si>
    <t>P0ACJ0</t>
  </si>
  <si>
    <t>P0ACJ8</t>
  </si>
  <si>
    <t>P0ACK2</t>
  </si>
  <si>
    <t>P0ACL2</t>
  </si>
  <si>
    <t>P0ACM5</t>
  </si>
  <si>
    <t>P0ACN4</t>
  </si>
  <si>
    <t>P0ACN7</t>
  </si>
  <si>
    <t>P0ACP5</t>
  </si>
  <si>
    <t>P0ACP7</t>
  </si>
  <si>
    <t>P0ACQ4</t>
  </si>
  <si>
    <t>P0ACR4</t>
  </si>
  <si>
    <t>P0ACR9</t>
  </si>
  <si>
    <t>P0ACS7</t>
  </si>
  <si>
    <t>P0ACU7</t>
  </si>
  <si>
    <t>P0ACV4</t>
  </si>
  <si>
    <t>P0ACV6</t>
  </si>
  <si>
    <t>P0ACW6</t>
  </si>
  <si>
    <t>P0ACX3</t>
  </si>
  <si>
    <t>P0ACX5</t>
  </si>
  <si>
    <t>P0ACY1</t>
  </si>
  <si>
    <t>P0ACY3</t>
  </si>
  <si>
    <t>P0ACZ4</t>
  </si>
  <si>
    <t>P0AD05</t>
  </si>
  <si>
    <t>P0AD10</t>
  </si>
  <si>
    <t>P0AD12</t>
  </si>
  <si>
    <t>P0AD33</t>
  </si>
  <si>
    <t>P0AD44</t>
  </si>
  <si>
    <t>P0AD47</t>
  </si>
  <si>
    <t>P0AD49</t>
  </si>
  <si>
    <t>P0AD57</t>
  </si>
  <si>
    <t>P0AD59</t>
  </si>
  <si>
    <t>P0AD61</t>
  </si>
  <si>
    <t>P0AD96</t>
  </si>
  <si>
    <t>P0ADA1</t>
  </si>
  <si>
    <t>P0ADA3</t>
  </si>
  <si>
    <t>P0ADA5</t>
  </si>
  <si>
    <t>P0ADB1</t>
  </si>
  <si>
    <t>P0ADC1</t>
  </si>
  <si>
    <t>P0ADC3</t>
  </si>
  <si>
    <t>P0ADE6</t>
  </si>
  <si>
    <t>P0ADE8</t>
  </si>
  <si>
    <t>P0ADF8</t>
  </si>
  <si>
    <t>P0ADG4</t>
  </si>
  <si>
    <t>P0ADG7</t>
  </si>
  <si>
    <t>P0ADI4</t>
  </si>
  <si>
    <t>P0ADI7</t>
  </si>
  <si>
    <t>P0ADK0</t>
  </si>
  <si>
    <t>P0ADK8</t>
  </si>
  <si>
    <t>P0ADN2</t>
  </si>
  <si>
    <t>P0ADN6</t>
  </si>
  <si>
    <t>P0ADP7</t>
  </si>
  <si>
    <t>P0ADP9</t>
  </si>
  <si>
    <t>P0ADQ7</t>
  </si>
  <si>
    <t>P0ADR6</t>
  </si>
  <si>
    <t>P0ADR8</t>
  </si>
  <si>
    <t>P0ADS2</t>
  </si>
  <si>
    <t>P0ADS6</t>
  </si>
  <si>
    <t>P0ADS9</t>
  </si>
  <si>
    <t>P0ADT2</t>
  </si>
  <si>
    <t>P0ADT5</t>
  </si>
  <si>
    <t>P0ADT8</t>
  </si>
  <si>
    <t>P0ADU2</t>
  </si>
  <si>
    <t>P0ADU5</t>
  </si>
  <si>
    <t>P0ADV1</t>
  </si>
  <si>
    <t>P0ADV5</t>
  </si>
  <si>
    <t>P0ADV7</t>
  </si>
  <si>
    <t>P0ADV9</t>
  </si>
  <si>
    <t>P0ADW3</t>
  </si>
  <si>
    <t>P0ADX1</t>
  </si>
  <si>
    <t>P0ADX7</t>
  </si>
  <si>
    <t>P0ADY1</t>
  </si>
  <si>
    <t>P0ADY3</t>
  </si>
  <si>
    <t>P0ADY7</t>
  </si>
  <si>
    <t>P0ADZ0</t>
  </si>
  <si>
    <t>P0ADZ4</t>
  </si>
  <si>
    <t>P0ADZ7</t>
  </si>
  <si>
    <t>P0AE01</t>
  </si>
  <si>
    <t>P0AE06</t>
  </si>
  <si>
    <t>P0AE08</t>
  </si>
  <si>
    <t>P0AE12</t>
  </si>
  <si>
    <t>P0AE18</t>
  </si>
  <si>
    <t>P0AE22</t>
  </si>
  <si>
    <t>P0AE37</t>
  </si>
  <si>
    <t>P0AE48</t>
  </si>
  <si>
    <t>P0AE52</t>
  </si>
  <si>
    <t>P0AE60</t>
  </si>
  <si>
    <t>P0AE63</t>
  </si>
  <si>
    <t>P0AE67</t>
  </si>
  <si>
    <t>P0AE70</t>
  </si>
  <si>
    <t>P0AE78</t>
  </si>
  <si>
    <t>P0AE82</t>
  </si>
  <si>
    <t>P0AE85</t>
  </si>
  <si>
    <t>P0AE88</t>
  </si>
  <si>
    <t>P0AE91</t>
  </si>
  <si>
    <t>P0AEA8</t>
  </si>
  <si>
    <t>P0AEB2</t>
  </si>
  <si>
    <t>P0AEB7</t>
  </si>
  <si>
    <t>P0AEC5</t>
  </si>
  <si>
    <t>P0AED0</t>
  </si>
  <si>
    <t>P0AED7</t>
  </si>
  <si>
    <t>P0AEE1</t>
  </si>
  <si>
    <t>P0AEE3</t>
  </si>
  <si>
    <t>P0AEE5</t>
  </si>
  <si>
    <t>P0AEG1</t>
  </si>
  <si>
    <t>P0AEG4</t>
  </si>
  <si>
    <t>P0AEG6</t>
  </si>
  <si>
    <t>P0AEH1</t>
  </si>
  <si>
    <t>P0AEH3</t>
  </si>
  <si>
    <t>P0AEH5</t>
  </si>
  <si>
    <t>P0AEI1</t>
  </si>
  <si>
    <t>P0AEI4</t>
  </si>
  <si>
    <t>P0AEI6</t>
  </si>
  <si>
    <t>P0AEJ2</t>
  </si>
  <si>
    <t>P0AEJ4</t>
  </si>
  <si>
    <t>P0AEJ6</t>
  </si>
  <si>
    <t>P0AEK2</t>
  </si>
  <si>
    <t>P0AEK4</t>
  </si>
  <si>
    <t>P0AEL6</t>
  </si>
  <si>
    <t>P0AEM4</t>
  </si>
  <si>
    <t>P0AEM6</t>
  </si>
  <si>
    <t>P0AEM9</t>
  </si>
  <si>
    <t>P0AEN1</t>
  </si>
  <si>
    <t>P0AEN8</t>
  </si>
  <si>
    <t>P0AEP3</t>
  </si>
  <si>
    <t>P0AEP7</t>
  </si>
  <si>
    <t>P0AEQ1</t>
  </si>
  <si>
    <t>P0AEQ3</t>
  </si>
  <si>
    <t>P0AEQ6</t>
  </si>
  <si>
    <t>P0AER3</t>
  </si>
  <si>
    <t>P0AES0</t>
  </si>
  <si>
    <t>P0AES2</t>
  </si>
  <si>
    <t>P0AES4</t>
  </si>
  <si>
    <t>P0AES6</t>
  </si>
  <si>
    <t>P0AES9</t>
  </si>
  <si>
    <t>P0AET2</t>
  </si>
  <si>
    <t>P0AET5</t>
  </si>
  <si>
    <t>P0AET8</t>
  </si>
  <si>
    <t>P0AEU0</t>
  </si>
  <si>
    <t>P0AEU7</t>
  </si>
  <si>
    <t>P0AEV1</t>
  </si>
  <si>
    <t>P0AEV9</t>
  </si>
  <si>
    <t>P0AEW4</t>
  </si>
  <si>
    <t>P0AEX5</t>
  </si>
  <si>
    <t>P0AEX9</t>
  </si>
  <si>
    <t>P0AEY1</t>
  </si>
  <si>
    <t>P0AEY3</t>
  </si>
  <si>
    <t>P0AEY5</t>
  </si>
  <si>
    <t>P0AEZ3</t>
  </si>
  <si>
    <t>P0AEZ9</t>
  </si>
  <si>
    <t>P0AF03</t>
  </si>
  <si>
    <t>P0AF08</t>
  </si>
  <si>
    <t>P0AF12</t>
  </si>
  <si>
    <t>P0AF18</t>
  </si>
  <si>
    <t>P0AF20</t>
  </si>
  <si>
    <t>P0AF24</t>
  </si>
  <si>
    <t>P0AF28</t>
  </si>
  <si>
    <t>P0AF36</t>
  </si>
  <si>
    <t>P0AF48</t>
  </si>
  <si>
    <t>P0AF50</t>
  </si>
  <si>
    <t>P0AF54</t>
  </si>
  <si>
    <t>P0AF59</t>
  </si>
  <si>
    <t>P0AF63</t>
  </si>
  <si>
    <t>P0AF67</t>
  </si>
  <si>
    <t>P0AF90</t>
  </si>
  <si>
    <t>P0AF93</t>
  </si>
  <si>
    <t>P0AF98</t>
  </si>
  <si>
    <t>P0AFA7</t>
  </si>
  <si>
    <t>P0AFB5</t>
  </si>
  <si>
    <t>P0AFC7</t>
  </si>
  <si>
    <t>P0AFD1</t>
  </si>
  <si>
    <t>P0AFD4</t>
  </si>
  <si>
    <t>P0AFD6</t>
  </si>
  <si>
    <t>P0AFE0</t>
  </si>
  <si>
    <t>P0AFE4</t>
  </si>
  <si>
    <t>P0AFE8</t>
  </si>
  <si>
    <t>P0AFF0</t>
  </si>
  <si>
    <t>P0AFF2</t>
  </si>
  <si>
    <t>P0AFF6</t>
  </si>
  <si>
    <t>P0AFG0</t>
  </si>
  <si>
    <t>P0AFG3</t>
  </si>
  <si>
    <t>P0AFG6</t>
  </si>
  <si>
    <t>P0AFG8</t>
  </si>
  <si>
    <t>P0AFH2</t>
  </si>
  <si>
    <t>P0AFH6</t>
  </si>
  <si>
    <t>P0AFH8</t>
  </si>
  <si>
    <t>P0AFI2</t>
  </si>
  <si>
    <t>P0AFI7</t>
  </si>
  <si>
    <t>P0AFI9</t>
  </si>
  <si>
    <t>P0AFJ1</t>
  </si>
  <si>
    <t>P0AFJ5</t>
  </si>
  <si>
    <t>P0AFJ7</t>
  </si>
  <si>
    <t>P0AFK0</t>
  </si>
  <si>
    <t>P0AFK2</t>
  </si>
  <si>
    <t>P0AFK9</t>
  </si>
  <si>
    <t>P0AFL3</t>
  </si>
  <si>
    <t>P0AFM4</t>
  </si>
  <si>
    <t>P0AFM6</t>
  </si>
  <si>
    <t>P0AFN2</t>
  </si>
  <si>
    <t>P0AFP6</t>
  </si>
  <si>
    <t>P0AFQ7</t>
  </si>
  <si>
    <t>P0AFR0</t>
  </si>
  <si>
    <t>P0AFR2</t>
  </si>
  <si>
    <t>P0AFR4</t>
  </si>
  <si>
    <t>P0AFS3</t>
  </si>
  <si>
    <t>P0AFS7</t>
  </si>
  <si>
    <t>P0AFT2</t>
  </si>
  <si>
    <t>P0AFU8</t>
  </si>
  <si>
    <t>P0AFW4</t>
  </si>
  <si>
    <t>P0AFW8</t>
  </si>
  <si>
    <t>P0AFX0</t>
  </si>
  <si>
    <t>P0AFX4</t>
  </si>
  <si>
    <t>P0AFX9</t>
  </si>
  <si>
    <t>P0AFY8</t>
  </si>
  <si>
    <t>P0AFZ1</t>
  </si>
  <si>
    <t>P0AFZ3</t>
  </si>
  <si>
    <t>P0AG00</t>
  </si>
  <si>
    <t>P0AG07</t>
  </si>
  <si>
    <t>P0AG18</t>
  </si>
  <si>
    <t>P0AG20</t>
  </si>
  <si>
    <t>P0AG27</t>
  </si>
  <si>
    <t>P0AG30</t>
  </si>
  <si>
    <t>P0AG40</t>
  </si>
  <si>
    <t>P0AG44</t>
  </si>
  <si>
    <t>P0AG48</t>
  </si>
  <si>
    <t>P0AG51</t>
  </si>
  <si>
    <t>P0AG55</t>
  </si>
  <si>
    <t>P0AG59</t>
  </si>
  <si>
    <t>P0AG63</t>
  </si>
  <si>
    <t>P0AG67</t>
  </si>
  <si>
    <t>P0AG78</t>
  </si>
  <si>
    <t>P0AG80</t>
  </si>
  <si>
    <t>P0AG82</t>
  </si>
  <si>
    <t>P0AG84</t>
  </si>
  <si>
    <t>P0AG86</t>
  </si>
  <si>
    <t>P0AG90</t>
  </si>
  <si>
    <t>P0AG96</t>
  </si>
  <si>
    <t>P0AG99</t>
  </si>
  <si>
    <t>P0AGA2</t>
  </si>
  <si>
    <t>P0AGB0</t>
  </si>
  <si>
    <t>P0AGB6</t>
  </si>
  <si>
    <t>P0AGC3</t>
  </si>
  <si>
    <t>P0AGD1</t>
  </si>
  <si>
    <t>P0AGD3</t>
  </si>
  <si>
    <t>P0AGD7</t>
  </si>
  <si>
    <t>P0AGE0</t>
  </si>
  <si>
    <t>P0AGE6</t>
  </si>
  <si>
    <t>P0AGE9</t>
  </si>
  <si>
    <t>P0AGF2</t>
  </si>
  <si>
    <t>P0AGG2</t>
  </si>
  <si>
    <t>P0AGG4</t>
  </si>
  <si>
    <t>P0AGG8</t>
  </si>
  <si>
    <t>P0AGI1</t>
  </si>
  <si>
    <t>P0AGI8</t>
  </si>
  <si>
    <t>P0AGJ2</t>
  </si>
  <si>
    <t>P0AGJ5</t>
  </si>
  <si>
    <t>P0AGJ7</t>
  </si>
  <si>
    <t>P0AGJ9</t>
  </si>
  <si>
    <t>P0AGK4</t>
  </si>
  <si>
    <t>P0AGL2</t>
  </si>
  <si>
    <t>P0AGL5</t>
  </si>
  <si>
    <t>P0AGL7</t>
  </si>
  <si>
    <t>P0C018</t>
  </si>
  <si>
    <t>P0C037</t>
  </si>
  <si>
    <t>P0C054</t>
  </si>
  <si>
    <t>P0C079</t>
  </si>
  <si>
    <t>P0C0L2</t>
  </si>
  <si>
    <t>P0C0L7</t>
  </si>
  <si>
    <t>P0C0S1</t>
  </si>
  <si>
    <t>P0C0U4</t>
  </si>
  <si>
    <t>P0C0V0</t>
  </si>
  <si>
    <t>P0C8J6</t>
  </si>
  <si>
    <t>P0C8J8</t>
  </si>
  <si>
    <t>P0CB39</t>
  </si>
  <si>
    <t>P0CE47</t>
  </si>
  <si>
    <t>P0DMC5</t>
  </si>
  <si>
    <t>P0DMC7</t>
  </si>
  <si>
    <t>P10100</t>
  </si>
  <si>
    <t>P10121</t>
  </si>
  <si>
    <t>P10346</t>
  </si>
  <si>
    <t>P10371</t>
  </si>
  <si>
    <t>P10378</t>
  </si>
  <si>
    <t>P10384</t>
  </si>
  <si>
    <t>P10408</t>
  </si>
  <si>
    <t>P10441</t>
  </si>
  <si>
    <t>P10908</t>
  </si>
  <si>
    <t>P11349</t>
  </si>
  <si>
    <t>P11447</t>
  </si>
  <si>
    <t>P11454</t>
  </si>
  <si>
    <t>P11557</t>
  </si>
  <si>
    <t>P11875</t>
  </si>
  <si>
    <t>P11880</t>
  </si>
  <si>
    <t>P12008</t>
  </si>
  <si>
    <t>P12281</t>
  </si>
  <si>
    <t>P12282</t>
  </si>
  <si>
    <t>P12295</t>
  </si>
  <si>
    <t>P12758</t>
  </si>
  <si>
    <t>P12994</t>
  </si>
  <si>
    <t>P13009</t>
  </si>
  <si>
    <t>P13016</t>
  </si>
  <si>
    <t>P13024</t>
  </si>
  <si>
    <t>P13029</t>
  </si>
  <si>
    <t>P13036</t>
  </si>
  <si>
    <t>P13482</t>
  </si>
  <si>
    <t>P13656</t>
  </si>
  <si>
    <t>P13857</t>
  </si>
  <si>
    <t>P14900</t>
  </si>
  <si>
    <t>P15028</t>
  </si>
  <si>
    <t>P15034</t>
  </si>
  <si>
    <t>P15038</t>
  </si>
  <si>
    <t>P15042</t>
  </si>
  <si>
    <t>P15067</t>
  </si>
  <si>
    <t>P15070</t>
  </si>
  <si>
    <t>P15078</t>
  </si>
  <si>
    <t>P15082</t>
  </si>
  <si>
    <t>P15254</t>
  </si>
  <si>
    <t>P15286</t>
  </si>
  <si>
    <t>P15288</t>
  </si>
  <si>
    <t>P15373</t>
  </si>
  <si>
    <t>P15639</t>
  </si>
  <si>
    <t>P15640</t>
  </si>
  <si>
    <t>P15770</t>
  </si>
  <si>
    <t>P15877</t>
  </si>
  <si>
    <t>P15977</t>
  </si>
  <si>
    <t>P16095</t>
  </si>
  <si>
    <t>P16456</t>
  </si>
  <si>
    <t>P16525</t>
  </si>
  <si>
    <t>P16659</t>
  </si>
  <si>
    <t>P16681</t>
  </si>
  <si>
    <t>P16700</t>
  </si>
  <si>
    <t>P16703</t>
  </si>
  <si>
    <t>P16926</t>
  </si>
  <si>
    <t>P17115</t>
  </si>
  <si>
    <t>P17117</t>
  </si>
  <si>
    <t>P17169</t>
  </si>
  <si>
    <t>P17443</t>
  </si>
  <si>
    <t>P17854</t>
  </si>
  <si>
    <t>P17952</t>
  </si>
  <si>
    <t>P17993</t>
  </si>
  <si>
    <t>P18196</t>
  </si>
  <si>
    <t>P18335</t>
  </si>
  <si>
    <t>P18775</t>
  </si>
  <si>
    <t>P18776</t>
  </si>
  <si>
    <t>P18843</t>
  </si>
  <si>
    <t>P18956</t>
  </si>
  <si>
    <t>P19318</t>
  </si>
  <si>
    <t>P19319</t>
  </si>
  <si>
    <t>P19624</t>
  </si>
  <si>
    <t>P19636</t>
  </si>
  <si>
    <t>P19926</t>
  </si>
  <si>
    <t>P19934</t>
  </si>
  <si>
    <t>P20083</t>
  </si>
  <si>
    <t>P20099</t>
  </si>
  <si>
    <t>P20605</t>
  </si>
  <si>
    <t>P20966</t>
  </si>
  <si>
    <t>P21151</t>
  </si>
  <si>
    <t>P21156</t>
  </si>
  <si>
    <t>P21165</t>
  </si>
  <si>
    <t>P21169</t>
  </si>
  <si>
    <t>P21170</t>
  </si>
  <si>
    <t>P21177</t>
  </si>
  <si>
    <t>P21179</t>
  </si>
  <si>
    <t>P21338</t>
  </si>
  <si>
    <t>P21362</t>
  </si>
  <si>
    <t>P21363</t>
  </si>
  <si>
    <t>P21367</t>
  </si>
  <si>
    <t>P21369</t>
  </si>
  <si>
    <t>P21499</t>
  </si>
  <si>
    <t>P21507</t>
  </si>
  <si>
    <t>P21513</t>
  </si>
  <si>
    <t>P21599</t>
  </si>
  <si>
    <t>P21645</t>
  </si>
  <si>
    <t>P21888</t>
  </si>
  <si>
    <t>P21889</t>
  </si>
  <si>
    <t>P22106</t>
  </si>
  <si>
    <t>P22186</t>
  </si>
  <si>
    <t>P22188</t>
  </si>
  <si>
    <t>P22255</t>
  </si>
  <si>
    <t>P22256</t>
  </si>
  <si>
    <t>P22259</t>
  </si>
  <si>
    <t>P22333</t>
  </si>
  <si>
    <t>P22524</t>
  </si>
  <si>
    <t>P22564</t>
  </si>
  <si>
    <t>P22939</t>
  </si>
  <si>
    <t>P23003</t>
  </si>
  <si>
    <t>P23173</t>
  </si>
  <si>
    <t>P23200</t>
  </si>
  <si>
    <t>P23256</t>
  </si>
  <si>
    <t>P23331</t>
  </si>
  <si>
    <t>P23367</t>
  </si>
  <si>
    <t>P23522</t>
  </si>
  <si>
    <t>P23538</t>
  </si>
  <si>
    <t>P23721</t>
  </si>
  <si>
    <t>P23827</t>
  </si>
  <si>
    <t>P23830</t>
  </si>
  <si>
    <t>P23836</t>
  </si>
  <si>
    <t>P23837</t>
  </si>
  <si>
    <t>P23839</t>
  </si>
  <si>
    <t>P23843</t>
  </si>
  <si>
    <t>P23847</t>
  </si>
  <si>
    <t>P23857</t>
  </si>
  <si>
    <t>P23865</t>
  </si>
  <si>
    <t>P23869</t>
  </si>
  <si>
    <t>P23871</t>
  </si>
  <si>
    <t>P23882</t>
  </si>
  <si>
    <t>P23893</t>
  </si>
  <si>
    <t>P23894</t>
  </si>
  <si>
    <t>P23908</t>
  </si>
  <si>
    <t>P23930</t>
  </si>
  <si>
    <t>P24171</t>
  </si>
  <si>
    <t>P24173</t>
  </si>
  <si>
    <t>P24178</t>
  </si>
  <si>
    <t>P24182</t>
  </si>
  <si>
    <t>P24183</t>
  </si>
  <si>
    <t>P24186</t>
  </si>
  <si>
    <t>P24202</t>
  </si>
  <si>
    <t>P24203</t>
  </si>
  <si>
    <t>P24205</t>
  </si>
  <si>
    <t>P24215</t>
  </si>
  <si>
    <t>P24232</t>
  </si>
  <si>
    <t>P24242</t>
  </si>
  <si>
    <t>P24251</t>
  </si>
  <si>
    <t>P24255</t>
  </si>
  <si>
    <t>P24555</t>
  </si>
  <si>
    <t>P25397</t>
  </si>
  <si>
    <t>P25437</t>
  </si>
  <si>
    <t>P25516</t>
  </si>
  <si>
    <t>P25519</t>
  </si>
  <si>
    <t>P25522</t>
  </si>
  <si>
    <t>P25524</t>
  </si>
  <si>
    <t>P25526</t>
  </si>
  <si>
    <t>P25539</t>
  </si>
  <si>
    <t>P25552</t>
  </si>
  <si>
    <t>P25553</t>
  </si>
  <si>
    <t>P25714</t>
  </si>
  <si>
    <t>P25745</t>
  </si>
  <si>
    <t>P25894</t>
  </si>
  <si>
    <t>P25906</t>
  </si>
  <si>
    <t>P26612</t>
  </si>
  <si>
    <t>P26616</t>
  </si>
  <si>
    <t>P26646</t>
  </si>
  <si>
    <t>P26647</t>
  </si>
  <si>
    <t>P26648</t>
  </si>
  <si>
    <t>P26649</t>
  </si>
  <si>
    <t>P27238</t>
  </si>
  <si>
    <t>P27247</t>
  </si>
  <si>
    <t>P27248</t>
  </si>
  <si>
    <t>P27250</t>
  </si>
  <si>
    <t>P27278</t>
  </si>
  <si>
    <t>P27298</t>
  </si>
  <si>
    <t>P27302</t>
  </si>
  <si>
    <t>P27303</t>
  </si>
  <si>
    <t>P27306</t>
  </si>
  <si>
    <t>P27431</t>
  </si>
  <si>
    <t>P27434</t>
  </si>
  <si>
    <t>P27550</t>
  </si>
  <si>
    <t>P27828</t>
  </si>
  <si>
    <t>P27829</t>
  </si>
  <si>
    <t>P27833</t>
  </si>
  <si>
    <t>P27848</t>
  </si>
  <si>
    <t>P27862</t>
  </si>
  <si>
    <t>P28248</t>
  </si>
  <si>
    <t>P28249</t>
  </si>
  <si>
    <t>P28304</t>
  </si>
  <si>
    <t>P28306</t>
  </si>
  <si>
    <t>P28634</t>
  </si>
  <si>
    <t>P28635</t>
  </si>
  <si>
    <t>P28861</t>
  </si>
  <si>
    <t>P28903</t>
  </si>
  <si>
    <t>P28904</t>
  </si>
  <si>
    <t>P28905</t>
  </si>
  <si>
    <t>P29012</t>
  </si>
  <si>
    <t>P29013</t>
  </si>
  <si>
    <t>P29018</t>
  </si>
  <si>
    <t>P29131</t>
  </si>
  <si>
    <t>P29208</t>
  </si>
  <si>
    <t>P29217</t>
  </si>
  <si>
    <t>P29680</t>
  </si>
  <si>
    <t>P29745</t>
  </si>
  <si>
    <t>P30011</t>
  </si>
  <si>
    <t>P30125</t>
  </si>
  <si>
    <t>P30126</t>
  </si>
  <si>
    <t>P30136</t>
  </si>
  <si>
    <t>P30177</t>
  </si>
  <si>
    <t>P30750</t>
  </si>
  <si>
    <t>P30850</t>
  </si>
  <si>
    <t>P30859</t>
  </si>
  <si>
    <t>P30860</t>
  </si>
  <si>
    <t>P30863</t>
  </si>
  <si>
    <t>P30864</t>
  </si>
  <si>
    <t>P30870</t>
  </si>
  <si>
    <t>P30871</t>
  </si>
  <si>
    <t>P30958</t>
  </si>
  <si>
    <t>P31057</t>
  </si>
  <si>
    <t>P31063</t>
  </si>
  <si>
    <t>P31068</t>
  </si>
  <si>
    <t>P31069</t>
  </si>
  <si>
    <t>P31119</t>
  </si>
  <si>
    <t>P31120</t>
  </si>
  <si>
    <t>P31130</t>
  </si>
  <si>
    <t>P31131</t>
  </si>
  <si>
    <t>P31133</t>
  </si>
  <si>
    <t>P31142</t>
  </si>
  <si>
    <t>P31224</t>
  </si>
  <si>
    <t>P31433</t>
  </si>
  <si>
    <t>P31455</t>
  </si>
  <si>
    <t>P31460</t>
  </si>
  <si>
    <t>P31473</t>
  </si>
  <si>
    <t>P31475</t>
  </si>
  <si>
    <t>P31550</t>
  </si>
  <si>
    <t>P31554</t>
  </si>
  <si>
    <t>P31658</t>
  </si>
  <si>
    <t>P31660</t>
  </si>
  <si>
    <t>P31663</t>
  </si>
  <si>
    <t>P31677</t>
  </si>
  <si>
    <t>P31802</t>
  </si>
  <si>
    <t>P31806</t>
  </si>
  <si>
    <t>P31808</t>
  </si>
  <si>
    <t>P31979</t>
  </si>
  <si>
    <t>P32099</t>
  </si>
  <si>
    <t>P32131</t>
  </si>
  <si>
    <t>P32132</t>
  </si>
  <si>
    <t>P32157</t>
  </si>
  <si>
    <t>P32160</t>
  </si>
  <si>
    <t>P32162</t>
  </si>
  <si>
    <t>P32176</t>
  </si>
  <si>
    <t>P32177</t>
  </si>
  <si>
    <t>P32662</t>
  </si>
  <si>
    <t>P32664</t>
  </si>
  <si>
    <t>P32669</t>
  </si>
  <si>
    <t>P32680</t>
  </si>
  <si>
    <t>P32684</t>
  </si>
  <si>
    <t>P32695</t>
  </si>
  <si>
    <t>P32705</t>
  </si>
  <si>
    <t>P32715</t>
  </si>
  <si>
    <t>P33030</t>
  </si>
  <si>
    <t>P33136</t>
  </si>
  <si>
    <t>P33195</t>
  </si>
  <si>
    <t>P33218</t>
  </si>
  <si>
    <t>P33219</t>
  </si>
  <si>
    <t>P33221</t>
  </si>
  <si>
    <t>P33224</t>
  </si>
  <si>
    <t>P33362</t>
  </si>
  <si>
    <t>P33363</t>
  </si>
  <si>
    <t>P33368</t>
  </si>
  <si>
    <t>P33570</t>
  </si>
  <si>
    <t>P33590</t>
  </si>
  <si>
    <t>P33596</t>
  </si>
  <si>
    <t>P33599</t>
  </si>
  <si>
    <t>P33602</t>
  </si>
  <si>
    <t>P33607</t>
  </si>
  <si>
    <t>P33643</t>
  </si>
  <si>
    <t>P33644</t>
  </si>
  <si>
    <t>P33913</t>
  </si>
  <si>
    <t>P33916</t>
  </si>
  <si>
    <t>P33937</t>
  </si>
  <si>
    <t>P34209</t>
  </si>
  <si>
    <t>P35340</t>
  </si>
  <si>
    <t>P36649</t>
  </si>
  <si>
    <t>P36655</t>
  </si>
  <si>
    <t>P36659</t>
  </si>
  <si>
    <t>P36672</t>
  </si>
  <si>
    <t>P36680</t>
  </si>
  <si>
    <t>P36683</t>
  </si>
  <si>
    <t>P36767</t>
  </si>
  <si>
    <t>P36771</t>
  </si>
  <si>
    <t>P36938</t>
  </si>
  <si>
    <t>P36979</t>
  </si>
  <si>
    <t>P37051</t>
  </si>
  <si>
    <t>P37095</t>
  </si>
  <si>
    <t>P37128</t>
  </si>
  <si>
    <t>P37147</t>
  </si>
  <si>
    <t>P37182</t>
  </si>
  <si>
    <t>P37188</t>
  </si>
  <si>
    <t>P37194</t>
  </si>
  <si>
    <t>P37313</t>
  </si>
  <si>
    <t>P37325</t>
  </si>
  <si>
    <t>P37329</t>
  </si>
  <si>
    <t>P37330</t>
  </si>
  <si>
    <t>P37339</t>
  </si>
  <si>
    <t>P37342</t>
  </si>
  <si>
    <t>P37349</t>
  </si>
  <si>
    <t>P37351</t>
  </si>
  <si>
    <t>P37387</t>
  </si>
  <si>
    <t>P37440</t>
  </si>
  <si>
    <t>P37595</t>
  </si>
  <si>
    <t>P37613</t>
  </si>
  <si>
    <t>P37617</t>
  </si>
  <si>
    <t>P37626</t>
  </si>
  <si>
    <t>P37631</t>
  </si>
  <si>
    <t>P37634</t>
  </si>
  <si>
    <t>P37636</t>
  </si>
  <si>
    <t>P37637</t>
  </si>
  <si>
    <t>P37642</t>
  </si>
  <si>
    <t>P37645</t>
  </si>
  <si>
    <t>P37647</t>
  </si>
  <si>
    <t>P37648</t>
  </si>
  <si>
    <t>P37649</t>
  </si>
  <si>
    <t>P37665</t>
  </si>
  <si>
    <t>P37666</t>
  </si>
  <si>
    <t>P37685</t>
  </si>
  <si>
    <t>P37689</t>
  </si>
  <si>
    <t>P37690</t>
  </si>
  <si>
    <t>P37692</t>
  </si>
  <si>
    <t>P37744</t>
  </si>
  <si>
    <t>P37747</t>
  </si>
  <si>
    <t>P37759</t>
  </si>
  <si>
    <t>P37760</t>
  </si>
  <si>
    <t>P37765</t>
  </si>
  <si>
    <t>P37767</t>
  </si>
  <si>
    <t>P37773</t>
  </si>
  <si>
    <t>P37902</t>
  </si>
  <si>
    <t>P37903</t>
  </si>
  <si>
    <t>P38038</t>
  </si>
  <si>
    <t>P38051</t>
  </si>
  <si>
    <t>P38489</t>
  </si>
  <si>
    <t>P39099</t>
  </si>
  <si>
    <t>P39160</t>
  </si>
  <si>
    <t>P39161</t>
  </si>
  <si>
    <t>P39172</t>
  </si>
  <si>
    <t>P39173</t>
  </si>
  <si>
    <t>P39176</t>
  </si>
  <si>
    <t>P39177</t>
  </si>
  <si>
    <t>P39187</t>
  </si>
  <si>
    <t>P39199</t>
  </si>
  <si>
    <t>P39265</t>
  </si>
  <si>
    <t>P39274</t>
  </si>
  <si>
    <t>P39285</t>
  </si>
  <si>
    <t>P39286</t>
  </si>
  <si>
    <t>P39297</t>
  </si>
  <si>
    <t>P39298</t>
  </si>
  <si>
    <t>P39310</t>
  </si>
  <si>
    <t>P39315</t>
  </si>
  <si>
    <t>P39321</t>
  </si>
  <si>
    <t>P39325</t>
  </si>
  <si>
    <t>P39332</t>
  </si>
  <si>
    <t>P39337</t>
  </si>
  <si>
    <t>P39342</t>
  </si>
  <si>
    <t>P39356</t>
  </si>
  <si>
    <t>P39358</t>
  </si>
  <si>
    <t>P39363</t>
  </si>
  <si>
    <t>P39366</t>
  </si>
  <si>
    <t>P39371</t>
  </si>
  <si>
    <t>P39377</t>
  </si>
  <si>
    <t>P39385</t>
  </si>
  <si>
    <t>P39396</t>
  </si>
  <si>
    <t>P39406</t>
  </si>
  <si>
    <t>P39407</t>
  </si>
  <si>
    <t>P39408</t>
  </si>
  <si>
    <t>P39411</t>
  </si>
  <si>
    <t>P39451</t>
  </si>
  <si>
    <t>P39829</t>
  </si>
  <si>
    <t>P39830</t>
  </si>
  <si>
    <t>P39831</t>
  </si>
  <si>
    <t>P39838</t>
  </si>
  <si>
    <t>P40120</t>
  </si>
  <si>
    <t>P40191</t>
  </si>
  <si>
    <t>P40710</t>
  </si>
  <si>
    <t>P40874</t>
  </si>
  <si>
    <t>P41407</t>
  </si>
  <si>
    <t>P41409</t>
  </si>
  <si>
    <t>P42592</t>
  </si>
  <si>
    <t>P42593</t>
  </si>
  <si>
    <t>P42599</t>
  </si>
  <si>
    <t>P42604</t>
  </si>
  <si>
    <t>P42616</t>
  </si>
  <si>
    <t>P42620</t>
  </si>
  <si>
    <t>P42632</t>
  </si>
  <si>
    <t>P42641</t>
  </si>
  <si>
    <t>P42904</t>
  </si>
  <si>
    <t>P43341</t>
  </si>
  <si>
    <t>P43671</t>
  </si>
  <si>
    <t>P43672</t>
  </si>
  <si>
    <t>P45395</t>
  </si>
  <si>
    <t>P45424</t>
  </si>
  <si>
    <t>P45425</t>
  </si>
  <si>
    <t>P45464</t>
  </si>
  <si>
    <t>P45470</t>
  </si>
  <si>
    <t>P45523</t>
  </si>
  <si>
    <t>P45530</t>
  </si>
  <si>
    <t>P45568</t>
  </si>
  <si>
    <t>P45577</t>
  </si>
  <si>
    <t>P45578</t>
  </si>
  <si>
    <t>P45748</t>
  </si>
  <si>
    <t>P45771</t>
  </si>
  <si>
    <t>P45799</t>
  </si>
  <si>
    <t>P45800</t>
  </si>
  <si>
    <t>P45955</t>
  </si>
  <si>
    <t>P46122</t>
  </si>
  <si>
    <t>P46125</t>
  </si>
  <si>
    <t>P46130</t>
  </si>
  <si>
    <t>P46474</t>
  </si>
  <si>
    <t>P46837</t>
  </si>
  <si>
    <t>P46849</t>
  </si>
  <si>
    <t>P46852</t>
  </si>
  <si>
    <t>P46853</t>
  </si>
  <si>
    <t>P46923</t>
  </si>
  <si>
    <t>P50466</t>
  </si>
  <si>
    <t>P51024</t>
  </si>
  <si>
    <t>P51981</t>
  </si>
  <si>
    <t>P52007</t>
  </si>
  <si>
    <t>P52061</t>
  </si>
  <si>
    <t>P52073</t>
  </si>
  <si>
    <t>P52096</t>
  </si>
  <si>
    <t>P52108</t>
  </si>
  <si>
    <t>P52119</t>
  </si>
  <si>
    <t>P52612</t>
  </si>
  <si>
    <t>P52643</t>
  </si>
  <si>
    <t>P52647</t>
  </si>
  <si>
    <t>P52697</t>
  </si>
  <si>
    <t>P55734</t>
  </si>
  <si>
    <t>P56262</t>
  </si>
  <si>
    <t>P56580</t>
  </si>
  <si>
    <t>P60240</t>
  </si>
  <si>
    <t>P60293</t>
  </si>
  <si>
    <t>P60340</t>
  </si>
  <si>
    <t>P60390</t>
  </si>
  <si>
    <t>P60422</t>
  </si>
  <si>
    <t>P60438</t>
  </si>
  <si>
    <t>P60472</t>
  </si>
  <si>
    <t>P60546</t>
  </si>
  <si>
    <t>P60560</t>
  </si>
  <si>
    <t>P60566</t>
  </si>
  <si>
    <t>P60595</t>
  </si>
  <si>
    <t>P60624</t>
  </si>
  <si>
    <t>P60651</t>
  </si>
  <si>
    <t>P60664</t>
  </si>
  <si>
    <t>P60723</t>
  </si>
  <si>
    <t>P60752</t>
  </si>
  <si>
    <t>P60757</t>
  </si>
  <si>
    <t>P60785</t>
  </si>
  <si>
    <t>P60872</t>
  </si>
  <si>
    <t>P60906</t>
  </si>
  <si>
    <t>P61175</t>
  </si>
  <si>
    <t>P61316</t>
  </si>
  <si>
    <t>P61320</t>
  </si>
  <si>
    <t>P61517</t>
  </si>
  <si>
    <t>P61714</t>
  </si>
  <si>
    <t>P61889</t>
  </si>
  <si>
    <t>P61949</t>
  </si>
  <si>
    <t>P62399</t>
  </si>
  <si>
    <t>P62517</t>
  </si>
  <si>
    <t>P62615</t>
  </si>
  <si>
    <t>P62617</t>
  </si>
  <si>
    <t>P62620</t>
  </si>
  <si>
    <t>P62623</t>
  </si>
  <si>
    <t>P62672</t>
  </si>
  <si>
    <t>P62707</t>
  </si>
  <si>
    <t>P62768</t>
  </si>
  <si>
    <t>P63020</t>
  </si>
  <si>
    <t>P63177</t>
  </si>
  <si>
    <t>P63204</t>
  </si>
  <si>
    <t>P63224</t>
  </si>
  <si>
    <t>P63229</t>
  </si>
  <si>
    <t>P63235</t>
  </si>
  <si>
    <t>P63284</t>
  </si>
  <si>
    <t>P63340</t>
  </si>
  <si>
    <t>P63386</t>
  </si>
  <si>
    <t>P63389</t>
  </si>
  <si>
    <t>P63883</t>
  </si>
  <si>
    <t>P64429</t>
  </si>
  <si>
    <t>P64451</t>
  </si>
  <si>
    <t>P64455</t>
  </si>
  <si>
    <t>P64461</t>
  </si>
  <si>
    <t>P64463</t>
  </si>
  <si>
    <t>P64467</t>
  </si>
  <si>
    <t>P64479</t>
  </si>
  <si>
    <t>P64483</t>
  </si>
  <si>
    <t>P64503</t>
  </si>
  <si>
    <t>P64506</t>
  </si>
  <si>
    <t>P64515</t>
  </si>
  <si>
    <t>P64519</t>
  </si>
  <si>
    <t>P64530</t>
  </si>
  <si>
    <t>P64534</t>
  </si>
  <si>
    <t>P64554</t>
  </si>
  <si>
    <t>P64564</t>
  </si>
  <si>
    <t>P64581</t>
  </si>
  <si>
    <t>P64585</t>
  </si>
  <si>
    <t>P64588</t>
  </si>
  <si>
    <t>P64594</t>
  </si>
  <si>
    <t>P64596</t>
  </si>
  <si>
    <t>P64602</t>
  </si>
  <si>
    <t>P64604</t>
  </si>
  <si>
    <t>P64606</t>
  </si>
  <si>
    <t>P64616</t>
  </si>
  <si>
    <t>P64624</t>
  </si>
  <si>
    <t>P65292</t>
  </si>
  <si>
    <t>P65367</t>
  </si>
  <si>
    <t>P65556</t>
  </si>
  <si>
    <t>P65807</t>
  </si>
  <si>
    <t>P65870</t>
  </si>
  <si>
    <t>P66899</t>
  </si>
  <si>
    <t>P66948</t>
  </si>
  <si>
    <t>P67080</t>
  </si>
  <si>
    <t>P67095</t>
  </si>
  <si>
    <t>P67244</t>
  </si>
  <si>
    <t>P67603</t>
  </si>
  <si>
    <t>P67660</t>
  </si>
  <si>
    <t>P67826</t>
  </si>
  <si>
    <t>P67910</t>
  </si>
  <si>
    <t>P68066</t>
  </si>
  <si>
    <t>P68187</t>
  </si>
  <si>
    <t>P68191</t>
  </si>
  <si>
    <t>P68206</t>
  </si>
  <si>
    <t>P68679</t>
  </si>
  <si>
    <t>P68688</t>
  </si>
  <si>
    <t>P68699</t>
  </si>
  <si>
    <t>P68767</t>
  </si>
  <si>
    <t>P68919</t>
  </si>
  <si>
    <t>P69054</t>
  </si>
  <si>
    <t>P69222</t>
  </si>
  <si>
    <t>P69228</t>
  </si>
  <si>
    <t>P69346</t>
  </si>
  <si>
    <t>P69411</t>
  </si>
  <si>
    <t>P69425</t>
  </si>
  <si>
    <t>P69428</t>
  </si>
  <si>
    <t>P69441</t>
  </si>
  <si>
    <t>P69451</t>
  </si>
  <si>
    <t>P69503</t>
  </si>
  <si>
    <t>P69506</t>
  </si>
  <si>
    <t>P69739</t>
  </si>
  <si>
    <t>P69741</t>
  </si>
  <si>
    <t>P69776</t>
  </si>
  <si>
    <t>P69783</t>
  </si>
  <si>
    <t>P69786</t>
  </si>
  <si>
    <t>P69795</t>
  </si>
  <si>
    <t>P69797</t>
  </si>
  <si>
    <t>P69801</t>
  </si>
  <si>
    <t>P69805</t>
  </si>
  <si>
    <t>P69811</t>
  </si>
  <si>
    <t>P69820</t>
  </si>
  <si>
    <t>P69822</t>
  </si>
  <si>
    <t>P69828</t>
  </si>
  <si>
    <t>P69829</t>
  </si>
  <si>
    <t>P69831</t>
  </si>
  <si>
    <t>P69853</t>
  </si>
  <si>
    <t>P69874</t>
  </si>
  <si>
    <t>P69908</t>
  </si>
  <si>
    <t>P69910</t>
  </si>
  <si>
    <t>P69913</t>
  </si>
  <si>
    <t>P69922</t>
  </si>
  <si>
    <t>P69924</t>
  </si>
  <si>
    <t>P75682</t>
  </si>
  <si>
    <t>P75691</t>
  </si>
  <si>
    <t>P75694</t>
  </si>
  <si>
    <t>P75713</t>
  </si>
  <si>
    <t>P75728</t>
  </si>
  <si>
    <t>P75736</t>
  </si>
  <si>
    <t>P75745</t>
  </si>
  <si>
    <t>P75767</t>
  </si>
  <si>
    <t>P75777</t>
  </si>
  <si>
    <t>P75782</t>
  </si>
  <si>
    <t>P75792</t>
  </si>
  <si>
    <t>P75797</t>
  </si>
  <si>
    <t>P75818</t>
  </si>
  <si>
    <t>P75823</t>
  </si>
  <si>
    <t>P75863</t>
  </si>
  <si>
    <t>P75864</t>
  </si>
  <si>
    <t>P75874</t>
  </si>
  <si>
    <t>P75876</t>
  </si>
  <si>
    <t>P75913</t>
  </si>
  <si>
    <t>P75914</t>
  </si>
  <si>
    <t>P75915</t>
  </si>
  <si>
    <t>P75931</t>
  </si>
  <si>
    <t>P75937</t>
  </si>
  <si>
    <t>P75952</t>
  </si>
  <si>
    <t>P75959</t>
  </si>
  <si>
    <t>P75960</t>
  </si>
  <si>
    <t>P75966</t>
  </si>
  <si>
    <t>P75974</t>
  </si>
  <si>
    <t>P76001</t>
  </si>
  <si>
    <t>P76002</t>
  </si>
  <si>
    <t>P76004</t>
  </si>
  <si>
    <t>P76008</t>
  </si>
  <si>
    <t>P76014</t>
  </si>
  <si>
    <t>P76015</t>
  </si>
  <si>
    <t>P76027</t>
  </si>
  <si>
    <t>P76046</t>
  </si>
  <si>
    <t>P76049</t>
  </si>
  <si>
    <t>P76055</t>
  </si>
  <si>
    <t>P76062</t>
  </si>
  <si>
    <t>P76086</t>
  </si>
  <si>
    <t>P76097</t>
  </si>
  <si>
    <t>P76100</t>
  </si>
  <si>
    <t>P76108</t>
  </si>
  <si>
    <t>P76113</t>
  </si>
  <si>
    <t>P76116</t>
  </si>
  <si>
    <t>P76121</t>
  </si>
  <si>
    <t>P76128</t>
  </si>
  <si>
    <t>P76142</t>
  </si>
  <si>
    <t>P76143</t>
  </si>
  <si>
    <t>P76145</t>
  </si>
  <si>
    <t>P76149</t>
  </si>
  <si>
    <t>P76172</t>
  </si>
  <si>
    <t>P76173</t>
  </si>
  <si>
    <t>P76176</t>
  </si>
  <si>
    <t>P76177</t>
  </si>
  <si>
    <t>P76187</t>
  </si>
  <si>
    <t>P76192</t>
  </si>
  <si>
    <t>P76193</t>
  </si>
  <si>
    <t>P76194</t>
  </si>
  <si>
    <t>P76206</t>
  </si>
  <si>
    <t>P76216</t>
  </si>
  <si>
    <t>P76217</t>
  </si>
  <si>
    <t>P76220</t>
  </si>
  <si>
    <t>P76223</t>
  </si>
  <si>
    <t>P76227</t>
  </si>
  <si>
    <t>P76235</t>
  </si>
  <si>
    <t>P76243</t>
  </si>
  <si>
    <t>P76251</t>
  </si>
  <si>
    <t>P76256</t>
  </si>
  <si>
    <t>P76268</t>
  </si>
  <si>
    <t>P76270</t>
  </si>
  <si>
    <t>P76272</t>
  </si>
  <si>
    <t>P76290</t>
  </si>
  <si>
    <t>P76298</t>
  </si>
  <si>
    <t>P76316</t>
  </si>
  <si>
    <t>P76318</t>
  </si>
  <si>
    <t>P76329</t>
  </si>
  <si>
    <t>P76342</t>
  </si>
  <si>
    <t>P76346</t>
  </si>
  <si>
    <t>P76372</t>
  </si>
  <si>
    <t>P76397</t>
  </si>
  <si>
    <t>P76402</t>
  </si>
  <si>
    <t>P76403</t>
  </si>
  <si>
    <t>P76407</t>
  </si>
  <si>
    <t>P76440</t>
  </si>
  <si>
    <t>P76445</t>
  </si>
  <si>
    <t>P76502</t>
  </si>
  <si>
    <t>P76506</t>
  </si>
  <si>
    <t>P76535</t>
  </si>
  <si>
    <t>P76536</t>
  </si>
  <si>
    <t>P76537</t>
  </si>
  <si>
    <t>P76541</t>
  </si>
  <si>
    <t>P76550</t>
  </si>
  <si>
    <t>P76555</t>
  </si>
  <si>
    <t>P76558</t>
  </si>
  <si>
    <t>P76561</t>
  </si>
  <si>
    <t>P76569</t>
  </si>
  <si>
    <t>P76575</t>
  </si>
  <si>
    <t>P76576</t>
  </si>
  <si>
    <t>P76578</t>
  </si>
  <si>
    <t>P76594</t>
  </si>
  <si>
    <t>P76621</t>
  </si>
  <si>
    <t>P76658</t>
  </si>
  <si>
    <t>P77148</t>
  </si>
  <si>
    <t>P77162</t>
  </si>
  <si>
    <t>P77173</t>
  </si>
  <si>
    <t>P77181</t>
  </si>
  <si>
    <t>P77202</t>
  </si>
  <si>
    <t>P77212</t>
  </si>
  <si>
    <t>P77213</t>
  </si>
  <si>
    <t>P77215</t>
  </si>
  <si>
    <t>P77243</t>
  </si>
  <si>
    <t>P77247</t>
  </si>
  <si>
    <t>P77252</t>
  </si>
  <si>
    <t>P77258</t>
  </si>
  <si>
    <t>P77269</t>
  </si>
  <si>
    <t>P77285</t>
  </si>
  <si>
    <t>P77318</t>
  </si>
  <si>
    <t>P77330</t>
  </si>
  <si>
    <t>P77338</t>
  </si>
  <si>
    <t>P77348</t>
  </si>
  <si>
    <t>P77368</t>
  </si>
  <si>
    <t>P77376</t>
  </si>
  <si>
    <t>P77395</t>
  </si>
  <si>
    <t>P77433</t>
  </si>
  <si>
    <t>P77434</t>
  </si>
  <si>
    <t>P77444</t>
  </si>
  <si>
    <t>P77454</t>
  </si>
  <si>
    <t>P77488</t>
  </si>
  <si>
    <t>P77499</t>
  </si>
  <si>
    <t>P77522</t>
  </si>
  <si>
    <t>P77526</t>
  </si>
  <si>
    <t>P77529</t>
  </si>
  <si>
    <t>P77541</t>
  </si>
  <si>
    <t>P77544</t>
  </si>
  <si>
    <t>P77552</t>
  </si>
  <si>
    <t>P77554</t>
  </si>
  <si>
    <t>P77562</t>
  </si>
  <si>
    <t>P77581</t>
  </si>
  <si>
    <t>P77611</t>
  </si>
  <si>
    <t>P77625</t>
  </si>
  <si>
    <t>P77671</t>
  </si>
  <si>
    <t>P77674</t>
  </si>
  <si>
    <t>P77689</t>
  </si>
  <si>
    <t>P77695</t>
  </si>
  <si>
    <t>P77712</t>
  </si>
  <si>
    <t>P77713</t>
  </si>
  <si>
    <t>P77718</t>
  </si>
  <si>
    <t>P77721</t>
  </si>
  <si>
    <t>P77735</t>
  </si>
  <si>
    <t>P77737</t>
  </si>
  <si>
    <t>P77739</t>
  </si>
  <si>
    <t>P77748</t>
  </si>
  <si>
    <t>P77754</t>
  </si>
  <si>
    <t>P77756</t>
  </si>
  <si>
    <t>P77774</t>
  </si>
  <si>
    <t>P77775</t>
  </si>
  <si>
    <t>P77783</t>
  </si>
  <si>
    <t>P77791</t>
  </si>
  <si>
    <t>P77804</t>
  </si>
  <si>
    <t>P77808</t>
  </si>
  <si>
    <t>P78055</t>
  </si>
  <si>
    <t>P78067</t>
  </si>
  <si>
    <t>P80668</t>
  </si>
  <si>
    <t>Q2M7R5</t>
  </si>
  <si>
    <t>Q2MB16</t>
  </si>
  <si>
    <t>Q46799</t>
  </si>
  <si>
    <t>Q46801</t>
  </si>
  <si>
    <t>Q46803</t>
  </si>
  <si>
    <t>Q46807</t>
  </si>
  <si>
    <t>Q46811</t>
  </si>
  <si>
    <t>Q46814</t>
  </si>
  <si>
    <t>Q46822</t>
  </si>
  <si>
    <t>Q46829</t>
  </si>
  <si>
    <t>Q46845</t>
  </si>
  <si>
    <t>Q46851</t>
  </si>
  <si>
    <t>Q46856</t>
  </si>
  <si>
    <t>Q46857</t>
  </si>
  <si>
    <t>Q46863</t>
  </si>
  <si>
    <t>Q46864</t>
  </si>
  <si>
    <t>Q46868</t>
  </si>
  <si>
    <t>Q46871</t>
  </si>
  <si>
    <t>Q46893</t>
  </si>
  <si>
    <t>Q46920</t>
  </si>
  <si>
    <t>Q46938</t>
  </si>
  <si>
    <t>Q46948</t>
  </si>
  <si>
    <t>Q47146</t>
  </si>
  <si>
    <t>Q47147</t>
  </si>
  <si>
    <t>Q47150</t>
  </si>
  <si>
    <t>Q47157</t>
  </si>
  <si>
    <t>Q47622</t>
  </si>
  <si>
    <t>Q47679</t>
  </si>
  <si>
    <t>Q47690</t>
  </si>
  <si>
    <t>Q57261</t>
  </si>
  <si>
    <t>Q59385</t>
  </si>
  <si>
    <t>Q93K97</t>
  </si>
  <si>
    <t>Q9LBU0</t>
  </si>
  <si>
    <t>Q9LBU5</t>
  </si>
  <si>
    <t>Q9LBV1</t>
  </si>
  <si>
    <t>lacZ</t>
  </si>
  <si>
    <t>gnd</t>
  </si>
  <si>
    <t>frdA</t>
  </si>
  <si>
    <t>gdhA</t>
  </si>
  <si>
    <t>ndh</t>
  </si>
  <si>
    <t>sodA</t>
  </si>
  <si>
    <t>nrdA</t>
  </si>
  <si>
    <t>malP</t>
  </si>
  <si>
    <t>aspC</t>
  </si>
  <si>
    <t>thrB</t>
  </si>
  <si>
    <t>mtlA</t>
  </si>
  <si>
    <t>thrA</t>
  </si>
  <si>
    <t>rpoD</t>
  </si>
  <si>
    <t>polA</t>
  </si>
  <si>
    <t>phoA</t>
  </si>
  <si>
    <t>lepB</t>
  </si>
  <si>
    <t>ansB</t>
  </si>
  <si>
    <t>ampC</t>
  </si>
  <si>
    <t>ppc</t>
  </si>
  <si>
    <t>trpE</t>
  </si>
  <si>
    <t>trpGD</t>
  </si>
  <si>
    <t>trpC</t>
  </si>
  <si>
    <t>dsdA</t>
  </si>
  <si>
    <t>thrC</t>
  </si>
  <si>
    <t>metB</t>
  </si>
  <si>
    <t>manA</t>
  </si>
  <si>
    <t>trpS</t>
  </si>
  <si>
    <t>ileS</t>
  </si>
  <si>
    <t>alaS</t>
  </si>
  <si>
    <t>metG</t>
  </si>
  <si>
    <t>glyQ</t>
  </si>
  <si>
    <t>glyS</t>
  </si>
  <si>
    <t>glnS</t>
  </si>
  <si>
    <t>rpsF</t>
  </si>
  <si>
    <t>rpsG</t>
  </si>
  <si>
    <t>rplO</t>
  </si>
  <si>
    <t>malF</t>
  </si>
  <si>
    <t>mrcA</t>
  </si>
  <si>
    <t>mrcB</t>
  </si>
  <si>
    <t>araF</t>
  </si>
  <si>
    <t>rbsB</t>
  </si>
  <si>
    <t>tolC</t>
  </si>
  <si>
    <t>ompF</t>
  </si>
  <si>
    <t>tsr</t>
  </si>
  <si>
    <t>lamB</t>
  </si>
  <si>
    <t>ygeA</t>
  </si>
  <si>
    <t>mioC</t>
  </si>
  <si>
    <t>malM</t>
  </si>
  <si>
    <t>dapB</t>
  </si>
  <si>
    <t>guaA</t>
  </si>
  <si>
    <t>frsA</t>
  </si>
  <si>
    <t>gshB</t>
  </si>
  <si>
    <t>tyrB</t>
  </si>
  <si>
    <t>gltX</t>
  </si>
  <si>
    <t>livK</t>
  </si>
  <si>
    <t>pepN</t>
  </si>
  <si>
    <t>nlpA</t>
  </si>
  <si>
    <t>fliC</t>
  </si>
  <si>
    <t>kdsB</t>
  </si>
  <si>
    <t>rbsD</t>
  </si>
  <si>
    <t>rbsA</t>
  </si>
  <si>
    <t>pyrC</t>
  </si>
  <si>
    <t>pabB</t>
  </si>
  <si>
    <t>fumC</t>
  </si>
  <si>
    <t>pnp</t>
  </si>
  <si>
    <t>aroD</t>
  </si>
  <si>
    <t>ptrA</t>
  </si>
  <si>
    <t>pdxB</t>
  </si>
  <si>
    <t>apaH</t>
  </si>
  <si>
    <t>trg</t>
  </si>
  <si>
    <t>srlD</t>
  </si>
  <si>
    <t>ilvD</t>
  </si>
  <si>
    <t>ilvC</t>
  </si>
  <si>
    <t>uidA</t>
  </si>
  <si>
    <t>dld</t>
  </si>
  <si>
    <t>cdh</t>
  </si>
  <si>
    <t>btuE</t>
  </si>
  <si>
    <t>topA</t>
  </si>
  <si>
    <t>era</t>
  </si>
  <si>
    <t>dnaX</t>
  </si>
  <si>
    <t>gor</t>
  </si>
  <si>
    <t>melA</t>
  </si>
  <si>
    <t>ebgR</t>
  </si>
  <si>
    <t>aceF</t>
  </si>
  <si>
    <t>cca</t>
  </si>
  <si>
    <t>dicA</t>
  </si>
  <si>
    <t>dut</t>
  </si>
  <si>
    <t>fliM</t>
  </si>
  <si>
    <t>hemC</t>
  </si>
  <si>
    <t>hisC</t>
  </si>
  <si>
    <t>hisB</t>
  </si>
  <si>
    <t>hisD</t>
  </si>
  <si>
    <t>hisI</t>
  </si>
  <si>
    <t>rsmA</t>
  </si>
  <si>
    <t>ompC</t>
  </si>
  <si>
    <t>pfkB</t>
  </si>
  <si>
    <t>pntA</t>
  </si>
  <si>
    <t>poxB</t>
  </si>
  <si>
    <t>proA</t>
  </si>
  <si>
    <t>prfB</t>
  </si>
  <si>
    <t>sdhB</t>
  </si>
  <si>
    <t>tar</t>
  </si>
  <si>
    <t>tap</t>
  </si>
  <si>
    <t>tyrA</t>
  </si>
  <si>
    <t>ushA</t>
  </si>
  <si>
    <t>appA</t>
  </si>
  <si>
    <t>putP</t>
  </si>
  <si>
    <t>valS</t>
  </si>
  <si>
    <t>cheB</t>
  </si>
  <si>
    <t>cheA</t>
  </si>
  <si>
    <t>pheT</t>
  </si>
  <si>
    <t>tyrR</t>
  </si>
  <si>
    <t>aroB</t>
  </si>
  <si>
    <t>deoA</t>
  </si>
  <si>
    <t>glgB</t>
  </si>
  <si>
    <t>leuS</t>
  </si>
  <si>
    <t>fhuD</t>
  </si>
  <si>
    <t>ddlB</t>
  </si>
  <si>
    <t>tdh</t>
  </si>
  <si>
    <t>purM</t>
  </si>
  <si>
    <t>purN</t>
  </si>
  <si>
    <t>folC</t>
  </si>
  <si>
    <t>icd</t>
  </si>
  <si>
    <t>araA</t>
  </si>
  <si>
    <t>pyrF</t>
  </si>
  <si>
    <t>pheS</t>
  </si>
  <si>
    <t>cpdB</t>
  </si>
  <si>
    <t>mutT</t>
  </si>
  <si>
    <t>murB</t>
  </si>
  <si>
    <t>usg</t>
  </si>
  <si>
    <t>sppA</t>
  </si>
  <si>
    <t>dacC</t>
  </si>
  <si>
    <t>cvpA</t>
  </si>
  <si>
    <t>dnaJ</t>
  </si>
  <si>
    <t>ptsI</t>
  </si>
  <si>
    <t>hsdR</t>
  </si>
  <si>
    <t>hsdM</t>
  </si>
  <si>
    <t>aceB</t>
  </si>
  <si>
    <t>purK</t>
  </si>
  <si>
    <t>xthA</t>
  </si>
  <si>
    <t>hemX</t>
  </si>
  <si>
    <t>galE</t>
  </si>
  <si>
    <t>galT</t>
  </si>
  <si>
    <t>narG</t>
  </si>
  <si>
    <t>tfaE</t>
  </si>
  <si>
    <t>rnd</t>
  </si>
  <si>
    <t>speE</t>
  </si>
  <si>
    <t>ompT</t>
  </si>
  <si>
    <t>nagE</t>
  </si>
  <si>
    <t>grpE</t>
  </si>
  <si>
    <t>pflB</t>
  </si>
  <si>
    <t>glpG</t>
  </si>
  <si>
    <t>glpQ</t>
  </si>
  <si>
    <t>mtlD</t>
  </si>
  <si>
    <t>putA</t>
  </si>
  <si>
    <t>dedD</t>
  </si>
  <si>
    <t>argT</t>
  </si>
  <si>
    <t>gltB</t>
  </si>
  <si>
    <t>gltD</t>
  </si>
  <si>
    <t>modC</t>
  </si>
  <si>
    <t>uvrA</t>
  </si>
  <si>
    <t>ackA</t>
  </si>
  <si>
    <t>acpP</t>
  </si>
  <si>
    <t>alr</t>
  </si>
  <si>
    <t>iscS</t>
  </si>
  <si>
    <t>nfo</t>
  </si>
  <si>
    <t>argR</t>
  </si>
  <si>
    <t>aroA</t>
  </si>
  <si>
    <t>aroK</t>
  </si>
  <si>
    <t>aroL</t>
  </si>
  <si>
    <t>argG</t>
  </si>
  <si>
    <t>bioD2</t>
  </si>
  <si>
    <t>carA</t>
  </si>
  <si>
    <t>glpK</t>
  </si>
  <si>
    <t>groL</t>
  </si>
  <si>
    <t>groS</t>
  </si>
  <si>
    <t>pncC</t>
  </si>
  <si>
    <t>clpP</t>
  </si>
  <si>
    <t>clpX</t>
  </si>
  <si>
    <t>hslU</t>
  </si>
  <si>
    <t>cmk</t>
  </si>
  <si>
    <t>coaA</t>
  </si>
  <si>
    <t>coaD</t>
  </si>
  <si>
    <t>coaE</t>
  </si>
  <si>
    <t>cysZ</t>
  </si>
  <si>
    <t>dadA</t>
  </si>
  <si>
    <t>ddlA</t>
  </si>
  <si>
    <t>dapF</t>
  </si>
  <si>
    <t>def</t>
  </si>
  <si>
    <t>deoB</t>
  </si>
  <si>
    <t>deoC</t>
  </si>
  <si>
    <t>dapA</t>
  </si>
  <si>
    <t>uxaB</t>
  </si>
  <si>
    <t>hscB</t>
  </si>
  <si>
    <t>dtd</t>
  </si>
  <si>
    <t>fusA</t>
  </si>
  <si>
    <t>efp</t>
  </si>
  <si>
    <t>yeiP</t>
  </si>
  <si>
    <t>tsf</t>
  </si>
  <si>
    <t>der</t>
  </si>
  <si>
    <t>engB</t>
  </si>
  <si>
    <t>eno</t>
  </si>
  <si>
    <t>fabA</t>
  </si>
  <si>
    <t>fabZ</t>
  </si>
  <si>
    <t>fabH</t>
  </si>
  <si>
    <t>flgH</t>
  </si>
  <si>
    <t>gpsA</t>
  </si>
  <si>
    <t>pgi</t>
  </si>
  <si>
    <t>galK</t>
  </si>
  <si>
    <t>folE</t>
  </si>
  <si>
    <t>gcvH</t>
  </si>
  <si>
    <t>rsmG</t>
  </si>
  <si>
    <t>glgA</t>
  </si>
  <si>
    <t>glgC</t>
  </si>
  <si>
    <t>glk</t>
  </si>
  <si>
    <t>mraY</t>
  </si>
  <si>
    <t>greA</t>
  </si>
  <si>
    <t>gshA</t>
  </si>
  <si>
    <t>hfq</t>
  </si>
  <si>
    <t>ihfA</t>
  </si>
  <si>
    <t>ihfB</t>
  </si>
  <si>
    <t>hslO</t>
  </si>
  <si>
    <t>dnaK</t>
  </si>
  <si>
    <t>hscA</t>
  </si>
  <si>
    <t>htpG</t>
  </si>
  <si>
    <t>infB</t>
  </si>
  <si>
    <t>infC</t>
  </si>
  <si>
    <t>kdsA</t>
  </si>
  <si>
    <t>prs</t>
  </si>
  <si>
    <t>tmk</t>
  </si>
  <si>
    <t>lpxA</t>
  </si>
  <si>
    <t>lpxC</t>
  </si>
  <si>
    <t>yceF</t>
  </si>
  <si>
    <t>mgsA</t>
  </si>
  <si>
    <t>minE</t>
  </si>
  <si>
    <t>moaC</t>
  </si>
  <si>
    <t>mscL</t>
  </si>
  <si>
    <t>msrA</t>
  </si>
  <si>
    <t>msrB</t>
  </si>
  <si>
    <t>murA</t>
  </si>
  <si>
    <t>nagB</t>
  </si>
  <si>
    <t>nanE</t>
  </si>
  <si>
    <t>ndk</t>
  </si>
  <si>
    <t>nusB</t>
  </si>
  <si>
    <t>orn</t>
  </si>
  <si>
    <t>panD</t>
  </si>
  <si>
    <t>pdxJ</t>
  </si>
  <si>
    <t>pfkA</t>
  </si>
  <si>
    <t>pgk</t>
  </si>
  <si>
    <t>gpmB</t>
  </si>
  <si>
    <t>ppa</t>
  </si>
  <si>
    <t>nadK</t>
  </si>
  <si>
    <t>proB</t>
  </si>
  <si>
    <t>hslV</t>
  </si>
  <si>
    <t>lexA</t>
  </si>
  <si>
    <t>pepE</t>
  </si>
  <si>
    <t>pth</t>
  </si>
  <si>
    <t>purA</t>
  </si>
  <si>
    <t>purC</t>
  </si>
  <si>
    <t>pyrD</t>
  </si>
  <si>
    <t>pyrG</t>
  </si>
  <si>
    <t>pyrH</t>
  </si>
  <si>
    <t>pyrI</t>
  </si>
  <si>
    <t>speD</t>
  </si>
  <si>
    <t>rbfA</t>
  </si>
  <si>
    <t>recA</t>
  </si>
  <si>
    <t>recR</t>
  </si>
  <si>
    <t>prfA</t>
  </si>
  <si>
    <t>prfC</t>
  </si>
  <si>
    <t>ribA</t>
  </si>
  <si>
    <t>ribB</t>
  </si>
  <si>
    <t>rplJ</t>
  </si>
  <si>
    <t>rplK</t>
  </si>
  <si>
    <t>rplL</t>
  </si>
  <si>
    <t>rplS</t>
  </si>
  <si>
    <t>rplA</t>
  </si>
  <si>
    <t>rplT</t>
  </si>
  <si>
    <t>rpmA</t>
  </si>
  <si>
    <t>rpmB</t>
  </si>
  <si>
    <t>rpmE</t>
  </si>
  <si>
    <t>rpmJ</t>
  </si>
  <si>
    <t>rplI</t>
  </si>
  <si>
    <t>rpsJ</t>
  </si>
  <si>
    <t>rpsK</t>
  </si>
  <si>
    <t>rpsL</t>
  </si>
  <si>
    <t>rpsM</t>
  </si>
  <si>
    <t>rpsP</t>
  </si>
  <si>
    <t>rpsR</t>
  </si>
  <si>
    <t>rpsS</t>
  </si>
  <si>
    <t>rpsT</t>
  </si>
  <si>
    <t>rpsB</t>
  </si>
  <si>
    <t>rpsC</t>
  </si>
  <si>
    <t>rpsD</t>
  </si>
  <si>
    <t>rpsE</t>
  </si>
  <si>
    <t>rpsH</t>
  </si>
  <si>
    <t>rpsI</t>
  </si>
  <si>
    <t>rimM</t>
  </si>
  <si>
    <t>rnc</t>
  </si>
  <si>
    <t>rpiA</t>
  </si>
  <si>
    <t>rpoA</t>
  </si>
  <si>
    <t>frr</t>
  </si>
  <si>
    <t>ruvA</t>
  </si>
  <si>
    <t>metK</t>
  </si>
  <si>
    <t>selA</t>
  </si>
  <si>
    <t>sfsA</t>
  </si>
  <si>
    <t>glyA</t>
  </si>
  <si>
    <t>dctA</t>
  </si>
  <si>
    <t>smpB</t>
  </si>
  <si>
    <t>sucC</t>
  </si>
  <si>
    <t>surE</t>
  </si>
  <si>
    <t>tgt</t>
  </si>
  <si>
    <t>tig</t>
  </si>
  <si>
    <t>tnaA</t>
  </si>
  <si>
    <t>tolB</t>
  </si>
  <si>
    <t>tpiA</t>
  </si>
  <si>
    <t>tpx</t>
  </si>
  <si>
    <t>talA</t>
  </si>
  <si>
    <t>talB</t>
  </si>
  <si>
    <t>trmD</t>
  </si>
  <si>
    <t>trpA</t>
  </si>
  <si>
    <t>trpB</t>
  </si>
  <si>
    <t>thyA</t>
  </si>
  <si>
    <t>ubiE</t>
  </si>
  <si>
    <t>ybeY</t>
  </si>
  <si>
    <t>yebC</t>
  </si>
  <si>
    <t>yeeN</t>
  </si>
  <si>
    <t>ppsR</t>
  </si>
  <si>
    <t>ybaB</t>
  </si>
  <si>
    <t>ybjQ</t>
  </si>
  <si>
    <t>nrdR</t>
  </si>
  <si>
    <t>yaiI</t>
  </si>
  <si>
    <t>ymdB</t>
  </si>
  <si>
    <t>ycfP</t>
  </si>
  <si>
    <t>yacL</t>
  </si>
  <si>
    <t>yajQ</t>
  </si>
  <si>
    <t>upp</t>
  </si>
  <si>
    <t>udk</t>
  </si>
  <si>
    <t>uvrB</t>
  </si>
  <si>
    <t>uxaC</t>
  </si>
  <si>
    <t>wrbA</t>
  </si>
  <si>
    <t>yihI</t>
  </si>
  <si>
    <t>yqgF</t>
  </si>
  <si>
    <t>yaaA</t>
  </si>
  <si>
    <t>trmB</t>
  </si>
  <si>
    <t>rhlB</t>
  </si>
  <si>
    <t>psd</t>
  </si>
  <si>
    <t>serS</t>
  </si>
  <si>
    <t>asnS</t>
  </si>
  <si>
    <t>thrS</t>
  </si>
  <si>
    <t>yeeX</t>
  </si>
  <si>
    <t>matP</t>
  </si>
  <si>
    <t>lysS</t>
  </si>
  <si>
    <t>lysU</t>
  </si>
  <si>
    <t>yggX</t>
  </si>
  <si>
    <t>frdC</t>
  </si>
  <si>
    <t>frdD</t>
  </si>
  <si>
    <t>rraA</t>
  </si>
  <si>
    <t>slyX</t>
  </si>
  <si>
    <t>ycjF</t>
  </si>
  <si>
    <t>argP</t>
  </si>
  <si>
    <t>prmA</t>
  </si>
  <si>
    <t>rpoC</t>
  </si>
  <si>
    <t>syd</t>
  </si>
  <si>
    <t>yafD</t>
  </si>
  <si>
    <t>metJ</t>
  </si>
  <si>
    <t>rbn</t>
  </si>
  <si>
    <t>rpoB</t>
  </si>
  <si>
    <t>fadR</t>
  </si>
  <si>
    <t>nanR</t>
  </si>
  <si>
    <t>slyA</t>
  </si>
  <si>
    <t>yqgE</t>
  </si>
  <si>
    <t>yfbU</t>
  </si>
  <si>
    <t>yjgA</t>
  </si>
  <si>
    <t>yceI</t>
  </si>
  <si>
    <t>yihX</t>
  </si>
  <si>
    <t>yidA</t>
  </si>
  <si>
    <t>yciA</t>
  </si>
  <si>
    <t>blc</t>
  </si>
  <si>
    <t>bamC</t>
  </si>
  <si>
    <t>slyB</t>
  </si>
  <si>
    <t>ompA</t>
  </si>
  <si>
    <t>pal</t>
  </si>
  <si>
    <t>ompW</t>
  </si>
  <si>
    <t>ompX</t>
  </si>
  <si>
    <t>tsx</t>
  </si>
  <si>
    <t>bamE</t>
  </si>
  <si>
    <t>bamA</t>
  </si>
  <si>
    <t>rimJ</t>
  </si>
  <si>
    <t>fabB</t>
  </si>
  <si>
    <t>eda</t>
  </si>
  <si>
    <t>ansA</t>
  </si>
  <si>
    <t>cheW</t>
  </si>
  <si>
    <t>cspE</t>
  </si>
  <si>
    <t>dnaN</t>
  </si>
  <si>
    <t>fbaB</t>
  </si>
  <si>
    <t>fbp</t>
  </si>
  <si>
    <t>ftnA</t>
  </si>
  <si>
    <t>ftsZ</t>
  </si>
  <si>
    <t>fur</t>
  </si>
  <si>
    <t>gapA</t>
  </si>
  <si>
    <t>epd</t>
  </si>
  <si>
    <t>galM</t>
  </si>
  <si>
    <t>glnA</t>
  </si>
  <si>
    <t>glpX</t>
  </si>
  <si>
    <t>gstA</t>
  </si>
  <si>
    <t>cysE</t>
  </si>
  <si>
    <t>dapD</t>
  </si>
  <si>
    <t>fnr</t>
  </si>
  <si>
    <t>mntR</t>
  </si>
  <si>
    <t>cysB</t>
  </si>
  <si>
    <t>aceA</t>
  </si>
  <si>
    <t>modE</t>
  </si>
  <si>
    <t>mug</t>
  </si>
  <si>
    <t>btuR</t>
  </si>
  <si>
    <t>cheZ</t>
  </si>
  <si>
    <t>rng</t>
  </si>
  <si>
    <t>rbsK</t>
  </si>
  <si>
    <t>pheA</t>
  </si>
  <si>
    <t>ybeZ</t>
  </si>
  <si>
    <t>phoU</t>
  </si>
  <si>
    <t>slyD</t>
  </si>
  <si>
    <t>fklB</t>
  </si>
  <si>
    <t>ppiC</t>
  </si>
  <si>
    <t>proC</t>
  </si>
  <si>
    <t>lon</t>
  </si>
  <si>
    <t>hpt</t>
  </si>
  <si>
    <t>gpt</t>
  </si>
  <si>
    <t>pta</t>
  </si>
  <si>
    <t>ptsO</t>
  </si>
  <si>
    <t>pflA</t>
  </si>
  <si>
    <t>lpdA</t>
  </si>
  <si>
    <t>trxB</t>
  </si>
  <si>
    <t>arcA</t>
  </si>
  <si>
    <t>accD</t>
  </si>
  <si>
    <t>adhE</t>
  </si>
  <si>
    <t>asd</t>
  </si>
  <si>
    <t>fdx</t>
  </si>
  <si>
    <t>ftsE</t>
  </si>
  <si>
    <t>fucO</t>
  </si>
  <si>
    <t>gatD</t>
  </si>
  <si>
    <t>gldA</t>
  </si>
  <si>
    <t>serA</t>
  </si>
  <si>
    <t>tas</t>
  </si>
  <si>
    <t>ybbA</t>
  </si>
  <si>
    <t>ybiT</t>
  </si>
  <si>
    <t>puuR</t>
  </si>
  <si>
    <t>lptB</t>
  </si>
  <si>
    <t>yiaG</t>
  </si>
  <si>
    <t>ulaR</t>
  </si>
  <si>
    <t>ettA</t>
  </si>
  <si>
    <t>ibaG</t>
  </si>
  <si>
    <t>mreB</t>
  </si>
  <si>
    <t>cspA</t>
  </si>
  <si>
    <t>cspC</t>
  </si>
  <si>
    <t>glnB</t>
  </si>
  <si>
    <t>ptsH</t>
  </si>
  <si>
    <t>rplM</t>
  </si>
  <si>
    <t>ompR</t>
  </si>
  <si>
    <t>trxA</t>
  </si>
  <si>
    <t>rluA</t>
  </si>
  <si>
    <t>rluC</t>
  </si>
  <si>
    <t>rsuA</t>
  </si>
  <si>
    <t>qmcA</t>
  </si>
  <si>
    <t>yobA</t>
  </si>
  <si>
    <t>yeaY</t>
  </si>
  <si>
    <t>yagU</t>
  </si>
  <si>
    <t>ubiD</t>
  </si>
  <si>
    <t>galF</t>
  </si>
  <si>
    <t>uspD</t>
  </si>
  <si>
    <t>uspE</t>
  </si>
  <si>
    <t>ybhL</t>
  </si>
  <si>
    <t>iscA</t>
  </si>
  <si>
    <t>cycA</t>
  </si>
  <si>
    <t>artP</t>
  </si>
  <si>
    <t>dppD</t>
  </si>
  <si>
    <t>sapF</t>
  </si>
  <si>
    <t>ftsH</t>
  </si>
  <si>
    <t>fabF</t>
  </si>
  <si>
    <t>fabD</t>
  </si>
  <si>
    <t>ynfG</t>
  </si>
  <si>
    <t>fdoH</t>
  </si>
  <si>
    <t>hybA</t>
  </si>
  <si>
    <t>hypB</t>
  </si>
  <si>
    <t>yaiA</t>
  </si>
  <si>
    <t>iraP</t>
  </si>
  <si>
    <t>frmR</t>
  </si>
  <si>
    <t>yajD</t>
  </si>
  <si>
    <t>ybaA</t>
  </si>
  <si>
    <t>ybaK</t>
  </si>
  <si>
    <t>ylaC</t>
  </si>
  <si>
    <t>ybbJ</t>
  </si>
  <si>
    <t>ybcJ</t>
  </si>
  <si>
    <t>ybdF</t>
  </si>
  <si>
    <t>ybeL</t>
  </si>
  <si>
    <t>ybgE</t>
  </si>
  <si>
    <t>ybgJ</t>
  </si>
  <si>
    <t>ybgS</t>
  </si>
  <si>
    <t>ybhP</t>
  </si>
  <si>
    <t>ybiS</t>
  </si>
  <si>
    <t>ycaR</t>
  </si>
  <si>
    <t>yccF</t>
  </si>
  <si>
    <t>tusE</t>
  </si>
  <si>
    <t>hspQ</t>
  </si>
  <si>
    <t>efeO</t>
  </si>
  <si>
    <t>yceB</t>
  </si>
  <si>
    <t>yceD</t>
  </si>
  <si>
    <t>lpoB</t>
  </si>
  <si>
    <t>ycgL</t>
  </si>
  <si>
    <t>yciI</t>
  </si>
  <si>
    <t>yciN</t>
  </si>
  <si>
    <t>yccX</t>
  </si>
  <si>
    <t>pntB</t>
  </si>
  <si>
    <t>fbaA</t>
  </si>
  <si>
    <t>kbl</t>
  </si>
  <si>
    <t>ilvE</t>
  </si>
  <si>
    <t>apbE</t>
  </si>
  <si>
    <t>purB</t>
  </si>
  <si>
    <t>aroG</t>
  </si>
  <si>
    <t>atpB</t>
  </si>
  <si>
    <t>atpF</t>
  </si>
  <si>
    <t>atpH</t>
  </si>
  <si>
    <t>atpG</t>
  </si>
  <si>
    <t>atpA</t>
  </si>
  <si>
    <t>atpD</t>
  </si>
  <si>
    <t>mgtA</t>
  </si>
  <si>
    <t>hflC</t>
  </si>
  <si>
    <t>hflK</t>
  </si>
  <si>
    <t>bfr</t>
  </si>
  <si>
    <t>accA</t>
  </si>
  <si>
    <t>accB</t>
  </si>
  <si>
    <t>bolA</t>
  </si>
  <si>
    <t>cybB</t>
  </si>
  <si>
    <t>pcnB</t>
  </si>
  <si>
    <t>eutM</t>
  </si>
  <si>
    <t>cdd</t>
  </si>
  <si>
    <t>pgsA</t>
  </si>
  <si>
    <t>ftsA</t>
  </si>
  <si>
    <t>gltA</t>
  </si>
  <si>
    <t>clpA</t>
  </si>
  <si>
    <t>cyoB</t>
  </si>
  <si>
    <t>cyoA</t>
  </si>
  <si>
    <t>cydA</t>
  </si>
  <si>
    <t>cydB</t>
  </si>
  <si>
    <t>cysK</t>
  </si>
  <si>
    <t>napC</t>
  </si>
  <si>
    <t>dgkA</t>
  </si>
  <si>
    <t>dcuA</t>
  </si>
  <si>
    <t>deoD</t>
  </si>
  <si>
    <t>coaBC</t>
  </si>
  <si>
    <t>garR</t>
  </si>
  <si>
    <t>folA</t>
  </si>
  <si>
    <t>dksA</t>
  </si>
  <si>
    <t>dnaG</t>
  </si>
  <si>
    <t>dps</t>
  </si>
  <si>
    <t>menB</t>
  </si>
  <si>
    <t>ychF</t>
  </si>
  <si>
    <t>elbB</t>
  </si>
  <si>
    <t>exbB</t>
  </si>
  <si>
    <t>tolQ</t>
  </si>
  <si>
    <t>exbD</t>
  </si>
  <si>
    <t>tolR</t>
  </si>
  <si>
    <t>fldB</t>
  </si>
  <si>
    <t>fliG</t>
  </si>
  <si>
    <t>kdsC</t>
  </si>
  <si>
    <t>surA</t>
  </si>
  <si>
    <t>bamD</t>
  </si>
  <si>
    <t>folP</t>
  </si>
  <si>
    <t>folB</t>
  </si>
  <si>
    <t>folX</t>
  </si>
  <si>
    <t>focA</t>
  </si>
  <si>
    <t>ftsX</t>
  </si>
  <si>
    <t>fumA</t>
  </si>
  <si>
    <t>aspA</t>
  </si>
  <si>
    <t>sdhA</t>
  </si>
  <si>
    <t>sdhD</t>
  </si>
  <si>
    <t>frdB</t>
  </si>
  <si>
    <t>zur</t>
  </si>
  <si>
    <t>zwf</t>
  </si>
  <si>
    <t>grxB</t>
  </si>
  <si>
    <t>grxC</t>
  </si>
  <si>
    <t>grxD</t>
  </si>
  <si>
    <t>gloA</t>
  </si>
  <si>
    <t>gloB</t>
  </si>
  <si>
    <t>glgP</t>
  </si>
  <si>
    <t>gnsA</t>
  </si>
  <si>
    <t>yibF</t>
  </si>
  <si>
    <t>sspA</t>
  </si>
  <si>
    <t>gstB</t>
  </si>
  <si>
    <t>dnaB</t>
  </si>
  <si>
    <t>hemB</t>
  </si>
  <si>
    <t>hemY</t>
  </si>
  <si>
    <t>erpA</t>
  </si>
  <si>
    <t>glmU</t>
  </si>
  <si>
    <t>iscU</t>
  </si>
  <si>
    <t>hyaB</t>
  </si>
  <si>
    <t>hybC</t>
  </si>
  <si>
    <t>hinT</t>
  </si>
  <si>
    <t>hupA</t>
  </si>
  <si>
    <t>hupB</t>
  </si>
  <si>
    <t>hns</t>
  </si>
  <si>
    <t>stpA</t>
  </si>
  <si>
    <t>rob</t>
  </si>
  <si>
    <t>lrp</t>
  </si>
  <si>
    <t>crp</t>
  </si>
  <si>
    <t>agaR</t>
  </si>
  <si>
    <t>exuR</t>
  </si>
  <si>
    <t>yegW</t>
  </si>
  <si>
    <t>allR</t>
  </si>
  <si>
    <t>cytR</t>
  </si>
  <si>
    <t>gntR</t>
  </si>
  <si>
    <t>purR</t>
  </si>
  <si>
    <t>oxyR</t>
  </si>
  <si>
    <t>yeiE</t>
  </si>
  <si>
    <t>mprA</t>
  </si>
  <si>
    <t>rpiR</t>
  </si>
  <si>
    <t>yjdC</t>
  </si>
  <si>
    <t>lapA</t>
  </si>
  <si>
    <t>mpaA</t>
  </si>
  <si>
    <t>ydcH</t>
  </si>
  <si>
    <t>ydhR</t>
  </si>
  <si>
    <t>ydhZ</t>
  </si>
  <si>
    <t>ydjA</t>
  </si>
  <si>
    <t>yeaG</t>
  </si>
  <si>
    <t>evgA</t>
  </si>
  <si>
    <t>yecA</t>
  </si>
  <si>
    <t>yecJ</t>
  </si>
  <si>
    <t>yeeZ</t>
  </si>
  <si>
    <t>yfcZ</t>
  </si>
  <si>
    <t>yfhG</t>
  </si>
  <si>
    <t>yphA</t>
  </si>
  <si>
    <t>raiA</t>
  </si>
  <si>
    <t>ispB</t>
  </si>
  <si>
    <t>ivy</t>
  </si>
  <si>
    <t>pykF</t>
  </si>
  <si>
    <t>livJ</t>
  </si>
  <si>
    <t>tesA</t>
  </si>
  <si>
    <t>nlpD</t>
  </si>
  <si>
    <t>yajG</t>
  </si>
  <si>
    <t>osmE</t>
  </si>
  <si>
    <t>lptE</t>
  </si>
  <si>
    <t>lolC</t>
  </si>
  <si>
    <t>ygaU</t>
  </si>
  <si>
    <t>ygfZ</t>
  </si>
  <si>
    <t>ilvN</t>
  </si>
  <si>
    <t>suhB</t>
  </si>
  <si>
    <t>guaB</t>
  </si>
  <si>
    <t>entB</t>
  </si>
  <si>
    <t>yecD</t>
  </si>
  <si>
    <t>yiaF</t>
  </si>
  <si>
    <t>yibL</t>
  </si>
  <si>
    <t>yifE</t>
  </si>
  <si>
    <t>yifL</t>
  </si>
  <si>
    <t>ubiJ</t>
  </si>
  <si>
    <t>yihD</t>
  </si>
  <si>
    <t>ygaM</t>
  </si>
  <si>
    <t>rlmM</t>
  </si>
  <si>
    <t>ygdH</t>
  </si>
  <si>
    <t>zapA</t>
  </si>
  <si>
    <t>yggE</t>
  </si>
  <si>
    <t>yggN</t>
  </si>
  <si>
    <t>ygiB</t>
  </si>
  <si>
    <t>ygiC</t>
  </si>
  <si>
    <t>ygiM</t>
  </si>
  <si>
    <t>ygiN</t>
  </si>
  <si>
    <t>ygiW</t>
  </si>
  <si>
    <t>lptA</t>
  </si>
  <si>
    <t>yhbW</t>
  </si>
  <si>
    <t>mlaC</t>
  </si>
  <si>
    <t>lptC</t>
  </si>
  <si>
    <t>yhcB</t>
  </si>
  <si>
    <t>yhfA</t>
  </si>
  <si>
    <t>yhhA</t>
  </si>
  <si>
    <t>ppiD</t>
  </si>
  <si>
    <t>rplN</t>
  </si>
  <si>
    <t>rplP</t>
  </si>
  <si>
    <t>rplW</t>
  </si>
  <si>
    <t>rpsO</t>
  </si>
  <si>
    <t>yajC</t>
  </si>
  <si>
    <t>trmJ</t>
  </si>
  <si>
    <t>acrA</t>
  </si>
  <si>
    <t>ahpC</t>
  </si>
  <si>
    <t>amn</t>
  </si>
  <si>
    <t>map</t>
  </si>
  <si>
    <t>aphA</t>
  </si>
  <si>
    <t>astA</t>
  </si>
  <si>
    <t>ytfP</t>
  </si>
  <si>
    <t>bcp</t>
  </si>
  <si>
    <t>cedA</t>
  </si>
  <si>
    <t>chaB</t>
  </si>
  <si>
    <t>cheY</t>
  </si>
  <si>
    <t>mazF</t>
  </si>
  <si>
    <t>corC</t>
  </si>
  <si>
    <t>cpxA</t>
  </si>
  <si>
    <t>cpxP</t>
  </si>
  <si>
    <t>cpxR</t>
  </si>
  <si>
    <t>creA</t>
  </si>
  <si>
    <t>cysG</t>
  </si>
  <si>
    <t>dacA</t>
  </si>
  <si>
    <t>yoaB</t>
  </si>
  <si>
    <t>barA</t>
  </si>
  <si>
    <t>uspA</t>
  </si>
  <si>
    <t>dapE</t>
  </si>
  <si>
    <t>dcrB</t>
  </si>
  <si>
    <t>degS</t>
  </si>
  <si>
    <t>mglB</t>
  </si>
  <si>
    <t>dppC</t>
  </si>
  <si>
    <t>dsbA</t>
  </si>
  <si>
    <t>dsbC</t>
  </si>
  <si>
    <t>rseP</t>
  </si>
  <si>
    <t>elaA</t>
  </si>
  <si>
    <t>elaB</t>
  </si>
  <si>
    <t>miaB</t>
  </si>
  <si>
    <t>rimO</t>
  </si>
  <si>
    <t>nudJ</t>
  </si>
  <si>
    <t>entC</t>
  </si>
  <si>
    <t>envZ</t>
  </si>
  <si>
    <t>eutB</t>
  </si>
  <si>
    <t>fabG</t>
  </si>
  <si>
    <t>fabI</t>
  </si>
  <si>
    <t>fepB</t>
  </si>
  <si>
    <t>flgM</t>
  </si>
  <si>
    <t>fliA</t>
  </si>
  <si>
    <t>fliY</t>
  </si>
  <si>
    <t>fre</t>
  </si>
  <si>
    <t>fucU</t>
  </si>
  <si>
    <t>galU</t>
  </si>
  <si>
    <t>gcl</t>
  </si>
  <si>
    <t>glcG</t>
  </si>
  <si>
    <t>glnH</t>
  </si>
  <si>
    <t>glnP</t>
  </si>
  <si>
    <t>gltJ</t>
  </si>
  <si>
    <t>gss</t>
  </si>
  <si>
    <t>gudD</t>
  </si>
  <si>
    <t>gyrA</t>
  </si>
  <si>
    <t>gyrB</t>
  </si>
  <si>
    <t>hdeA</t>
  </si>
  <si>
    <t>hdeB</t>
  </si>
  <si>
    <t>hdeD</t>
  </si>
  <si>
    <t>hdhA</t>
  </si>
  <si>
    <t>hisJ</t>
  </si>
  <si>
    <t>skp</t>
  </si>
  <si>
    <t>rssB</t>
  </si>
  <si>
    <t>hycI</t>
  </si>
  <si>
    <t>cpdA</t>
  </si>
  <si>
    <t>prkB</t>
  </si>
  <si>
    <t>malE</t>
  </si>
  <si>
    <t>marC</t>
  </si>
  <si>
    <t>mazG</t>
  </si>
  <si>
    <t>mdaB</t>
  </si>
  <si>
    <t>minD</t>
  </si>
  <si>
    <t>moaB</t>
  </si>
  <si>
    <t>mog</t>
  </si>
  <si>
    <t>mrp</t>
  </si>
  <si>
    <t>mtnN</t>
  </si>
  <si>
    <t>nagA</t>
  </si>
  <si>
    <t>nagC</t>
  </si>
  <si>
    <t>nagD</t>
  </si>
  <si>
    <t>narL</t>
  </si>
  <si>
    <t>zapB</t>
  </si>
  <si>
    <t>yjbQ</t>
  </si>
  <si>
    <t>yjbR</t>
  </si>
  <si>
    <t>yjcH</t>
  </si>
  <si>
    <t>yjdI</t>
  </si>
  <si>
    <t>nsrR</t>
  </si>
  <si>
    <t>tsaE</t>
  </si>
  <si>
    <t>rraB</t>
  </si>
  <si>
    <t>ridA</t>
  </si>
  <si>
    <t>lptF</t>
  </si>
  <si>
    <t>nhaB</t>
  </si>
  <si>
    <t>glnL</t>
  </si>
  <si>
    <t>nuoB</t>
  </si>
  <si>
    <t>nuoE</t>
  </si>
  <si>
    <t>nuoH</t>
  </si>
  <si>
    <t>nuoI</t>
  </si>
  <si>
    <t>nuoJ</t>
  </si>
  <si>
    <t>nuoK</t>
  </si>
  <si>
    <t>nuoM</t>
  </si>
  <si>
    <t>nuoN</t>
  </si>
  <si>
    <t>nupC</t>
  </si>
  <si>
    <t>nusA</t>
  </si>
  <si>
    <t>nusG</t>
  </si>
  <si>
    <t>sucA</t>
  </si>
  <si>
    <t>sucB</t>
  </si>
  <si>
    <t>aceE</t>
  </si>
  <si>
    <t>oppB</t>
  </si>
  <si>
    <t>oppC</t>
  </si>
  <si>
    <t>osmY</t>
  </si>
  <si>
    <t>parC</t>
  </si>
  <si>
    <t>pdxH</t>
  </si>
  <si>
    <t>perM</t>
  </si>
  <si>
    <t>phnA</t>
  </si>
  <si>
    <t>phoB</t>
  </si>
  <si>
    <t>pitA</t>
  </si>
  <si>
    <t>pmbA</t>
  </si>
  <si>
    <t>pnuC</t>
  </si>
  <si>
    <t>potD</t>
  </si>
  <si>
    <t>ppiA</t>
  </si>
  <si>
    <t>psiF</t>
  </si>
  <si>
    <t>pspA</t>
  </si>
  <si>
    <t>pspC</t>
  </si>
  <si>
    <t>ybgI</t>
  </si>
  <si>
    <t>ycfH</t>
  </si>
  <si>
    <t>rssA</t>
  </si>
  <si>
    <t>dauA</t>
  </si>
  <si>
    <t>yciO</t>
  </si>
  <si>
    <t>folM</t>
  </si>
  <si>
    <t>ydiK</t>
  </si>
  <si>
    <t>yecS</t>
  </si>
  <si>
    <t>ribC</t>
  </si>
  <si>
    <t>rnk</t>
  </si>
  <si>
    <t>rof</t>
  </si>
  <si>
    <t>hpf</t>
  </si>
  <si>
    <t>rsd</t>
  </si>
  <si>
    <t>rseB</t>
  </si>
  <si>
    <t>seqA</t>
  </si>
  <si>
    <t>sseB</t>
  </si>
  <si>
    <t>sspB</t>
  </si>
  <si>
    <t>wzzE</t>
  </si>
  <si>
    <t>rpe</t>
  </si>
  <si>
    <t>purE</t>
  </si>
  <si>
    <t>relA</t>
  </si>
  <si>
    <t>yibN</t>
  </si>
  <si>
    <t>rho</t>
  </si>
  <si>
    <t>ribF</t>
  </si>
  <si>
    <t>rplQ</t>
  </si>
  <si>
    <t>rplU</t>
  </si>
  <si>
    <t>rpmD</t>
  </si>
  <si>
    <t>rplF</t>
  </si>
  <si>
    <t>rpsN</t>
  </si>
  <si>
    <t>rpsQ</t>
  </si>
  <si>
    <t>rpsA</t>
  </si>
  <si>
    <t>sbp</t>
  </si>
  <si>
    <t>ugpB</t>
  </si>
  <si>
    <t>pstS</t>
  </si>
  <si>
    <t>yghA</t>
  </si>
  <si>
    <t>secB</t>
  </si>
  <si>
    <t>secD</t>
  </si>
  <si>
    <t>secE</t>
  </si>
  <si>
    <t>secG</t>
  </si>
  <si>
    <t>secY</t>
  </si>
  <si>
    <t>serB</t>
  </si>
  <si>
    <t>rpoE</t>
  </si>
  <si>
    <t>slt</t>
  </si>
  <si>
    <t>sodC</t>
  </si>
  <si>
    <t>sodB</t>
  </si>
  <si>
    <t>ffh</t>
  </si>
  <si>
    <t>ssb</t>
  </si>
  <si>
    <t>chrR</t>
  </si>
  <si>
    <t>sucD</t>
  </si>
  <si>
    <t>csdE</t>
  </si>
  <si>
    <t>tesB</t>
  </si>
  <si>
    <t>trxC</t>
  </si>
  <si>
    <t>tldD</t>
  </si>
  <si>
    <t>rbsC</t>
  </si>
  <si>
    <t>trkA</t>
  </si>
  <si>
    <t>trmH</t>
  </si>
  <si>
    <t>yfiF</t>
  </si>
  <si>
    <t>trmL</t>
  </si>
  <si>
    <t>tyrS</t>
  </si>
  <si>
    <t>yhbY</t>
  </si>
  <si>
    <t>tdcF</t>
  </si>
  <si>
    <t>ratA</t>
  </si>
  <si>
    <t>rsmE</t>
  </si>
  <si>
    <t>rplR</t>
  </si>
  <si>
    <t>yaiE</t>
  </si>
  <si>
    <t>ibpA</t>
  </si>
  <si>
    <t>relB</t>
  </si>
  <si>
    <t>osmC</t>
  </si>
  <si>
    <t>proP</t>
  </si>
  <si>
    <t>mscS</t>
  </si>
  <si>
    <t>rimK</t>
  </si>
  <si>
    <t>degP</t>
  </si>
  <si>
    <t>gatY</t>
  </si>
  <si>
    <t>gatZ</t>
  </si>
  <si>
    <t>eptC</t>
  </si>
  <si>
    <t>tufA</t>
  </si>
  <si>
    <t>rcsC</t>
  </si>
  <si>
    <t>rcsB</t>
  </si>
  <si>
    <t>rlpA</t>
  </si>
  <si>
    <t>ftsY</t>
  </si>
  <si>
    <t>glnQ</t>
  </si>
  <si>
    <t>hisA</t>
  </si>
  <si>
    <t>entE</t>
  </si>
  <si>
    <t>fadL</t>
  </si>
  <si>
    <t>secA</t>
  </si>
  <si>
    <t>lpxB</t>
  </si>
  <si>
    <t>ugpQ</t>
  </si>
  <si>
    <t>narH</t>
  </si>
  <si>
    <t>argH</t>
  </si>
  <si>
    <t>entF</t>
  </si>
  <si>
    <t>damX</t>
  </si>
  <si>
    <t>argS</t>
  </si>
  <si>
    <t>murF</t>
  </si>
  <si>
    <t>aroC</t>
  </si>
  <si>
    <t>moeA</t>
  </si>
  <si>
    <t>moeB</t>
  </si>
  <si>
    <t>ung</t>
  </si>
  <si>
    <t>udp</t>
  </si>
  <si>
    <t>ybhB</t>
  </si>
  <si>
    <t>metH</t>
  </si>
  <si>
    <t>ampD</t>
  </si>
  <si>
    <t>fdhE</t>
  </si>
  <si>
    <t>katG</t>
  </si>
  <si>
    <t>fecA</t>
  </si>
  <si>
    <t>treA</t>
  </si>
  <si>
    <t>chiA</t>
  </si>
  <si>
    <t>rimL</t>
  </si>
  <si>
    <t>murD</t>
  </si>
  <si>
    <t>fecB</t>
  </si>
  <si>
    <t>pepP</t>
  </si>
  <si>
    <t>helD</t>
  </si>
  <si>
    <t>ligA</t>
  </si>
  <si>
    <t>glgX</t>
  </si>
  <si>
    <t>fliN</t>
  </si>
  <si>
    <t>cstA</t>
  </si>
  <si>
    <t>srlR</t>
  </si>
  <si>
    <t>purL</t>
  </si>
  <si>
    <t>flk</t>
  </si>
  <si>
    <t>pepD</t>
  </si>
  <si>
    <t>prlF</t>
  </si>
  <si>
    <t>purH</t>
  </si>
  <si>
    <t>purD</t>
  </si>
  <si>
    <t>aroE</t>
  </si>
  <si>
    <t>gcd</t>
  </si>
  <si>
    <t>malQ</t>
  </si>
  <si>
    <t>sdaA</t>
  </si>
  <si>
    <t>selD</t>
  </si>
  <si>
    <t>tus</t>
  </si>
  <si>
    <t>proS</t>
  </si>
  <si>
    <t>phnB</t>
  </si>
  <si>
    <t>cysP</t>
  </si>
  <si>
    <t>cysM</t>
  </si>
  <si>
    <t>mreC</t>
  </si>
  <si>
    <t>gutQ</t>
  </si>
  <si>
    <t>nfsA</t>
  </si>
  <si>
    <t>glmS</t>
  </si>
  <si>
    <t>murG</t>
  </si>
  <si>
    <t>cysH</t>
  </si>
  <si>
    <t>murC</t>
  </si>
  <si>
    <t>ubiG</t>
  </si>
  <si>
    <t>minC</t>
  </si>
  <si>
    <t>argD</t>
  </si>
  <si>
    <t>dmsA</t>
  </si>
  <si>
    <t>dmsB</t>
  </si>
  <si>
    <t>nadE</t>
  </si>
  <si>
    <t>ggt</t>
  </si>
  <si>
    <t>narY</t>
  </si>
  <si>
    <t>narZ</t>
  </si>
  <si>
    <t>pdxA</t>
  </si>
  <si>
    <t>eutC</t>
  </si>
  <si>
    <t>agp</t>
  </si>
  <si>
    <t>tolA</t>
  </si>
  <si>
    <t>parE</t>
  </si>
  <si>
    <t>bisC</t>
  </si>
  <si>
    <t>fic</t>
  </si>
  <si>
    <t>fruA</t>
  </si>
  <si>
    <t>fadA</t>
  </si>
  <si>
    <t>cysD</t>
  </si>
  <si>
    <t>pepQ</t>
  </si>
  <si>
    <t>speC</t>
  </si>
  <si>
    <t>speA</t>
  </si>
  <si>
    <t>fadB</t>
  </si>
  <si>
    <t>katE</t>
  </si>
  <si>
    <t>rna</t>
  </si>
  <si>
    <t>yciF</t>
  </si>
  <si>
    <t>yciE</t>
  </si>
  <si>
    <t>ycaC</t>
  </si>
  <si>
    <t>pncA</t>
  </si>
  <si>
    <t>rnr</t>
  </si>
  <si>
    <t>srmB</t>
  </si>
  <si>
    <t>rne</t>
  </si>
  <si>
    <t>pykA</t>
  </si>
  <si>
    <t>lpxD</t>
  </si>
  <si>
    <t>cysS</t>
  </si>
  <si>
    <t>aspS</t>
  </si>
  <si>
    <t>asnB</t>
  </si>
  <si>
    <t>mraZ</t>
  </si>
  <si>
    <t>murE</t>
  </si>
  <si>
    <t>cysQ</t>
  </si>
  <si>
    <t>gabT</t>
  </si>
  <si>
    <t>pckA</t>
  </si>
  <si>
    <t>add</t>
  </si>
  <si>
    <t>mukE</t>
  </si>
  <si>
    <t>rihC</t>
  </si>
  <si>
    <t>ispA</t>
  </si>
  <si>
    <t>trmA</t>
  </si>
  <si>
    <t>tnaB</t>
  </si>
  <si>
    <t>mglC</t>
  </si>
  <si>
    <t>malY</t>
  </si>
  <si>
    <t>tdk</t>
  </si>
  <si>
    <t>mutL</t>
  </si>
  <si>
    <t>garL</t>
  </si>
  <si>
    <t>ppsA</t>
  </si>
  <si>
    <t>serC</t>
  </si>
  <si>
    <t>eco</t>
  </si>
  <si>
    <t>pssA</t>
  </si>
  <si>
    <t>phoP</t>
  </si>
  <si>
    <t>phoQ</t>
  </si>
  <si>
    <t>yicC</t>
  </si>
  <si>
    <t>oppA</t>
  </si>
  <si>
    <t>dppA</t>
  </si>
  <si>
    <t>pspE</t>
  </si>
  <si>
    <t>prc</t>
  </si>
  <si>
    <t>ppiB</t>
  </si>
  <si>
    <t>hemH</t>
  </si>
  <si>
    <t>fmt</t>
  </si>
  <si>
    <t>hemL</t>
  </si>
  <si>
    <t>htpX</t>
  </si>
  <si>
    <t>argE</t>
  </si>
  <si>
    <t>lnt</t>
  </si>
  <si>
    <t>dcp</t>
  </si>
  <si>
    <t>rfaC</t>
  </si>
  <si>
    <t>yffB</t>
  </si>
  <si>
    <t>accC</t>
  </si>
  <si>
    <t>fdnG</t>
  </si>
  <si>
    <t>folD</t>
  </si>
  <si>
    <t>mrr</t>
  </si>
  <si>
    <t>yjiA</t>
  </si>
  <si>
    <t>lpxM</t>
  </si>
  <si>
    <t>uxuA</t>
  </si>
  <si>
    <t>hmp</t>
  </si>
  <si>
    <t>ascG</t>
  </si>
  <si>
    <t>crl</t>
  </si>
  <si>
    <t>rpoN</t>
  </si>
  <si>
    <t>ptrB</t>
  </si>
  <si>
    <t>tehB</t>
  </si>
  <si>
    <t>frmA</t>
  </si>
  <si>
    <t>acnA</t>
  </si>
  <si>
    <t>hflX</t>
  </si>
  <si>
    <t>mnmE</t>
  </si>
  <si>
    <t>codA</t>
  </si>
  <si>
    <t>gabD</t>
  </si>
  <si>
    <t>ribD</t>
  </si>
  <si>
    <t>gppA</t>
  </si>
  <si>
    <t>aldA</t>
  </si>
  <si>
    <t>yidC</t>
  </si>
  <si>
    <t>mnmA</t>
  </si>
  <si>
    <t>loiP</t>
  </si>
  <si>
    <t>ydbC</t>
  </si>
  <si>
    <t>amyA</t>
  </si>
  <si>
    <t>maeA</t>
  </si>
  <si>
    <t>acuI</t>
  </si>
  <si>
    <t>plsC</t>
  </si>
  <si>
    <t>ftsP</t>
  </si>
  <si>
    <t>glgS</t>
  </si>
  <si>
    <t>yfeD</t>
  </si>
  <si>
    <t>plsX</t>
  </si>
  <si>
    <t>gcvT</t>
  </si>
  <si>
    <t>ahr</t>
  </si>
  <si>
    <t>nadR</t>
  </si>
  <si>
    <t>prlC</t>
  </si>
  <si>
    <t>tktA</t>
  </si>
  <si>
    <t>emrA</t>
  </si>
  <si>
    <t>sthA</t>
  </si>
  <si>
    <t>roxA</t>
  </si>
  <si>
    <t>rodZ</t>
  </si>
  <si>
    <t>acs</t>
  </si>
  <si>
    <t>wecB</t>
  </si>
  <si>
    <t>wecC</t>
  </si>
  <si>
    <t>wecE</t>
  </si>
  <si>
    <t>yigL</t>
  </si>
  <si>
    <t>yigZ</t>
  </si>
  <si>
    <t>dcd</t>
  </si>
  <si>
    <t>asmA</t>
  </si>
  <si>
    <t>qorA</t>
  </si>
  <si>
    <t>mltG</t>
  </si>
  <si>
    <t>trmO</t>
  </si>
  <si>
    <t>metQ</t>
  </si>
  <si>
    <t>fpr</t>
  </si>
  <si>
    <t>nrdD</t>
  </si>
  <si>
    <t>treC</t>
  </si>
  <si>
    <t>holC</t>
  </si>
  <si>
    <t>dadX</t>
  </si>
  <si>
    <t>ycgB</t>
  </si>
  <si>
    <t>cydD</t>
  </si>
  <si>
    <t>ftsN</t>
  </si>
  <si>
    <t>menC</t>
  </si>
  <si>
    <t>yceH</t>
  </si>
  <si>
    <t>hemE</t>
  </si>
  <si>
    <t>pepT</t>
  </si>
  <si>
    <t>nadC</t>
  </si>
  <si>
    <t>leuB</t>
  </si>
  <si>
    <t>leuD</t>
  </si>
  <si>
    <t>thiC</t>
  </si>
  <si>
    <t>ybiB</t>
  </si>
  <si>
    <t>metN</t>
  </si>
  <si>
    <t>rnb</t>
  </si>
  <si>
    <t>artI</t>
  </si>
  <si>
    <t>artJ</t>
  </si>
  <si>
    <t>dkgB</t>
  </si>
  <si>
    <t>yafC</t>
  </si>
  <si>
    <t>glnE</t>
  </si>
  <si>
    <t>ygiF</t>
  </si>
  <si>
    <t>mfd</t>
  </si>
  <si>
    <t>panB</t>
  </si>
  <si>
    <t>yedD</t>
  </si>
  <si>
    <t>fliH</t>
  </si>
  <si>
    <t>kch</t>
  </si>
  <si>
    <t>aas</t>
  </si>
  <si>
    <t>glmM</t>
  </si>
  <si>
    <t>ydeI</t>
  </si>
  <si>
    <t>ydeJ</t>
  </si>
  <si>
    <t>potF</t>
  </si>
  <si>
    <t>sseA</t>
  </si>
  <si>
    <t>acrB</t>
  </si>
  <si>
    <t>yicH</t>
  </si>
  <si>
    <t>yidR</t>
  </si>
  <si>
    <t>dgoR</t>
  </si>
  <si>
    <t>ravA</t>
  </si>
  <si>
    <t>yieP</t>
  </si>
  <si>
    <t>thiB</t>
  </si>
  <si>
    <t>lptD</t>
  </si>
  <si>
    <t>hchA</t>
  </si>
  <si>
    <t>prpC</t>
  </si>
  <si>
    <t>panC</t>
  </si>
  <si>
    <t>otsA</t>
  </si>
  <si>
    <t>narP</t>
  </si>
  <si>
    <t>nnr</t>
  </si>
  <si>
    <t>yciK</t>
  </si>
  <si>
    <t>nuoF</t>
  </si>
  <si>
    <t>lplA</t>
  </si>
  <si>
    <t>hemN</t>
  </si>
  <si>
    <t>typA</t>
  </si>
  <si>
    <t>yiiM</t>
  </si>
  <si>
    <t>yiiQ</t>
  </si>
  <si>
    <t>yiiS</t>
  </si>
  <si>
    <t>fdoG</t>
  </si>
  <si>
    <t>fdhD</t>
  </si>
  <si>
    <t>gph</t>
  </si>
  <si>
    <t>nudC</t>
  </si>
  <si>
    <t>fsaB</t>
  </si>
  <si>
    <t>yjaG</t>
  </si>
  <si>
    <t>rluF</t>
  </si>
  <si>
    <t>dusA</t>
  </si>
  <si>
    <t>actP</t>
  </si>
  <si>
    <t>mdtO</t>
  </si>
  <si>
    <t>yeiR</t>
  </si>
  <si>
    <t>mdoG</t>
  </si>
  <si>
    <t>gcvP</t>
  </si>
  <si>
    <t>yebE</t>
  </si>
  <si>
    <t>yebF</t>
  </si>
  <si>
    <t>purT</t>
  </si>
  <si>
    <t>aidB</t>
  </si>
  <si>
    <t>yehZ</t>
  </si>
  <si>
    <t>bglX</t>
  </si>
  <si>
    <t>yohF</t>
  </si>
  <si>
    <t>tktB</t>
  </si>
  <si>
    <t>nikA</t>
  </si>
  <si>
    <t>recX</t>
  </si>
  <si>
    <t>nuoC</t>
  </si>
  <si>
    <t>nuoG</t>
  </si>
  <si>
    <t>nuoL</t>
  </si>
  <si>
    <t>rluD</t>
  </si>
  <si>
    <t>yfiH</t>
  </si>
  <si>
    <t>yejA</t>
  </si>
  <si>
    <t>yejF</t>
  </si>
  <si>
    <t>napA</t>
  </si>
  <si>
    <t>ydcF</t>
  </si>
  <si>
    <t>ahpF</t>
  </si>
  <si>
    <t>cueO</t>
  </si>
  <si>
    <t>dsbD</t>
  </si>
  <si>
    <t>cbpA</t>
  </si>
  <si>
    <t>treB</t>
  </si>
  <si>
    <t>zapD</t>
  </si>
  <si>
    <t>acnB</t>
  </si>
  <si>
    <t>rdgC</t>
  </si>
  <si>
    <t>lrhA</t>
  </si>
  <si>
    <t>pgm</t>
  </si>
  <si>
    <t>rlmN</t>
  </si>
  <si>
    <t>purU</t>
  </si>
  <si>
    <t>pepB</t>
  </si>
  <si>
    <t>nudK</t>
  </si>
  <si>
    <t>fxsA</t>
  </si>
  <si>
    <t>hybD</t>
  </si>
  <si>
    <t>gatB</t>
  </si>
  <si>
    <t>slp</t>
  </si>
  <si>
    <t>dppF</t>
  </si>
  <si>
    <t>ybcH</t>
  </si>
  <si>
    <t>modA</t>
  </si>
  <si>
    <t>glcB</t>
  </si>
  <si>
    <t>lhgO</t>
  </si>
  <si>
    <t>yjjI</t>
  </si>
  <si>
    <t>dhaM</t>
  </si>
  <si>
    <t>rpiB</t>
  </si>
  <si>
    <t>xylF</t>
  </si>
  <si>
    <t>ucpA</t>
  </si>
  <si>
    <t>iaaA</t>
  </si>
  <si>
    <t>panM</t>
  </si>
  <si>
    <t>zntA</t>
  </si>
  <si>
    <t>yhiI</t>
  </si>
  <si>
    <t>yhiN</t>
  </si>
  <si>
    <t>rlmJ</t>
  </si>
  <si>
    <t>mdtE</t>
  </si>
  <si>
    <t>mdtF</t>
  </si>
  <si>
    <t>yhjD</t>
  </si>
  <si>
    <t>yhjG</t>
  </si>
  <si>
    <t>kdgK</t>
  </si>
  <si>
    <t>yhjJ</t>
  </si>
  <si>
    <t>yhjK</t>
  </si>
  <si>
    <t>yiaD</t>
  </si>
  <si>
    <t>ghrB</t>
  </si>
  <si>
    <t>aldB</t>
  </si>
  <si>
    <t>gpmI</t>
  </si>
  <si>
    <t>envC</t>
  </si>
  <si>
    <t>rfaF</t>
  </si>
  <si>
    <t>rfbA</t>
  </si>
  <si>
    <t>glf</t>
  </si>
  <si>
    <t>rfbB</t>
  </si>
  <si>
    <t>rfbD</t>
  </si>
  <si>
    <t>rluB</t>
  </si>
  <si>
    <t>yfhH</t>
  </si>
  <si>
    <t>mpl</t>
  </si>
  <si>
    <t>gltI</t>
  </si>
  <si>
    <t>uspF</t>
  </si>
  <si>
    <t>cysJ</t>
  </si>
  <si>
    <t>menF</t>
  </si>
  <si>
    <t>nfsB</t>
  </si>
  <si>
    <t>degQ</t>
  </si>
  <si>
    <t>uxuB</t>
  </si>
  <si>
    <t>uxuR</t>
  </si>
  <si>
    <t>znuA</t>
  </si>
  <si>
    <t>yeaD</t>
  </si>
  <si>
    <t>erfK</t>
  </si>
  <si>
    <t>uspG</t>
  </si>
  <si>
    <t>ytfJ</t>
  </si>
  <si>
    <t>prmB</t>
  </si>
  <si>
    <t>alsB</t>
  </si>
  <si>
    <t>yjdJ</t>
  </si>
  <si>
    <t>mscM</t>
  </si>
  <si>
    <t>rsgA</t>
  </si>
  <si>
    <t>bsmA</t>
  </si>
  <si>
    <t>yjfP</t>
  </si>
  <si>
    <t>ytfB</t>
  </si>
  <si>
    <t>qorB</t>
  </si>
  <si>
    <t>tamB</t>
  </si>
  <si>
    <t>ytfQ</t>
  </si>
  <si>
    <t>yjgH</t>
  </si>
  <si>
    <t>yjgM</t>
  </si>
  <si>
    <t>yjgR</t>
  </si>
  <si>
    <t>yjhU</t>
  </si>
  <si>
    <t>yjhG</t>
  </si>
  <si>
    <t>sgcA</t>
  </si>
  <si>
    <t>sgcX</t>
  </si>
  <si>
    <t>nanM</t>
  </si>
  <si>
    <t>iadA</t>
  </si>
  <si>
    <t>yjiN</t>
  </si>
  <si>
    <t>yjiY</t>
  </si>
  <si>
    <t>rsmC</t>
  </si>
  <si>
    <t>yjjU</t>
  </si>
  <si>
    <t>yjjV</t>
  </si>
  <si>
    <t>yjjX</t>
  </si>
  <si>
    <t>adhP</t>
  </si>
  <si>
    <t>garD</t>
  </si>
  <si>
    <t>ybaL</t>
  </si>
  <si>
    <t>ydfG</t>
  </si>
  <si>
    <t>rcsD</t>
  </si>
  <si>
    <t>mdoD</t>
  </si>
  <si>
    <t>pdxK</t>
  </si>
  <si>
    <t>nlpE</t>
  </si>
  <si>
    <t>solA</t>
  </si>
  <si>
    <t>azoR</t>
  </si>
  <si>
    <t>rihA</t>
  </si>
  <si>
    <t>ygjK</t>
  </si>
  <si>
    <t>fadH</t>
  </si>
  <si>
    <t>ygjR</t>
  </si>
  <si>
    <t>uxaA</t>
  </si>
  <si>
    <t>yqjC</t>
  </si>
  <si>
    <t>yqjG</t>
  </si>
  <si>
    <t>tdcE</t>
  </si>
  <si>
    <t>obgE</t>
  </si>
  <si>
    <t>agaV</t>
  </si>
  <si>
    <t>lpxH</t>
  </si>
  <si>
    <t>pqiB</t>
  </si>
  <si>
    <t>uup</t>
  </si>
  <si>
    <t>kdsD</t>
  </si>
  <si>
    <t>yhcH</t>
  </si>
  <si>
    <t>nanK</t>
  </si>
  <si>
    <t>lpoA</t>
  </si>
  <si>
    <t>yhbO</t>
  </si>
  <si>
    <t>fkpA</t>
  </si>
  <si>
    <t>tusB</t>
  </si>
  <si>
    <t>dxr</t>
  </si>
  <si>
    <t>proQ</t>
  </si>
  <si>
    <t>luxS</t>
  </si>
  <si>
    <t>tsaC</t>
  </si>
  <si>
    <t>yrdD</t>
  </si>
  <si>
    <t>nudE</t>
  </si>
  <si>
    <t>yrfF</t>
  </si>
  <si>
    <t>cpoB</t>
  </si>
  <si>
    <t>yajI</t>
  </si>
  <si>
    <t>yedI</t>
  </si>
  <si>
    <t>ybhC</t>
  </si>
  <si>
    <t>yhdP</t>
  </si>
  <si>
    <t>yhgF</t>
  </si>
  <si>
    <t>rtcA</t>
  </si>
  <si>
    <t>yhhW</t>
  </si>
  <si>
    <t>yhhX</t>
  </si>
  <si>
    <t>torZ</t>
  </si>
  <si>
    <t>aer</t>
  </si>
  <si>
    <t>yaiL</t>
  </si>
  <si>
    <t>ycjG</t>
  </si>
  <si>
    <t>yecM</t>
  </si>
  <si>
    <t>rdgB</t>
  </si>
  <si>
    <t>glcE</t>
  </si>
  <si>
    <t>yaeR</t>
  </si>
  <si>
    <t>rstA</t>
  </si>
  <si>
    <t>ratB</t>
  </si>
  <si>
    <t>fliI</t>
  </si>
  <si>
    <t>ldhA</t>
  </si>
  <si>
    <t>ydbK</t>
  </si>
  <si>
    <t>pgl</t>
  </si>
  <si>
    <t>ygaP</t>
  </si>
  <si>
    <t>ysgA</t>
  </si>
  <si>
    <t>srlE</t>
  </si>
  <si>
    <t>rapA</t>
  </si>
  <si>
    <t>mukF</t>
  </si>
  <si>
    <t>truB</t>
  </si>
  <si>
    <t>rsmH</t>
  </si>
  <si>
    <t>rplB</t>
  </si>
  <si>
    <t>rplC</t>
  </si>
  <si>
    <t>ispU</t>
  </si>
  <si>
    <t>gmk</t>
  </si>
  <si>
    <t>guaC</t>
  </si>
  <si>
    <t>fixA</t>
  </si>
  <si>
    <t>hisH</t>
  </si>
  <si>
    <t>rplX</t>
  </si>
  <si>
    <t>speB</t>
  </si>
  <si>
    <t>hisF</t>
  </si>
  <si>
    <t>rplD</t>
  </si>
  <si>
    <t>msbA</t>
  </si>
  <si>
    <t>hisG</t>
  </si>
  <si>
    <t>lepA</t>
  </si>
  <si>
    <t>yidE</t>
  </si>
  <si>
    <t>hisS</t>
  </si>
  <si>
    <t>rplV</t>
  </si>
  <si>
    <t>lolA</t>
  </si>
  <si>
    <t>lolB</t>
  </si>
  <si>
    <t>can</t>
  </si>
  <si>
    <t>ribE</t>
  </si>
  <si>
    <t>mdh</t>
  </si>
  <si>
    <t>fldA</t>
  </si>
  <si>
    <t>rplE</t>
  </si>
  <si>
    <t>mdoH</t>
  </si>
  <si>
    <t>ispE</t>
  </si>
  <si>
    <t>ispF</t>
  </si>
  <si>
    <t>ispG</t>
  </si>
  <si>
    <t>ispH</t>
  </si>
  <si>
    <t>apaG</t>
  </si>
  <si>
    <t>gpmA</t>
  </si>
  <si>
    <t>yaeH</t>
  </si>
  <si>
    <t>nfuA</t>
  </si>
  <si>
    <t>rlmB</t>
  </si>
  <si>
    <t>gadE</t>
  </si>
  <si>
    <t>gmhA</t>
  </si>
  <si>
    <t>gmhB</t>
  </si>
  <si>
    <t>gadC</t>
  </si>
  <si>
    <t>clpB</t>
  </si>
  <si>
    <t>yqeG</t>
  </si>
  <si>
    <t>mlaF</t>
  </si>
  <si>
    <t>yheS</t>
  </si>
  <si>
    <t>amiC</t>
  </si>
  <si>
    <t>ypfJ</t>
  </si>
  <si>
    <t>ydcL</t>
  </si>
  <si>
    <t>ydcY</t>
  </si>
  <si>
    <t>lsrG</t>
  </si>
  <si>
    <t>ydfZ</t>
  </si>
  <si>
    <t>cnu</t>
  </si>
  <si>
    <t>ydiZ</t>
  </si>
  <si>
    <t>yeaK</t>
  </si>
  <si>
    <t>yebV</t>
  </si>
  <si>
    <t>yebY</t>
  </si>
  <si>
    <t>yecN</t>
  </si>
  <si>
    <t>yodD</t>
  </si>
  <si>
    <t>rcnR</t>
  </si>
  <si>
    <t>rcnB</t>
  </si>
  <si>
    <t>queE</t>
  </si>
  <si>
    <t>yggT</t>
  </si>
  <si>
    <t>yqjD</t>
  </si>
  <si>
    <t>yqjE</t>
  </si>
  <si>
    <t>yqjI</t>
  </si>
  <si>
    <t>yhaV</t>
  </si>
  <si>
    <t>yraP</t>
  </si>
  <si>
    <t>mlaB</t>
  </si>
  <si>
    <t>mlaD</t>
  </si>
  <si>
    <t>mlaE</t>
  </si>
  <si>
    <t>yhcO</t>
  </si>
  <si>
    <t>yheO</t>
  </si>
  <si>
    <t>ygdI</t>
  </si>
  <si>
    <t>yqcA</t>
  </si>
  <si>
    <t>yfcD</t>
  </si>
  <si>
    <t>ygeY</t>
  </si>
  <si>
    <t>queD</t>
  </si>
  <si>
    <t>ygeX</t>
  </si>
  <si>
    <t>bepA</t>
  </si>
  <si>
    <t>yggS</t>
  </si>
  <si>
    <t>yfcE</t>
  </si>
  <si>
    <t>yqhA</t>
  </si>
  <si>
    <t>yqfB</t>
  </si>
  <si>
    <t>yhaJ</t>
  </si>
  <si>
    <t>cutC</t>
  </si>
  <si>
    <t>hldD</t>
  </si>
  <si>
    <t>grcA</t>
  </si>
  <si>
    <t>malK</t>
  </si>
  <si>
    <t>sra</t>
  </si>
  <si>
    <t>yjbJ</t>
  </si>
  <si>
    <t>rpsU</t>
  </si>
  <si>
    <t>grxA</t>
  </si>
  <si>
    <t>atpE</t>
  </si>
  <si>
    <t>pepA</t>
  </si>
  <si>
    <t>rplY</t>
  </si>
  <si>
    <t>sdhC</t>
  </si>
  <si>
    <t>infA</t>
  </si>
  <si>
    <t>baeR</t>
  </si>
  <si>
    <t>yefM</t>
  </si>
  <si>
    <t>rcsF</t>
  </si>
  <si>
    <t>tatB</t>
  </si>
  <si>
    <t>tatA</t>
  </si>
  <si>
    <t>adk</t>
  </si>
  <si>
    <t>fadD</t>
  </si>
  <si>
    <t>apt</t>
  </si>
  <si>
    <t>ytfE</t>
  </si>
  <si>
    <t>hyaA</t>
  </si>
  <si>
    <t>hybO</t>
  </si>
  <si>
    <t>lpp</t>
  </si>
  <si>
    <t>crr</t>
  </si>
  <si>
    <t>ptsG</t>
  </si>
  <si>
    <t>chbB</t>
  </si>
  <si>
    <t>manX</t>
  </si>
  <si>
    <t>manY</t>
  </si>
  <si>
    <t>manZ</t>
  </si>
  <si>
    <t>fruB</t>
  </si>
  <si>
    <t>ulaC</t>
  </si>
  <si>
    <t>ulaB</t>
  </si>
  <si>
    <t>gatA</t>
  </si>
  <si>
    <t>ptsN</t>
  </si>
  <si>
    <t>gatC</t>
  </si>
  <si>
    <t>dmsD</t>
  </si>
  <si>
    <t>potA</t>
  </si>
  <si>
    <t>gadA</t>
  </si>
  <si>
    <t>gadB</t>
  </si>
  <si>
    <t>csrA</t>
  </si>
  <si>
    <t>fucI</t>
  </si>
  <si>
    <t>nrdB</t>
  </si>
  <si>
    <t>yagE</t>
  </si>
  <si>
    <t>yahK</t>
  </si>
  <si>
    <t>yahO</t>
  </si>
  <si>
    <t>allE</t>
  </si>
  <si>
    <t>ubiF</t>
  </si>
  <si>
    <t>ybfF</t>
  </si>
  <si>
    <t>ybgK</t>
  </si>
  <si>
    <t>ybhK</t>
  </si>
  <si>
    <t>ybhG</t>
  </si>
  <si>
    <t>rlmF</t>
  </si>
  <si>
    <t>ybiV</t>
  </si>
  <si>
    <t>gsiB</t>
  </si>
  <si>
    <t>ybjP</t>
  </si>
  <si>
    <t>ltaE</t>
  </si>
  <si>
    <t>ycbX</t>
  </si>
  <si>
    <t>rlmL</t>
  </si>
  <si>
    <t>yccU</t>
  </si>
  <si>
    <t>rlmI</t>
  </si>
  <si>
    <t>ghrA</t>
  </si>
  <si>
    <t>ycdX</t>
  </si>
  <si>
    <t>ycdY</t>
  </si>
  <si>
    <t>yceM</t>
  </si>
  <si>
    <t>flgE</t>
  </si>
  <si>
    <t>comR</t>
  </si>
  <si>
    <t>nagK</t>
  </si>
  <si>
    <t>cobB</t>
  </si>
  <si>
    <t>rluE</t>
  </si>
  <si>
    <t>cohE</t>
  </si>
  <si>
    <t>ycgJ</t>
  </si>
  <si>
    <t>pliG</t>
  </si>
  <si>
    <t>ycgM</t>
  </si>
  <si>
    <t>ldcA</t>
  </si>
  <si>
    <t>dhaL</t>
  </si>
  <si>
    <t>dhaK</t>
  </si>
  <si>
    <t>oppD</t>
  </si>
  <si>
    <t>ycjX</t>
  </si>
  <si>
    <t>ycjY</t>
  </si>
  <si>
    <t>ttcA</t>
  </si>
  <si>
    <t>racR</t>
  </si>
  <si>
    <t>paaX</t>
  </si>
  <si>
    <t>ydcJ</t>
  </si>
  <si>
    <t>ydcK</t>
  </si>
  <si>
    <t>ydcS</t>
  </si>
  <si>
    <t>curA</t>
  </si>
  <si>
    <t>yncE</t>
  </si>
  <si>
    <t>yddH</t>
  </si>
  <si>
    <t>ddpA</t>
  </si>
  <si>
    <t>lsrB</t>
  </si>
  <si>
    <t>lsrF</t>
  </si>
  <si>
    <t>tam</t>
  </si>
  <si>
    <t>sad</t>
  </si>
  <si>
    <t>ynfD</t>
  </si>
  <si>
    <t>ynfH</t>
  </si>
  <si>
    <t>ydgD</t>
  </si>
  <si>
    <t>ydgH</t>
  </si>
  <si>
    <t>ydhF</t>
  </si>
  <si>
    <t>ydhV</t>
  </si>
  <si>
    <t>ynhG</t>
  </si>
  <si>
    <t>sufE</t>
  </si>
  <si>
    <t>ydiY</t>
  </si>
  <si>
    <t>astB</t>
  </si>
  <si>
    <t>astD</t>
  </si>
  <si>
    <t>ydjY</t>
  </si>
  <si>
    <t>ynjB</t>
  </si>
  <si>
    <t>ynjH</t>
  </si>
  <si>
    <t>yeaH</t>
  </si>
  <si>
    <t>yeaO</t>
  </si>
  <si>
    <t>dmlA</t>
  </si>
  <si>
    <t>tsaB</t>
  </si>
  <si>
    <t>kdgR</t>
  </si>
  <si>
    <t>msrC</t>
  </si>
  <si>
    <t>yebT</t>
  </si>
  <si>
    <t>cmoA</t>
  </si>
  <si>
    <t>flhA</t>
  </si>
  <si>
    <t>dcyD</t>
  </si>
  <si>
    <t>yedK</t>
  </si>
  <si>
    <t>yedP</t>
  </si>
  <si>
    <t>msrP</t>
  </si>
  <si>
    <t>mtfA</t>
  </si>
  <si>
    <t>wzzB</t>
  </si>
  <si>
    <t>mdtA</t>
  </si>
  <si>
    <t>yegP</t>
  </si>
  <si>
    <t>yegQ</t>
  </si>
  <si>
    <t>yegS</t>
  </si>
  <si>
    <t>preT</t>
  </si>
  <si>
    <t>lpxT</t>
  </si>
  <si>
    <t>sixA</t>
  </si>
  <si>
    <t>mlaA</t>
  </si>
  <si>
    <t>murQ</t>
  </si>
  <si>
    <t>yfeX</t>
  </si>
  <si>
    <t>yfeY</t>
  </si>
  <si>
    <t>eutL</t>
  </si>
  <si>
    <t>yffS</t>
  </si>
  <si>
    <t>eutQ</t>
  </si>
  <si>
    <t>maeB</t>
  </si>
  <si>
    <t>ypfH</t>
  </si>
  <si>
    <t>yfgD</t>
  </si>
  <si>
    <t>yfgJ</t>
  </si>
  <si>
    <t>yfgM</t>
  </si>
  <si>
    <t>yfhM</t>
  </si>
  <si>
    <t>pka</t>
  </si>
  <si>
    <t>csiD</t>
  </si>
  <si>
    <t>hldE</t>
  </si>
  <si>
    <t>ydhS</t>
  </si>
  <si>
    <t>ykfB</t>
  </si>
  <si>
    <t>zipA</t>
  </si>
  <si>
    <t>paaY</t>
  </si>
  <si>
    <t>dsbG</t>
  </si>
  <si>
    <t>rclA</t>
  </si>
  <si>
    <t>ybdK</t>
  </si>
  <si>
    <t>rhmD</t>
  </si>
  <si>
    <t>prpD</t>
  </si>
  <si>
    <t>yniC</t>
  </si>
  <si>
    <t>ykgE</t>
  </si>
  <si>
    <t>nemA</t>
  </si>
  <si>
    <t>yphF</t>
  </si>
  <si>
    <t>rsxG</t>
  </si>
  <si>
    <t>ydeN</t>
  </si>
  <si>
    <t>borD</t>
  </si>
  <si>
    <t>mscK</t>
  </si>
  <si>
    <t>mppA</t>
  </si>
  <si>
    <t>ybcL</t>
  </si>
  <si>
    <t>ydgJ</t>
  </si>
  <si>
    <t>ybbN</t>
  </si>
  <si>
    <t>ykgG</t>
  </si>
  <si>
    <t>alaC</t>
  </si>
  <si>
    <t>sufS</t>
  </si>
  <si>
    <t>glsA1</t>
  </si>
  <si>
    <t>dxs</t>
  </si>
  <si>
    <t>sufC</t>
  </si>
  <si>
    <t>sufB</t>
  </si>
  <si>
    <t>yfcG</t>
  </si>
  <si>
    <t>ydjN</t>
  </si>
  <si>
    <t>prpB</t>
  </si>
  <si>
    <t>yfcF</t>
  </si>
  <si>
    <t>ydhQ</t>
  </si>
  <si>
    <t>yahJ</t>
  </si>
  <si>
    <t>yaiW</t>
  </si>
  <si>
    <t>astC</t>
  </si>
  <si>
    <t>rsxC</t>
  </si>
  <si>
    <t>yfbT</t>
  </si>
  <si>
    <t>allB</t>
  </si>
  <si>
    <t>prr</t>
  </si>
  <si>
    <t>sufD</t>
  </si>
  <si>
    <t>gnsB</t>
  </si>
  <si>
    <t>fadM</t>
  </si>
  <si>
    <t>yagH</t>
  </si>
  <si>
    <t>thiI</t>
  </si>
  <si>
    <t>ydjF</t>
  </si>
  <si>
    <t>yajO</t>
  </si>
  <si>
    <t>oppF</t>
  </si>
  <si>
    <t>yniA</t>
  </si>
  <si>
    <t>ydiJ</t>
  </si>
  <si>
    <t>spy</t>
  </si>
  <si>
    <t>queC</t>
  </si>
  <si>
    <t>bamB</t>
  </si>
  <si>
    <t>yfcH</t>
  </si>
  <si>
    <t>ynfF</t>
  </si>
  <si>
    <t>maa</t>
  </si>
  <si>
    <t>ydgA</t>
  </si>
  <si>
    <t>yfaY</t>
  </si>
  <si>
    <t>fsaA</t>
  </si>
  <si>
    <t>ynjE</t>
  </si>
  <si>
    <t>feaB</t>
  </si>
  <si>
    <t>yibT</t>
  </si>
  <si>
    <t>yobH</t>
  </si>
  <si>
    <t>xdhA</t>
  </si>
  <si>
    <t>xdhC</t>
  </si>
  <si>
    <t>ygeW</t>
  </si>
  <si>
    <t>yqeA</t>
  </si>
  <si>
    <t>ygfK</t>
  </si>
  <si>
    <t>xdhD</t>
  </si>
  <si>
    <t>idi</t>
  </si>
  <si>
    <t>bglA</t>
  </si>
  <si>
    <t>yghU</t>
  </si>
  <si>
    <t>gpr</t>
  </si>
  <si>
    <t>yqhD</t>
  </si>
  <si>
    <t>dkgA</t>
  </si>
  <si>
    <t>ygiS</t>
  </si>
  <si>
    <t>mqsA</t>
  </si>
  <si>
    <t>yqiC</t>
  </si>
  <si>
    <t>yqjH</t>
  </si>
  <si>
    <t>ispD</t>
  </si>
  <si>
    <t>queF</t>
  </si>
  <si>
    <t>kduI</t>
  </si>
  <si>
    <t>yajL</t>
  </si>
  <si>
    <t>fadE</t>
  </si>
  <si>
    <t>yafJ</t>
  </si>
  <si>
    <t>dinJ</t>
  </si>
  <si>
    <t>yafO</t>
  </si>
  <si>
    <t>sapA</t>
  </si>
  <si>
    <t>yafV</t>
  </si>
  <si>
    <t>mmuM</t>
  </si>
  <si>
    <t>truD</t>
  </si>
  <si>
    <t>copA</t>
  </si>
  <si>
    <t>nudF</t>
  </si>
  <si>
    <t>kgtP</t>
  </si>
  <si>
    <t>yrdA</t>
  </si>
  <si>
    <t>mobB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</si>
</sst>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1643"/>
  <sheetViews>
    <sheetView tabSelected="1" workbookViewId="0"/>
  </sheetViews>
  <sheetFormatPr defaultRowHeight="15"/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 t="s">
        <v>28</v>
      </c>
      <c r="B2">
        <v>0.999984544473304</v>
      </c>
      <c r="C2">
        <v>1.760420867057</v>
      </c>
      <c r="D2">
        <v>0.671203858248079</v>
      </c>
      <c r="E2">
        <v>0.530344149106626</v>
      </c>
      <c r="F2">
        <v>0.235938961462185</v>
      </c>
      <c r="G2">
        <v>0.238567756697513</v>
      </c>
      <c r="H2">
        <v>0.08836631136751361</v>
      </c>
      <c r="I2">
        <v>0.0481914367096385</v>
      </c>
      <c r="J2">
        <v>0.0328331073489247</v>
      </c>
      <c r="K2">
        <v>0.0351587493579136</v>
      </c>
      <c r="L2">
        <v>1075.95478817082</v>
      </c>
      <c r="M2">
        <v>23.1373059741289</v>
      </c>
      <c r="N2">
        <v>46.8436650093046</v>
      </c>
      <c r="O2">
        <v>46.1598399703032</v>
      </c>
      <c r="P2">
        <v>-0.115610422824544</v>
      </c>
      <c r="Q2">
        <v>0.077427705587301</v>
      </c>
      <c r="R2">
        <v>0.760228506155073</v>
      </c>
      <c r="S2" t="s">
        <v>1670</v>
      </c>
      <c r="T2" t="s">
        <v>3312</v>
      </c>
      <c r="U2" t="s">
        <v>3312</v>
      </c>
      <c r="V2" t="s">
        <v>3312</v>
      </c>
      <c r="W2" t="s">
        <v>3314</v>
      </c>
      <c r="X2">
        <v>6</v>
      </c>
      <c r="Y2" t="s">
        <v>4953</v>
      </c>
      <c r="Z2" t="s">
        <v>6595</v>
      </c>
      <c r="AA2">
        <v>0.3786700599900727</v>
      </c>
      <c r="AB2">
        <f>HYPERLINK("Melting_Curves/meltCurve_G0ZKW2_lacZ.pdf", "Melting_Curves/meltCurve_G0ZKW2_lacZ.pdf")</f>
        <v>0</v>
      </c>
    </row>
    <row r="3" spans="1:28">
      <c r="A3" t="s">
        <v>29</v>
      </c>
      <c r="B3">
        <v>0.999984544473304</v>
      </c>
      <c r="C3">
        <v>0.912085516933631</v>
      </c>
      <c r="D3">
        <v>0.94973943008221</v>
      </c>
      <c r="E3">
        <v>0.66949339656079</v>
      </c>
      <c r="F3">
        <v>0.7082212974863979</v>
      </c>
      <c r="G3">
        <v>0.571970463808291</v>
      </c>
      <c r="H3">
        <v>0.382502336476178</v>
      </c>
      <c r="I3">
        <v>0.09074499282994999</v>
      </c>
      <c r="J3">
        <v>0.0594308492205446</v>
      </c>
      <c r="K3">
        <v>0.04734390900023</v>
      </c>
      <c r="L3">
        <v>592.489486357003</v>
      </c>
      <c r="M3">
        <v>11.130587534341</v>
      </c>
      <c r="N3">
        <v>53.2307478718304</v>
      </c>
      <c r="O3">
        <v>51.5992122386255</v>
      </c>
      <c r="P3">
        <v>-0.0539454807804403</v>
      </c>
      <c r="Q3">
        <v>0</v>
      </c>
      <c r="R3">
        <v>0.94769182672949</v>
      </c>
      <c r="S3" t="s">
        <v>1671</v>
      </c>
      <c r="T3" t="s">
        <v>3312</v>
      </c>
      <c r="U3" t="s">
        <v>3312</v>
      </c>
      <c r="V3" t="s">
        <v>3312</v>
      </c>
      <c r="W3" t="s">
        <v>3315</v>
      </c>
      <c r="X3">
        <v>13</v>
      </c>
      <c r="Y3" t="s">
        <v>4954</v>
      </c>
      <c r="Z3" t="s">
        <v>6596</v>
      </c>
      <c r="AA3">
        <v>0.5619928196635106</v>
      </c>
      <c r="AB3">
        <f>HYPERLINK("Melting_Curves/meltCurve_P00350_gnd.pdf", "Melting_Curves/meltCurve_P00350_gnd.pdf")</f>
        <v>0</v>
      </c>
    </row>
    <row r="4" spans="1:28">
      <c r="A4" t="s">
        <v>30</v>
      </c>
      <c r="B4">
        <v>0.999984544473304</v>
      </c>
      <c r="C4">
        <v>1.21355844190537</v>
      </c>
      <c r="D4">
        <v>0.8911310940500889</v>
      </c>
      <c r="E4">
        <v>0.789767600990647</v>
      </c>
      <c r="F4">
        <v>0.271329052735833</v>
      </c>
      <c r="G4">
        <v>0.112426838438069</v>
      </c>
      <c r="H4">
        <v>0.0904577899117011</v>
      </c>
      <c r="I4">
        <v>0.0754562194952087</v>
      </c>
      <c r="J4">
        <v>0.0561663306647303</v>
      </c>
      <c r="K4">
        <v>0.0585269817312654</v>
      </c>
      <c r="L4">
        <v>1508.34271626204</v>
      </c>
      <c r="M4">
        <v>31.2449663881455</v>
      </c>
      <c r="N4">
        <v>48.5024719921316</v>
      </c>
      <c r="O4">
        <v>48.0782858286649</v>
      </c>
      <c r="P4">
        <v>-0.151385724702904</v>
      </c>
      <c r="Q4">
        <v>0.0682242079869342</v>
      </c>
      <c r="R4">
        <v>0.971222455311513</v>
      </c>
      <c r="S4" t="s">
        <v>1672</v>
      </c>
      <c r="T4" t="s">
        <v>3312</v>
      </c>
      <c r="U4" t="s">
        <v>3312</v>
      </c>
      <c r="V4" t="s">
        <v>3312</v>
      </c>
      <c r="W4" t="s">
        <v>3316</v>
      </c>
      <c r="X4">
        <v>11</v>
      </c>
      <c r="Y4" t="s">
        <v>4955</v>
      </c>
      <c r="Z4" t="s">
        <v>6597</v>
      </c>
      <c r="AA4">
        <v>0.4235208513641877</v>
      </c>
      <c r="AB4">
        <f>HYPERLINK("Melting_Curves/meltCurve_P00363_frdA.pdf", "Melting_Curves/meltCurve_P00363_frdA.pdf")</f>
        <v>0</v>
      </c>
    </row>
    <row r="5" spans="1:28">
      <c r="A5" t="s">
        <v>31</v>
      </c>
      <c r="B5">
        <v>0.999984544473304</v>
      </c>
      <c r="C5">
        <v>1.16716848798023</v>
      </c>
      <c r="D5">
        <v>1.02848526344203</v>
      </c>
      <c r="E5">
        <v>0.958423551912546</v>
      </c>
      <c r="F5">
        <v>0.730086383779103</v>
      </c>
      <c r="G5">
        <v>0.990077604810559</v>
      </c>
      <c r="H5">
        <v>0.469805858582503</v>
      </c>
      <c r="I5">
        <v>0.0911845762577308</v>
      </c>
      <c r="J5">
        <v>0.0363308337483569</v>
      </c>
      <c r="K5">
        <v>0.0259132310191541</v>
      </c>
      <c r="L5">
        <v>2909.87985869411</v>
      </c>
      <c r="M5">
        <v>50.870840507375</v>
      </c>
      <c r="N5">
        <v>57.284646742842</v>
      </c>
      <c r="O5">
        <v>57.1131442016025</v>
      </c>
      <c r="P5">
        <v>-0.214735778551836</v>
      </c>
      <c r="Q5">
        <v>0.0356577089258057</v>
      </c>
      <c r="R5">
        <v>0.944082086085185</v>
      </c>
      <c r="S5" t="s">
        <v>1673</v>
      </c>
      <c r="T5" t="s">
        <v>3312</v>
      </c>
      <c r="U5" t="s">
        <v>3312</v>
      </c>
      <c r="V5" t="s">
        <v>3312</v>
      </c>
      <c r="W5" t="s">
        <v>3317</v>
      </c>
      <c r="X5">
        <v>9</v>
      </c>
      <c r="Y5" t="s">
        <v>4956</v>
      </c>
      <c r="Z5" t="s">
        <v>6598</v>
      </c>
      <c r="AA5">
        <v>0.6873439477129893</v>
      </c>
      <c r="AB5">
        <f>HYPERLINK("Melting_Curves/meltCurve_P00370_gdhA.pdf", "Melting_Curves/meltCurve_P00370_gdhA.pdf")</f>
        <v>0</v>
      </c>
    </row>
    <row r="6" spans="1:28">
      <c r="A6" t="s">
        <v>32</v>
      </c>
      <c r="B6">
        <v>0.999984544473304</v>
      </c>
      <c r="C6">
        <v>1.01483388819479</v>
      </c>
      <c r="D6">
        <v>0.547257852489048</v>
      </c>
      <c r="E6">
        <v>0.307550148082819</v>
      </c>
      <c r="F6">
        <v>0.208679928314295</v>
      </c>
      <c r="G6">
        <v>0.106465393026212</v>
      </c>
      <c r="H6">
        <v>0.0790237624349631</v>
      </c>
      <c r="I6">
        <v>0.06901314256337381</v>
      </c>
      <c r="J6">
        <v>0.0467506865059725</v>
      </c>
      <c r="K6">
        <v>0.0599912706209765</v>
      </c>
      <c r="L6">
        <v>933.147100657613</v>
      </c>
      <c r="M6">
        <v>21.2956854835433</v>
      </c>
      <c r="N6">
        <v>44.180430033172</v>
      </c>
      <c r="O6">
        <v>43.4377022342325</v>
      </c>
      <c r="P6">
        <v>-0.112759419198455</v>
      </c>
      <c r="Q6">
        <v>0.0800229856707325</v>
      </c>
      <c r="R6">
        <v>0.978218239393439</v>
      </c>
      <c r="S6" t="s">
        <v>1674</v>
      </c>
      <c r="T6" t="s">
        <v>3312</v>
      </c>
      <c r="U6" t="s">
        <v>3312</v>
      </c>
      <c r="V6" t="s">
        <v>3312</v>
      </c>
      <c r="W6" t="s">
        <v>3318</v>
      </c>
      <c r="X6">
        <v>4</v>
      </c>
      <c r="Y6" t="s">
        <v>4957</v>
      </c>
      <c r="Z6" t="s">
        <v>6599</v>
      </c>
      <c r="AA6">
        <v>0.2998964508651262</v>
      </c>
      <c r="AB6">
        <f>HYPERLINK("Melting_Curves/meltCurve_P00393_ndh.pdf", "Melting_Curves/meltCurve_P00393_ndh.pdf")</f>
        <v>0</v>
      </c>
    </row>
    <row r="7" spans="1:28">
      <c r="A7" t="s">
        <v>33</v>
      </c>
      <c r="B7">
        <v>0.999984544473304</v>
      </c>
      <c r="C7">
        <v>0.75333388523239</v>
      </c>
      <c r="D7">
        <v>1.17209982641793</v>
      </c>
      <c r="E7">
        <v>1.02348512792279</v>
      </c>
      <c r="F7">
        <v>1.57452542096047</v>
      </c>
      <c r="G7">
        <v>1.26382163540851</v>
      </c>
      <c r="H7">
        <v>1.44408392815921</v>
      </c>
      <c r="I7">
        <v>1.25738355502988</v>
      </c>
      <c r="J7">
        <v>0.969035466463734</v>
      </c>
      <c r="K7">
        <v>0.583582836602894</v>
      </c>
      <c r="L7">
        <v>15000</v>
      </c>
      <c r="M7">
        <v>231.487175814312</v>
      </c>
      <c r="O7">
        <v>64.7935695905996</v>
      </c>
      <c r="P7">
        <v>-0.372117024971918</v>
      </c>
      <c r="Q7">
        <v>0.583375791807939</v>
      </c>
      <c r="R7">
        <v>0.0803874419646932</v>
      </c>
      <c r="S7" t="s">
        <v>1675</v>
      </c>
      <c r="T7" t="s">
        <v>3312</v>
      </c>
      <c r="U7" t="s">
        <v>3312</v>
      </c>
      <c r="V7" t="s">
        <v>3312</v>
      </c>
      <c r="W7" t="s">
        <v>3319</v>
      </c>
      <c r="X7">
        <v>4</v>
      </c>
      <c r="Y7" t="s">
        <v>4958</v>
      </c>
      <c r="Z7" t="s">
        <v>6600</v>
      </c>
      <c r="AA7">
        <v>0.9694785985365679</v>
      </c>
      <c r="AB7">
        <f>HYPERLINK("Melting_Curves/meltCurve_P00448_sodA.pdf", "Melting_Curves/meltCurve_P00448_sodA.pdf")</f>
        <v>0</v>
      </c>
    </row>
    <row r="8" spans="1:28">
      <c r="A8" t="s">
        <v>34</v>
      </c>
      <c r="B8">
        <v>0.999984544473304</v>
      </c>
      <c r="C8">
        <v>1.26275687835263</v>
      </c>
      <c r="D8">
        <v>0.818387378915582</v>
      </c>
      <c r="E8">
        <v>0.55500575092144</v>
      </c>
      <c r="F8">
        <v>0.171650212260483</v>
      </c>
      <c r="G8">
        <v>0.08765707968303001</v>
      </c>
      <c r="H8">
        <v>0.0632734113933436</v>
      </c>
      <c r="I8">
        <v>0.0410167207639979</v>
      </c>
      <c r="J8">
        <v>0.0308748415897176</v>
      </c>
      <c r="K8">
        <v>0.0311684863567453</v>
      </c>
      <c r="L8">
        <v>1173.6503775981</v>
      </c>
      <c r="M8">
        <v>25.1219369772919</v>
      </c>
      <c r="N8">
        <v>46.8747216411495</v>
      </c>
      <c r="O8">
        <v>46.4251621979339</v>
      </c>
      <c r="P8">
        <v>-0.129839315770907</v>
      </c>
      <c r="Q8">
        <v>0.0402446047455035</v>
      </c>
      <c r="R8">
        <v>0.957260285218082</v>
      </c>
      <c r="S8" t="s">
        <v>1676</v>
      </c>
      <c r="T8" t="s">
        <v>3312</v>
      </c>
      <c r="U8" t="s">
        <v>3312</v>
      </c>
      <c r="V8" t="s">
        <v>3312</v>
      </c>
      <c r="W8" t="s">
        <v>3320</v>
      </c>
      <c r="X8">
        <v>17</v>
      </c>
      <c r="Y8" t="s">
        <v>4959</v>
      </c>
      <c r="Z8" t="s">
        <v>6601</v>
      </c>
      <c r="AA8">
        <v>0.3590955000342562</v>
      </c>
      <c r="AB8">
        <f>HYPERLINK("Melting_Curves/meltCurve_P00452_nrdA.pdf", "Melting_Curves/meltCurve_P00452_nrdA.pdf")</f>
        <v>0</v>
      </c>
    </row>
    <row r="9" spans="1:28">
      <c r="A9" t="s">
        <v>35</v>
      </c>
      <c r="B9">
        <v>0.999984544473304</v>
      </c>
      <c r="C9">
        <v>0.861492395152693</v>
      </c>
      <c r="D9">
        <v>0.478001141024879</v>
      </c>
      <c r="E9">
        <v>0.435291775255505</v>
      </c>
      <c r="F9">
        <v>0.275402437569221</v>
      </c>
      <c r="G9">
        <v>0.263186981739423</v>
      </c>
      <c r="H9">
        <v>0.1678966597589</v>
      </c>
      <c r="I9">
        <v>0.07894427321344751</v>
      </c>
      <c r="J9">
        <v>0.0373398345165216</v>
      </c>
      <c r="K9">
        <v>0.0369293258231575</v>
      </c>
      <c r="L9">
        <v>480.313867087495</v>
      </c>
      <c r="M9">
        <v>10.7479597907486</v>
      </c>
      <c r="N9">
        <v>45.0876919697944</v>
      </c>
      <c r="O9">
        <v>43.2251846108752</v>
      </c>
      <c r="P9">
        <v>-0.0593656027580558</v>
      </c>
      <c r="Q9">
        <v>0.0453470421734919</v>
      </c>
      <c r="R9">
        <v>0.954568933584258</v>
      </c>
      <c r="S9" t="s">
        <v>1677</v>
      </c>
      <c r="T9" t="s">
        <v>3312</v>
      </c>
      <c r="U9" t="s">
        <v>3312</v>
      </c>
      <c r="V9" t="s">
        <v>3312</v>
      </c>
      <c r="W9" t="s">
        <v>3321</v>
      </c>
      <c r="X9">
        <v>12</v>
      </c>
      <c r="Y9" t="s">
        <v>4960</v>
      </c>
      <c r="Z9" t="s">
        <v>6602</v>
      </c>
      <c r="AA9">
        <v>0.3329527481617343</v>
      </c>
      <c r="AB9">
        <f>HYPERLINK("Melting_Curves/meltCurve_P00490_malP.pdf", "Melting_Curves/meltCurve_P00490_malP.pdf")</f>
        <v>0</v>
      </c>
    </row>
    <row r="10" spans="1:28">
      <c r="A10" t="s">
        <v>36</v>
      </c>
      <c r="B10">
        <v>0.999984544473304</v>
      </c>
      <c r="C10">
        <v>0.907362116362413</v>
      </c>
      <c r="D10">
        <v>1.14598438627857</v>
      </c>
      <c r="E10">
        <v>0.886830764270755</v>
      </c>
      <c r="F10">
        <v>1.17933259088506</v>
      </c>
      <c r="G10">
        <v>1.04452789443475</v>
      </c>
      <c r="H10">
        <v>0.810878031447872</v>
      </c>
      <c r="I10">
        <v>0.252681460563542</v>
      </c>
      <c r="J10">
        <v>0.09642514685247749</v>
      </c>
      <c r="K10">
        <v>0.0498876087772425</v>
      </c>
      <c r="L10">
        <v>2707.77823005927</v>
      </c>
      <c r="M10">
        <v>45.7419438167435</v>
      </c>
      <c r="N10">
        <v>59.3544235763907</v>
      </c>
      <c r="O10">
        <v>59.0840239294534</v>
      </c>
      <c r="P10">
        <v>-0.182479353594267</v>
      </c>
      <c r="Q10">
        <v>0.0571803120901654</v>
      </c>
      <c r="R10">
        <v>0.954015273985553</v>
      </c>
      <c r="S10" t="s">
        <v>1678</v>
      </c>
      <c r="T10" t="s">
        <v>3312</v>
      </c>
      <c r="U10" t="s">
        <v>3312</v>
      </c>
      <c r="V10" t="s">
        <v>3312</v>
      </c>
      <c r="W10" t="s">
        <v>3322</v>
      </c>
      <c r="X10">
        <v>17</v>
      </c>
      <c r="Y10" t="s">
        <v>4961</v>
      </c>
      <c r="Z10" t="s">
        <v>6603</v>
      </c>
      <c r="AA10">
        <v>0.7574461957157615</v>
      </c>
      <c r="AB10">
        <f>HYPERLINK("Melting_Curves/meltCurve_P00509_aspC.pdf", "Melting_Curves/meltCurve_P00509_aspC.pdf")</f>
        <v>0</v>
      </c>
    </row>
    <row r="11" spans="1:28">
      <c r="A11" t="s">
        <v>37</v>
      </c>
      <c r="B11">
        <v>0.999984544473304</v>
      </c>
      <c r="C11">
        <v>0.967290403598194</v>
      </c>
      <c r="D11">
        <v>0.7102859148851</v>
      </c>
      <c r="E11">
        <v>0.78061764548364</v>
      </c>
      <c r="F11">
        <v>0.836205983930575</v>
      </c>
      <c r="G11">
        <v>0.627017815891486</v>
      </c>
      <c r="H11">
        <v>0.590579666087174</v>
      </c>
      <c r="I11">
        <v>0.520461296873716</v>
      </c>
      <c r="J11">
        <v>0.377648236554089</v>
      </c>
      <c r="K11">
        <v>0.374470705187656</v>
      </c>
      <c r="L11">
        <v>287.525251105903</v>
      </c>
      <c r="M11">
        <v>4.75485321577272</v>
      </c>
      <c r="N11">
        <v>60.4698483803349</v>
      </c>
      <c r="O11">
        <v>52.1374870443199</v>
      </c>
      <c r="P11">
        <v>-0.022965367479802</v>
      </c>
      <c r="Q11">
        <v>0</v>
      </c>
      <c r="R11">
        <v>0.889118934513017</v>
      </c>
      <c r="S11" t="s">
        <v>1679</v>
      </c>
      <c r="T11" t="s">
        <v>3312</v>
      </c>
      <c r="U11" t="s">
        <v>3312</v>
      </c>
      <c r="V11" t="s">
        <v>3312</v>
      </c>
      <c r="W11" t="s">
        <v>3323</v>
      </c>
      <c r="X11">
        <v>3</v>
      </c>
      <c r="Y11" t="s">
        <v>4962</v>
      </c>
      <c r="Z11" t="s">
        <v>6604</v>
      </c>
      <c r="AA11">
        <v>0.6809068330913403</v>
      </c>
      <c r="AB11">
        <f>HYPERLINK("Melting_Curves/meltCurve_P00547_thrB.pdf", "Melting_Curves/meltCurve_P00547_thrB.pdf")</f>
        <v>0</v>
      </c>
    </row>
    <row r="12" spans="1:28">
      <c r="A12" t="s">
        <v>38</v>
      </c>
      <c r="B12">
        <v>0.999984544473304</v>
      </c>
      <c r="C12">
        <v>1.07558232884365</v>
      </c>
      <c r="D12">
        <v>0.451165623390558</v>
      </c>
      <c r="E12">
        <v>0.28480123755542</v>
      </c>
      <c r="F12">
        <v>0.159480473154628</v>
      </c>
      <c r="G12">
        <v>0.105199865778528</v>
      </c>
      <c r="H12">
        <v>0.09079718701923831</v>
      </c>
      <c r="I12">
        <v>0.07338640871729719</v>
      </c>
      <c r="J12">
        <v>0.0480070623755328</v>
      </c>
      <c r="K12">
        <v>0.0561015977834433</v>
      </c>
      <c r="L12">
        <v>10728.6876565251</v>
      </c>
      <c r="M12">
        <v>250</v>
      </c>
      <c r="N12">
        <v>42.9604822809844</v>
      </c>
      <c r="O12">
        <v>42.9119896424718</v>
      </c>
      <c r="P12">
        <v>-1.28631716599314</v>
      </c>
      <c r="Q12">
        <v>0.116824833903362</v>
      </c>
      <c r="R12">
        <v>0.965999067106487</v>
      </c>
      <c r="S12" t="s">
        <v>1680</v>
      </c>
      <c r="T12" t="s">
        <v>3312</v>
      </c>
      <c r="U12" t="s">
        <v>3312</v>
      </c>
      <c r="V12" t="s">
        <v>3312</v>
      </c>
      <c r="W12" t="s">
        <v>3324</v>
      </c>
      <c r="X12">
        <v>5</v>
      </c>
      <c r="Y12" t="s">
        <v>4963</v>
      </c>
      <c r="Z12" t="s">
        <v>6605</v>
      </c>
      <c r="AA12">
        <v>0.2910167122141003</v>
      </c>
      <c r="AB12">
        <f>HYPERLINK("Melting_Curves/meltCurve_P00550_mtlA.pdf", "Melting_Curves/meltCurve_P00550_mtlA.pdf")</f>
        <v>0</v>
      </c>
    </row>
    <row r="13" spans="1:28">
      <c r="A13" t="s">
        <v>39</v>
      </c>
      <c r="B13">
        <v>0.999984544473304</v>
      </c>
      <c r="C13">
        <v>0.95044215309016</v>
      </c>
      <c r="D13">
        <v>0.337393179159572</v>
      </c>
      <c r="E13">
        <v>0.243690443563967</v>
      </c>
      <c r="F13">
        <v>0.107315575687605</v>
      </c>
      <c r="G13">
        <v>0.08748407188737931</v>
      </c>
      <c r="H13">
        <v>0.0601333602081083</v>
      </c>
      <c r="I13">
        <v>0.060916196954481</v>
      </c>
      <c r="J13">
        <v>0.0260633295564794</v>
      </c>
      <c r="K13">
        <v>0.0566878210523005</v>
      </c>
      <c r="L13">
        <v>1764.56712364201</v>
      </c>
      <c r="M13">
        <v>41.8839203438102</v>
      </c>
      <c r="N13">
        <v>42.3230089616228</v>
      </c>
      <c r="O13">
        <v>42.0342422747154</v>
      </c>
      <c r="P13">
        <v>-0.227444052362843</v>
      </c>
      <c r="Q13">
        <v>0.08696016743159719</v>
      </c>
      <c r="R13">
        <v>0.97784722799699</v>
      </c>
      <c r="S13" t="s">
        <v>1681</v>
      </c>
      <c r="T13" t="s">
        <v>3312</v>
      </c>
      <c r="U13" t="s">
        <v>3312</v>
      </c>
      <c r="V13" t="s">
        <v>3312</v>
      </c>
      <c r="W13" t="s">
        <v>3325</v>
      </c>
      <c r="X13">
        <v>3</v>
      </c>
      <c r="Y13" t="s">
        <v>4964</v>
      </c>
      <c r="Z13" t="s">
        <v>6606</v>
      </c>
      <c r="AA13">
        <v>0.2455801549547084</v>
      </c>
      <c r="AB13">
        <f>HYPERLINK("Melting_Curves/meltCurve_P00561_thrA.pdf", "Melting_Curves/meltCurve_P00561_thrA.pdf")</f>
        <v>0</v>
      </c>
    </row>
    <row r="14" spans="1:28">
      <c r="A14" t="s">
        <v>40</v>
      </c>
      <c r="B14">
        <v>0.999984544473304</v>
      </c>
      <c r="C14">
        <v>0.895311779638598</v>
      </c>
      <c r="D14">
        <v>0.264677578067125</v>
      </c>
      <c r="E14">
        <v>0.101307624156299</v>
      </c>
      <c r="F14">
        <v>0.0538861274928759</v>
      </c>
      <c r="G14">
        <v>0.0334567953751579</v>
      </c>
      <c r="H14">
        <v>0.0269974137000452</v>
      </c>
      <c r="I14">
        <v>0.0206503420568031</v>
      </c>
      <c r="J14">
        <v>0.013848343353694</v>
      </c>
      <c r="K14">
        <v>0.0133980747452464</v>
      </c>
      <c r="L14">
        <v>1743.08351344822</v>
      </c>
      <c r="M14">
        <v>41.6536380504303</v>
      </c>
      <c r="N14">
        <v>41.9194730376505</v>
      </c>
      <c r="O14">
        <v>41.750982437734</v>
      </c>
      <c r="P14">
        <v>-0.240762892940822</v>
      </c>
      <c r="Q14">
        <v>0.0346994821162325</v>
      </c>
      <c r="R14">
        <v>0.9965981608132231</v>
      </c>
      <c r="S14" t="s">
        <v>1682</v>
      </c>
      <c r="T14" t="s">
        <v>3312</v>
      </c>
      <c r="U14" t="s">
        <v>3312</v>
      </c>
      <c r="V14" t="s">
        <v>3312</v>
      </c>
      <c r="W14" t="s">
        <v>3326</v>
      </c>
      <c r="X14">
        <v>16</v>
      </c>
      <c r="Y14" t="s">
        <v>4965</v>
      </c>
      <c r="Z14" t="s">
        <v>6607</v>
      </c>
      <c r="AA14">
        <v>0.1933399187570341</v>
      </c>
      <c r="AB14">
        <f>HYPERLINK("Melting_Curves/meltCurve_P00579_rpoD.pdf", "Melting_Curves/meltCurve_P00579_rpoD.pdf")</f>
        <v>0</v>
      </c>
    </row>
    <row r="15" spans="1:28">
      <c r="A15" t="s">
        <v>41</v>
      </c>
      <c r="B15">
        <v>0.999984544473304</v>
      </c>
      <c r="C15">
        <v>1.34912702505493</v>
      </c>
      <c r="D15">
        <v>0.506629410957172</v>
      </c>
      <c r="E15">
        <v>0.335409223510022</v>
      </c>
      <c r="F15">
        <v>0.21172723490398</v>
      </c>
      <c r="G15">
        <v>0.113876912226869</v>
      </c>
      <c r="H15">
        <v>0.0548454004900571</v>
      </c>
      <c r="I15">
        <v>0.0389146541982751</v>
      </c>
      <c r="J15">
        <v>0.0267518342657489</v>
      </c>
      <c r="K15">
        <v>0.0265843258296297</v>
      </c>
      <c r="L15">
        <v>1374.66382346051</v>
      </c>
      <c r="M15">
        <v>31.4695210030815</v>
      </c>
      <c r="N15">
        <v>43.9570198724923</v>
      </c>
      <c r="O15">
        <v>43.5071358523613</v>
      </c>
      <c r="P15">
        <v>-0.164692631306728</v>
      </c>
      <c r="Q15">
        <v>0.0892438072673158</v>
      </c>
      <c r="R15">
        <v>0.885600920261151</v>
      </c>
      <c r="S15" t="s">
        <v>1683</v>
      </c>
      <c r="T15" t="s">
        <v>3312</v>
      </c>
      <c r="U15" t="s">
        <v>3312</v>
      </c>
      <c r="V15" t="s">
        <v>3312</v>
      </c>
      <c r="W15" t="s">
        <v>3327</v>
      </c>
      <c r="X15">
        <v>12</v>
      </c>
      <c r="Y15" t="s">
        <v>4966</v>
      </c>
      <c r="Z15" t="s">
        <v>6608</v>
      </c>
      <c r="AA15">
        <v>0.2966758717589854</v>
      </c>
      <c r="AB15">
        <f>HYPERLINK("Melting_Curves/meltCurve_P00582_polA.pdf", "Melting_Curves/meltCurve_P00582_polA.pdf")</f>
        <v>0</v>
      </c>
    </row>
    <row r="16" spans="1:28">
      <c r="A16" t="s">
        <v>42</v>
      </c>
      <c r="B16">
        <v>0.999984544473304</v>
      </c>
      <c r="C16">
        <v>1.25941626621519</v>
      </c>
      <c r="D16">
        <v>0.980960517332546</v>
      </c>
      <c r="E16">
        <v>1.18328233312666</v>
      </c>
      <c r="F16">
        <v>1.15454584667257</v>
      </c>
      <c r="G16">
        <v>0.943657855026951</v>
      </c>
      <c r="H16">
        <v>0.948731158641873</v>
      </c>
      <c r="I16">
        <v>0.885679909010173</v>
      </c>
      <c r="J16">
        <v>0.6948378214383401</v>
      </c>
      <c r="K16">
        <v>0.682933515092468</v>
      </c>
      <c r="L16">
        <v>2583.25416533977</v>
      </c>
      <c r="M16">
        <v>41.8841845870509</v>
      </c>
      <c r="O16">
        <v>61.5360290346222</v>
      </c>
      <c r="P16">
        <v>-0.0581901691884875</v>
      </c>
      <c r="Q16">
        <v>0.658029811759903</v>
      </c>
      <c r="R16">
        <v>0.6051543572949341</v>
      </c>
      <c r="S16" t="s">
        <v>1684</v>
      </c>
      <c r="T16" t="s">
        <v>3312</v>
      </c>
      <c r="U16" t="s">
        <v>3312</v>
      </c>
      <c r="V16" t="s">
        <v>3312</v>
      </c>
      <c r="W16" t="s">
        <v>3328</v>
      </c>
      <c r="X16">
        <v>2</v>
      </c>
      <c r="Y16" t="s">
        <v>4967</v>
      </c>
      <c r="Z16" t="s">
        <v>6609</v>
      </c>
      <c r="AA16">
        <v>0.9399045329474681</v>
      </c>
      <c r="AB16">
        <f>HYPERLINK("Melting_Curves/meltCurve_P00634_phoA.pdf", "Melting_Curves/meltCurve_P00634_phoA.pdf")</f>
        <v>0</v>
      </c>
    </row>
    <row r="17" spans="1:28">
      <c r="A17" t="s">
        <v>43</v>
      </c>
      <c r="B17">
        <v>0.999984544473304</v>
      </c>
      <c r="C17">
        <v>0.836553951499154</v>
      </c>
      <c r="D17">
        <v>0.943716703664486</v>
      </c>
      <c r="E17">
        <v>0.634676893282533</v>
      </c>
      <c r="F17">
        <v>0.248283275447191</v>
      </c>
      <c r="G17">
        <v>0.0772346261724481</v>
      </c>
      <c r="H17">
        <v>0.0441259887622739</v>
      </c>
      <c r="I17">
        <v>0.0319967810994877</v>
      </c>
      <c r="J17">
        <v>0.0254668719436375</v>
      </c>
      <c r="K17">
        <v>0.0291915572665916</v>
      </c>
      <c r="L17">
        <v>1071.63462683681</v>
      </c>
      <c r="M17">
        <v>22.5123741390707</v>
      </c>
      <c r="N17">
        <v>47.6951033937568</v>
      </c>
      <c r="O17">
        <v>47.2311933233941</v>
      </c>
      <c r="P17">
        <v>-0.11660204072535</v>
      </c>
      <c r="Q17">
        <v>0.0214908001197125</v>
      </c>
      <c r="R17">
        <v>0.984885075788639</v>
      </c>
      <c r="S17" t="s">
        <v>1685</v>
      </c>
      <c r="T17" t="s">
        <v>3312</v>
      </c>
      <c r="U17" t="s">
        <v>3312</v>
      </c>
      <c r="V17" t="s">
        <v>3312</v>
      </c>
      <c r="W17" t="s">
        <v>3329</v>
      </c>
      <c r="X17">
        <v>4</v>
      </c>
      <c r="Y17" t="s">
        <v>4968</v>
      </c>
      <c r="Z17" t="s">
        <v>6610</v>
      </c>
      <c r="AA17">
        <v>0.3774978153902623</v>
      </c>
      <c r="AB17">
        <f>HYPERLINK("Melting_Curves/meltCurve_P00803_lepB.pdf", "Melting_Curves/meltCurve_P00803_lepB.pdf")</f>
        <v>0</v>
      </c>
    </row>
    <row r="18" spans="1:28">
      <c r="A18" t="s">
        <v>44</v>
      </c>
      <c r="B18">
        <v>0.999984544473304</v>
      </c>
      <c r="C18">
        <v>0.937464359225808</v>
      </c>
      <c r="D18">
        <v>0.953411068125617</v>
      </c>
      <c r="E18">
        <v>0.989222336896714</v>
      </c>
      <c r="F18">
        <v>1.00623211245783</v>
      </c>
      <c r="G18">
        <v>0.71895761461157</v>
      </c>
      <c r="H18">
        <v>0.544274567920628</v>
      </c>
      <c r="I18">
        <v>0.427202783741029</v>
      </c>
      <c r="J18">
        <v>0.36581030958713</v>
      </c>
      <c r="K18">
        <v>0.318117919165945</v>
      </c>
      <c r="L18">
        <v>1260.39060990889</v>
      </c>
      <c r="M18">
        <v>22.8230608735778</v>
      </c>
      <c r="N18">
        <v>58.0195551753306</v>
      </c>
      <c r="O18">
        <v>54.805706982995</v>
      </c>
      <c r="P18">
        <v>-0.0693916212706614</v>
      </c>
      <c r="Q18">
        <v>0.333484065548293</v>
      </c>
      <c r="R18">
        <v>0.980734809260091</v>
      </c>
      <c r="S18" t="s">
        <v>1686</v>
      </c>
      <c r="T18" t="s">
        <v>3312</v>
      </c>
      <c r="U18" t="s">
        <v>3312</v>
      </c>
      <c r="V18" t="s">
        <v>3312</v>
      </c>
      <c r="W18" t="s">
        <v>3330</v>
      </c>
      <c r="X18">
        <v>9</v>
      </c>
      <c r="Y18" t="s">
        <v>4969</v>
      </c>
      <c r="Z18" t="s">
        <v>6611</v>
      </c>
      <c r="AA18">
        <v>0.7447454157488059</v>
      </c>
      <c r="AB18">
        <f>HYPERLINK("Melting_Curves/meltCurve_P00805_ansB.pdf", "Melting_Curves/meltCurve_P00805_ansB.pdf")</f>
        <v>0</v>
      </c>
    </row>
    <row r="19" spans="1:28">
      <c r="A19" t="s">
        <v>45</v>
      </c>
      <c r="B19">
        <v>0.999984544473304</v>
      </c>
      <c r="C19">
        <v>0.8173278415352589</v>
      </c>
      <c r="D19">
        <v>0.820404030435637</v>
      </c>
      <c r="E19">
        <v>0.843766481068884</v>
      </c>
      <c r="F19">
        <v>0.882559875738736</v>
      </c>
      <c r="G19">
        <v>0.692510456004362</v>
      </c>
      <c r="H19">
        <v>0.296499154441319</v>
      </c>
      <c r="I19">
        <v>0.128310595413567</v>
      </c>
      <c r="J19">
        <v>0.09332075671956951</v>
      </c>
      <c r="K19">
        <v>0.0936091859310335</v>
      </c>
      <c r="L19">
        <v>1124.8237091552</v>
      </c>
      <c r="M19">
        <v>20.4185743902505</v>
      </c>
      <c r="N19">
        <v>55.3094302609418</v>
      </c>
      <c r="O19">
        <v>54.5680290444904</v>
      </c>
      <c r="P19">
        <v>-0.089882106557706</v>
      </c>
      <c r="Q19">
        <v>0.0391998531710432</v>
      </c>
      <c r="R19">
        <v>0.927501409765383</v>
      </c>
      <c r="S19" t="s">
        <v>1687</v>
      </c>
      <c r="T19" t="s">
        <v>3312</v>
      </c>
      <c r="U19" t="s">
        <v>3312</v>
      </c>
      <c r="V19" t="s">
        <v>3312</v>
      </c>
      <c r="W19" t="s">
        <v>3331</v>
      </c>
      <c r="X19">
        <v>4</v>
      </c>
      <c r="Y19" t="s">
        <v>4970</v>
      </c>
      <c r="Z19" t="s">
        <v>6612</v>
      </c>
      <c r="AA19">
        <v>0.6290892730246189</v>
      </c>
      <c r="AB19">
        <f>HYPERLINK("Melting_Curves/meltCurve_P00811_ampC.pdf", "Melting_Curves/meltCurve_P00811_ampC.pdf")</f>
        <v>0</v>
      </c>
    </row>
    <row r="20" spans="1:28">
      <c r="A20" t="s">
        <v>46</v>
      </c>
      <c r="B20">
        <v>0.999984544473304</v>
      </c>
      <c r="C20">
        <v>0.536931329600575</v>
      </c>
      <c r="D20">
        <v>0.147500430841464</v>
      </c>
      <c r="E20">
        <v>0.0895647768692748</v>
      </c>
      <c r="F20">
        <v>0.0575332451580996</v>
      </c>
      <c r="G20">
        <v>0.0367775391085235</v>
      </c>
      <c r="H20">
        <v>0.0316919407951534</v>
      </c>
      <c r="I20">
        <v>0.0234221930554171</v>
      </c>
      <c r="J20">
        <v>0.0149952700317196</v>
      </c>
      <c r="K20">
        <v>0.0153158891849696</v>
      </c>
      <c r="L20">
        <v>1398.2538586336</v>
      </c>
      <c r="M20">
        <v>34.8915691708824</v>
      </c>
      <c r="N20">
        <v>40.1695968321182</v>
      </c>
      <c r="O20">
        <v>39.9433331307561</v>
      </c>
      <c r="P20">
        <v>-0.209704819239845</v>
      </c>
      <c r="Q20">
        <v>0.0397365808311092</v>
      </c>
      <c r="R20">
        <v>0.9923452903627989</v>
      </c>
      <c r="S20" t="s">
        <v>1688</v>
      </c>
      <c r="T20" t="s">
        <v>3312</v>
      </c>
      <c r="U20" t="s">
        <v>3312</v>
      </c>
      <c r="V20" t="s">
        <v>3312</v>
      </c>
      <c r="W20" t="s">
        <v>3332</v>
      </c>
      <c r="X20">
        <v>10</v>
      </c>
      <c r="Y20" t="s">
        <v>4971</v>
      </c>
      <c r="Z20" t="s">
        <v>6613</v>
      </c>
      <c r="AA20">
        <v>0.1432431215106776</v>
      </c>
      <c r="AB20">
        <f>HYPERLINK("Melting_Curves/meltCurve_P00864_ppc.pdf", "Melting_Curves/meltCurve_P00864_ppc.pdf")</f>
        <v>0</v>
      </c>
    </row>
    <row r="21" spans="1:28">
      <c r="A21" t="s">
        <v>47</v>
      </c>
      <c r="B21">
        <v>0.999984544473304</v>
      </c>
      <c r="C21">
        <v>1.07012385243144</v>
      </c>
      <c r="D21">
        <v>0.984454006049556</v>
      </c>
      <c r="E21">
        <v>0.788049998173369</v>
      </c>
      <c r="F21">
        <v>0.565818393708922</v>
      </c>
      <c r="G21">
        <v>0.182372428249606</v>
      </c>
      <c r="H21">
        <v>0.0857189695754597</v>
      </c>
      <c r="I21">
        <v>0.0493092368741464</v>
      </c>
      <c r="J21">
        <v>0.0231179320061717</v>
      </c>
      <c r="K21">
        <v>0.0272460033390738</v>
      </c>
      <c r="L21">
        <v>1030.6413283085</v>
      </c>
      <c r="M21">
        <v>20.488077123537</v>
      </c>
      <c r="N21">
        <v>50.372985644284</v>
      </c>
      <c r="O21">
        <v>49.8325583118615</v>
      </c>
      <c r="P21">
        <v>-0.101375031718284</v>
      </c>
      <c r="Q21">
        <v>0.0137429373991446</v>
      </c>
      <c r="R21">
        <v>0.993286766698576</v>
      </c>
      <c r="S21" t="s">
        <v>1689</v>
      </c>
      <c r="T21" t="s">
        <v>3312</v>
      </c>
      <c r="U21" t="s">
        <v>3312</v>
      </c>
      <c r="V21" t="s">
        <v>3312</v>
      </c>
      <c r="W21" t="s">
        <v>3333</v>
      </c>
      <c r="X21">
        <v>6</v>
      </c>
      <c r="Y21" t="s">
        <v>4972</v>
      </c>
      <c r="Z21" t="s">
        <v>6614</v>
      </c>
      <c r="AA21">
        <v>0.4635714368924557</v>
      </c>
      <c r="AB21">
        <f>HYPERLINK("Melting_Curves/meltCurve_P00895_trpE.pdf", "Melting_Curves/meltCurve_P00895_trpE.pdf")</f>
        <v>0</v>
      </c>
    </row>
    <row r="22" spans="1:28">
      <c r="A22" t="s">
        <v>48</v>
      </c>
      <c r="B22">
        <v>0.999984544473304</v>
      </c>
      <c r="C22">
        <v>0.580680458122498</v>
      </c>
      <c r="D22">
        <v>0.601471486447209</v>
      </c>
      <c r="E22">
        <v>0.250174626895277</v>
      </c>
      <c r="F22">
        <v>0.241660308090435</v>
      </c>
      <c r="G22">
        <v>0.162813429402755</v>
      </c>
      <c r="H22">
        <v>0.133287952335189</v>
      </c>
      <c r="I22">
        <v>0.0604665873197387</v>
      </c>
      <c r="J22">
        <v>0</v>
      </c>
      <c r="K22">
        <v>0</v>
      </c>
      <c r="L22">
        <v>461.851370027328</v>
      </c>
      <c r="M22">
        <v>10.6540705379655</v>
      </c>
      <c r="N22">
        <v>43.4639620590905</v>
      </c>
      <c r="O22">
        <v>41.9062064024118</v>
      </c>
      <c r="P22">
        <v>-0.0627057648769232</v>
      </c>
      <c r="Q22">
        <v>0.0138012075699587</v>
      </c>
      <c r="R22">
        <v>0.937908916675701</v>
      </c>
      <c r="S22" t="s">
        <v>1690</v>
      </c>
      <c r="T22" t="s">
        <v>3312</v>
      </c>
      <c r="U22" t="s">
        <v>3312</v>
      </c>
      <c r="V22" t="s">
        <v>3312</v>
      </c>
      <c r="W22" t="s">
        <v>3334</v>
      </c>
      <c r="X22">
        <v>1</v>
      </c>
      <c r="Y22" t="s">
        <v>4973</v>
      </c>
      <c r="Z22" t="s">
        <v>6615</v>
      </c>
      <c r="AA22">
        <v>0.272162745796043</v>
      </c>
      <c r="AB22">
        <f>HYPERLINK("Melting_Curves/meltCurve_P00904_trpGD.pdf", "Melting_Curves/meltCurve_P00904_trpGD.pdf")</f>
        <v>0</v>
      </c>
    </row>
    <row r="23" spans="1:28">
      <c r="A23" t="s">
        <v>49</v>
      </c>
      <c r="B23">
        <v>0.999984544473304</v>
      </c>
      <c r="C23">
        <v>1.02633530579908</v>
      </c>
      <c r="D23">
        <v>0.860713378238705</v>
      </c>
      <c r="E23">
        <v>0.34682181193881</v>
      </c>
      <c r="F23">
        <v>0.126738896604745</v>
      </c>
      <c r="G23">
        <v>0.07957500980407969</v>
      </c>
      <c r="H23">
        <v>0.06431847547064801</v>
      </c>
      <c r="I23">
        <v>0.0467920831840091</v>
      </c>
      <c r="J23">
        <v>0.0391445953143693</v>
      </c>
      <c r="K23">
        <v>0.0413678302860191</v>
      </c>
      <c r="L23">
        <v>1398.45770062281</v>
      </c>
      <c r="M23">
        <v>30.7744420772687</v>
      </c>
      <c r="N23">
        <v>45.6165433335356</v>
      </c>
      <c r="O23">
        <v>45.2515908392749</v>
      </c>
      <c r="P23">
        <v>-0.160585425793743</v>
      </c>
      <c r="Q23">
        <v>0.0554885527912276</v>
      </c>
      <c r="R23">
        <v>0.998150504824441</v>
      </c>
      <c r="S23" t="s">
        <v>1691</v>
      </c>
      <c r="T23" t="s">
        <v>3312</v>
      </c>
      <c r="U23" t="s">
        <v>3312</v>
      </c>
      <c r="V23" t="s">
        <v>3312</v>
      </c>
      <c r="W23" t="s">
        <v>3335</v>
      </c>
      <c r="X23">
        <v>11</v>
      </c>
      <c r="Y23" t="s">
        <v>4974</v>
      </c>
      <c r="Z23" t="s">
        <v>6616</v>
      </c>
      <c r="AA23">
        <v>0.3263451171394977</v>
      </c>
      <c r="AB23">
        <f>HYPERLINK("Melting_Curves/meltCurve_P00909_trpC.pdf", "Melting_Curves/meltCurve_P00909_trpC.pdf")</f>
        <v>0</v>
      </c>
    </row>
    <row r="24" spans="1:28">
      <c r="A24" t="s">
        <v>50</v>
      </c>
      <c r="B24">
        <v>0.999984544473304</v>
      </c>
      <c r="C24">
        <v>1.10126121198073</v>
      </c>
      <c r="D24">
        <v>0.9829046912889819</v>
      </c>
      <c r="E24">
        <v>0.731050766763506</v>
      </c>
      <c r="F24">
        <v>0.215555038922807</v>
      </c>
      <c r="G24">
        <v>0.0582961324749221</v>
      </c>
      <c r="H24">
        <v>0.0361929203460434</v>
      </c>
      <c r="I24">
        <v>0.0281520864903477</v>
      </c>
      <c r="J24">
        <v>0.0192599020967954</v>
      </c>
      <c r="K24">
        <v>0.0112439202279008</v>
      </c>
      <c r="L24">
        <v>1552.70433825887</v>
      </c>
      <c r="M24">
        <v>32.3393675378102</v>
      </c>
      <c r="N24">
        <v>48.0842553490066</v>
      </c>
      <c r="O24">
        <v>47.830353133278</v>
      </c>
      <c r="P24">
        <v>-0.165069178420797</v>
      </c>
      <c r="Q24">
        <v>0.0234467557867666</v>
      </c>
      <c r="R24">
        <v>0.994620968215108</v>
      </c>
      <c r="S24" t="s">
        <v>1692</v>
      </c>
      <c r="T24" t="s">
        <v>3312</v>
      </c>
      <c r="U24" t="s">
        <v>3312</v>
      </c>
      <c r="V24" t="s">
        <v>3312</v>
      </c>
      <c r="W24" t="s">
        <v>3336</v>
      </c>
      <c r="X24">
        <v>4</v>
      </c>
      <c r="Y24" t="s">
        <v>4975</v>
      </c>
      <c r="Z24" t="s">
        <v>6617</v>
      </c>
      <c r="AA24">
        <v>0.3869080851995833</v>
      </c>
      <c r="AB24">
        <f>HYPERLINK("Melting_Curves/meltCurve_P00926_dsdA.pdf", "Melting_Curves/meltCurve_P00926_dsdA.pdf")</f>
        <v>0</v>
      </c>
    </row>
    <row r="25" spans="1:28">
      <c r="A25" t="s">
        <v>51</v>
      </c>
      <c r="B25">
        <v>0.999984544473304</v>
      </c>
      <c r="C25">
        <v>0.843516953504088</v>
      </c>
      <c r="D25">
        <v>0.758821319570005</v>
      </c>
      <c r="E25">
        <v>0.568787444318868</v>
      </c>
      <c r="F25">
        <v>0.432428594574149</v>
      </c>
      <c r="G25">
        <v>0.237437463089472</v>
      </c>
      <c r="H25">
        <v>0.147788871219995</v>
      </c>
      <c r="I25">
        <v>0.0872042366269279</v>
      </c>
      <c r="J25">
        <v>0.0562713575274294</v>
      </c>
      <c r="K25">
        <v>0.0531008397948866</v>
      </c>
      <c r="L25">
        <v>490.286910810546</v>
      </c>
      <c r="M25">
        <v>10.220482790874</v>
      </c>
      <c r="N25">
        <v>47.9710274328264</v>
      </c>
      <c r="O25">
        <v>46.2433329929921</v>
      </c>
      <c r="P25">
        <v>-0.0552785664397246</v>
      </c>
      <c r="Q25">
        <v>0</v>
      </c>
      <c r="R25">
        <v>0.994107015243397</v>
      </c>
      <c r="S25" t="s">
        <v>1693</v>
      </c>
      <c r="T25" t="s">
        <v>3312</v>
      </c>
      <c r="U25" t="s">
        <v>3312</v>
      </c>
      <c r="V25" t="s">
        <v>3312</v>
      </c>
      <c r="W25" t="s">
        <v>3337</v>
      </c>
      <c r="X25">
        <v>10</v>
      </c>
      <c r="Y25" t="s">
        <v>4976</v>
      </c>
      <c r="Z25" t="s">
        <v>6618</v>
      </c>
      <c r="AA25">
        <v>0.4048381706337044</v>
      </c>
      <c r="AB25">
        <f>HYPERLINK("Melting_Curves/meltCurve_P00934_thrC.pdf", "Melting_Curves/meltCurve_P00934_thrC.pdf")</f>
        <v>0</v>
      </c>
    </row>
    <row r="26" spans="1:28">
      <c r="A26" t="s">
        <v>52</v>
      </c>
      <c r="B26">
        <v>0.999984544473304</v>
      </c>
      <c r="C26">
        <v>0.835127713073493</v>
      </c>
      <c r="D26">
        <v>0.647795017490312</v>
      </c>
      <c r="E26">
        <v>0.688029524683712</v>
      </c>
      <c r="F26">
        <v>0.5404111272350079</v>
      </c>
      <c r="G26">
        <v>0.453748068329433</v>
      </c>
      <c r="H26">
        <v>0.417552395637658</v>
      </c>
      <c r="I26">
        <v>0.2812928414866</v>
      </c>
      <c r="J26">
        <v>0.167450834752432</v>
      </c>
      <c r="K26">
        <v>0</v>
      </c>
      <c r="L26">
        <v>344.679748105764</v>
      </c>
      <c r="M26">
        <v>6.76296687513291</v>
      </c>
      <c r="N26">
        <v>50.9657600328953</v>
      </c>
      <c r="O26">
        <v>47.0656655504211</v>
      </c>
      <c r="P26">
        <v>-0.0359985932546251</v>
      </c>
      <c r="Q26">
        <v>0</v>
      </c>
      <c r="R26">
        <v>0.921767511090125</v>
      </c>
      <c r="S26" t="s">
        <v>1694</v>
      </c>
      <c r="T26" t="s">
        <v>3312</v>
      </c>
      <c r="U26" t="s">
        <v>3312</v>
      </c>
      <c r="V26" t="s">
        <v>3312</v>
      </c>
      <c r="W26" t="s">
        <v>3338</v>
      </c>
      <c r="X26">
        <v>1</v>
      </c>
      <c r="Y26" t="s">
        <v>4977</v>
      </c>
      <c r="Z26" t="s">
        <v>6619</v>
      </c>
      <c r="AA26">
        <v>0.5029096433524185</v>
      </c>
      <c r="AB26">
        <f>HYPERLINK("Melting_Curves/meltCurve_P00935_metB.pdf", "Melting_Curves/meltCurve_P00935_metB.pdf")</f>
        <v>0</v>
      </c>
    </row>
    <row r="27" spans="1:28">
      <c r="A27" t="s">
        <v>53</v>
      </c>
      <c r="B27">
        <v>0.999984544473304</v>
      </c>
      <c r="C27">
        <v>0.8788052144659571</v>
      </c>
      <c r="D27">
        <v>0.979906950482393</v>
      </c>
      <c r="E27">
        <v>0.928281282314472</v>
      </c>
      <c r="F27">
        <v>0.996885163528526</v>
      </c>
      <c r="G27">
        <v>0.721900698435885</v>
      </c>
      <c r="H27">
        <v>0.433679944908519</v>
      </c>
      <c r="I27">
        <v>0.209673922793287</v>
      </c>
      <c r="J27">
        <v>0.102859599850634</v>
      </c>
      <c r="K27">
        <v>0.0828046092476096</v>
      </c>
      <c r="L27">
        <v>1234.54802062128</v>
      </c>
      <c r="M27">
        <v>21.9325228968276</v>
      </c>
      <c r="N27">
        <v>56.5769514827927</v>
      </c>
      <c r="O27">
        <v>55.8267734876665</v>
      </c>
      <c r="P27">
        <v>-0.0930225101215874</v>
      </c>
      <c r="Q27">
        <v>0.0529077507206948</v>
      </c>
      <c r="R27">
        <v>0.982716400024897</v>
      </c>
      <c r="S27" t="s">
        <v>1695</v>
      </c>
      <c r="T27" t="s">
        <v>3312</v>
      </c>
      <c r="U27" t="s">
        <v>3312</v>
      </c>
      <c r="V27" t="s">
        <v>3312</v>
      </c>
      <c r="W27" t="s">
        <v>3339</v>
      </c>
      <c r="X27">
        <v>5</v>
      </c>
      <c r="Y27" t="s">
        <v>4978</v>
      </c>
      <c r="Z27" t="s">
        <v>6620</v>
      </c>
      <c r="AA27">
        <v>0.6705242520832705</v>
      </c>
      <c r="AB27">
        <f>HYPERLINK("Melting_Curves/meltCurve_P00946_manA.pdf", "Melting_Curves/meltCurve_P00946_manA.pdf")</f>
        <v>0</v>
      </c>
    </row>
    <row r="28" spans="1:28">
      <c r="A28" t="s">
        <v>54</v>
      </c>
      <c r="B28">
        <v>0.999984544473304</v>
      </c>
      <c r="C28">
        <v>0.846180208424561</v>
      </c>
      <c r="D28">
        <v>0.534638286271377</v>
      </c>
      <c r="E28">
        <v>0.526659763536957</v>
      </c>
      <c r="F28">
        <v>0.331339916401717</v>
      </c>
      <c r="G28">
        <v>0.180219695057264</v>
      </c>
      <c r="H28">
        <v>0.219970819185951</v>
      </c>
      <c r="I28">
        <v>0.204374386611205</v>
      </c>
      <c r="J28">
        <v>0.174552445544826</v>
      </c>
      <c r="K28">
        <v>0.147467199295189</v>
      </c>
      <c r="L28">
        <v>549.485279491656</v>
      </c>
      <c r="M28">
        <v>12.4529745755277</v>
      </c>
      <c r="N28">
        <v>45.5038025223135</v>
      </c>
      <c r="O28">
        <v>43.0333101841587</v>
      </c>
      <c r="P28">
        <v>-0.0609868551821408</v>
      </c>
      <c r="Q28">
        <v>0.157175477620326</v>
      </c>
      <c r="R28">
        <v>0.963885676326359</v>
      </c>
      <c r="S28" t="s">
        <v>1696</v>
      </c>
      <c r="T28" t="s">
        <v>3312</v>
      </c>
      <c r="U28" t="s">
        <v>3312</v>
      </c>
      <c r="V28" t="s">
        <v>3312</v>
      </c>
      <c r="W28" t="s">
        <v>3340</v>
      </c>
      <c r="X28">
        <v>3</v>
      </c>
      <c r="Y28" t="s">
        <v>4979</v>
      </c>
      <c r="Z28" t="s">
        <v>6621</v>
      </c>
      <c r="AA28">
        <v>0.387471630210287</v>
      </c>
      <c r="AB28">
        <f>HYPERLINK("Melting_Curves/meltCurve_P00954_trpS.pdf", "Melting_Curves/meltCurve_P00954_trpS.pdf")</f>
        <v>0</v>
      </c>
    </row>
    <row r="29" spans="1:28">
      <c r="A29" t="s">
        <v>55</v>
      </c>
      <c r="B29">
        <v>0.999984544473304</v>
      </c>
      <c r="C29">
        <v>1.3035559084307</v>
      </c>
      <c r="D29">
        <v>0.956014631709067</v>
      </c>
      <c r="E29">
        <v>1.11152512228246</v>
      </c>
      <c r="F29">
        <v>0.814499263440553</v>
      </c>
      <c r="G29">
        <v>0.578095590428915</v>
      </c>
      <c r="H29">
        <v>0.143836548197318</v>
      </c>
      <c r="I29">
        <v>0.0463868361239096</v>
      </c>
      <c r="J29">
        <v>0.0316688775407648</v>
      </c>
      <c r="K29">
        <v>0.0264632719005132</v>
      </c>
      <c r="L29">
        <v>1468.61235762913</v>
      </c>
      <c r="M29">
        <v>27.1745145641897</v>
      </c>
      <c r="N29">
        <v>54.0818137572299</v>
      </c>
      <c r="O29">
        <v>53.7536149933443</v>
      </c>
      <c r="P29">
        <v>-0.125188983587513</v>
      </c>
      <c r="Q29">
        <v>0.00946964847709917</v>
      </c>
      <c r="R29">
        <v>0.947524224278029</v>
      </c>
      <c r="S29" t="s">
        <v>1697</v>
      </c>
      <c r="T29" t="s">
        <v>3312</v>
      </c>
      <c r="U29" t="s">
        <v>3312</v>
      </c>
      <c r="V29" t="s">
        <v>3312</v>
      </c>
      <c r="W29" t="s">
        <v>3341</v>
      </c>
      <c r="X29">
        <v>23</v>
      </c>
      <c r="Y29" t="s">
        <v>4980</v>
      </c>
      <c r="Z29" t="s">
        <v>6622</v>
      </c>
      <c r="AA29">
        <v>0.5797378438488235</v>
      </c>
      <c r="AB29">
        <f>HYPERLINK("Melting_Curves/meltCurve_P00956_ileS.pdf", "Melting_Curves/meltCurve_P00956_ileS.pdf")</f>
        <v>0</v>
      </c>
    </row>
    <row r="30" spans="1:28">
      <c r="A30" t="s">
        <v>56</v>
      </c>
      <c r="B30">
        <v>0.999984544473304</v>
      </c>
      <c r="C30">
        <v>1.43060416796745</v>
      </c>
      <c r="D30">
        <v>1.10065109707012</v>
      </c>
      <c r="E30">
        <v>1.50755808033054</v>
      </c>
      <c r="F30">
        <v>0.834405429089751</v>
      </c>
      <c r="G30">
        <v>0.307700809579312</v>
      </c>
      <c r="H30">
        <v>0.07884205464127381</v>
      </c>
      <c r="I30">
        <v>0.0474655513790563</v>
      </c>
      <c r="J30">
        <v>0.0279767881907271</v>
      </c>
      <c r="K30">
        <v>0.0263229989704895</v>
      </c>
      <c r="L30">
        <v>2208.89688592575</v>
      </c>
      <c r="M30">
        <v>42.0600425307115</v>
      </c>
      <c r="N30">
        <v>52.6189530552622</v>
      </c>
      <c r="O30">
        <v>52.3994064626733</v>
      </c>
      <c r="P30">
        <v>-0.192871955210903</v>
      </c>
      <c r="Q30">
        <v>0.0388637390773785</v>
      </c>
      <c r="R30">
        <v>0.859800954270899</v>
      </c>
      <c r="S30" t="s">
        <v>1698</v>
      </c>
      <c r="T30" t="s">
        <v>3312</v>
      </c>
      <c r="U30" t="s">
        <v>3312</v>
      </c>
      <c r="V30" t="s">
        <v>3312</v>
      </c>
      <c r="W30" t="s">
        <v>3342</v>
      </c>
      <c r="X30">
        <v>35</v>
      </c>
      <c r="Y30" t="s">
        <v>4981</v>
      </c>
      <c r="Z30" t="s">
        <v>6623</v>
      </c>
      <c r="AA30">
        <v>0.5391641062434593</v>
      </c>
      <c r="AB30">
        <f>HYPERLINK("Melting_Curves/meltCurve_P00957_alaS.pdf", "Melting_Curves/meltCurve_P00957_alaS.pdf")</f>
        <v>0</v>
      </c>
    </row>
    <row r="31" spans="1:28">
      <c r="A31" t="s">
        <v>57</v>
      </c>
      <c r="B31">
        <v>0.999984544473304</v>
      </c>
      <c r="C31">
        <v>1.12446722438504</v>
      </c>
      <c r="D31">
        <v>0.78114190507453</v>
      </c>
      <c r="E31">
        <v>0.550149723192395</v>
      </c>
      <c r="F31">
        <v>0.279563028764999</v>
      </c>
      <c r="G31">
        <v>0.178770242056764</v>
      </c>
      <c r="H31">
        <v>0.147808916044733</v>
      </c>
      <c r="I31">
        <v>0.107067550871132</v>
      </c>
      <c r="J31">
        <v>0.08342386572831</v>
      </c>
      <c r="K31">
        <v>0.08320465560478441</v>
      </c>
      <c r="L31">
        <v>894.619375262737</v>
      </c>
      <c r="M31">
        <v>19.2192389006073</v>
      </c>
      <c r="N31">
        <v>47.0892909164083</v>
      </c>
      <c r="O31">
        <v>46.0529427920546</v>
      </c>
      <c r="P31">
        <v>-0.09399735791418461</v>
      </c>
      <c r="Q31">
        <v>0.0990919618771942</v>
      </c>
      <c r="R31">
        <v>0.978293656041736</v>
      </c>
      <c r="S31" t="s">
        <v>1699</v>
      </c>
      <c r="T31" t="s">
        <v>3312</v>
      </c>
      <c r="U31" t="s">
        <v>3312</v>
      </c>
      <c r="V31" t="s">
        <v>3312</v>
      </c>
      <c r="W31" t="s">
        <v>3343</v>
      </c>
      <c r="X31">
        <v>17</v>
      </c>
      <c r="Y31" t="s">
        <v>4982</v>
      </c>
      <c r="Z31" t="s">
        <v>6624</v>
      </c>
      <c r="AA31">
        <v>0.3985734456286224</v>
      </c>
      <c r="AB31">
        <f>HYPERLINK("Melting_Curves/meltCurve_P00959_metG.pdf", "Melting_Curves/meltCurve_P00959_metG.pdf")</f>
        <v>0</v>
      </c>
    </row>
    <row r="32" spans="1:28">
      <c r="A32" t="s">
        <v>58</v>
      </c>
      <c r="B32">
        <v>0.999984544473304</v>
      </c>
      <c r="C32">
        <v>0.835549827425098</v>
      </c>
      <c r="D32">
        <v>0.435075824941327</v>
      </c>
      <c r="E32">
        <v>0.371740739191645</v>
      </c>
      <c r="F32">
        <v>0.265456073942632</v>
      </c>
      <c r="G32">
        <v>0.193464346067545</v>
      </c>
      <c r="H32">
        <v>0.142065363933779</v>
      </c>
      <c r="I32">
        <v>0.109434758363017</v>
      </c>
      <c r="J32">
        <v>0.0928542746616874</v>
      </c>
      <c r="K32">
        <v>0.0773081803925223</v>
      </c>
      <c r="L32">
        <v>643.090136088388</v>
      </c>
      <c r="M32">
        <v>14.9741919901617</v>
      </c>
      <c r="N32">
        <v>43.715283706524</v>
      </c>
      <c r="O32">
        <v>42.2024529279429</v>
      </c>
      <c r="P32">
        <v>-0.07844488540781951</v>
      </c>
      <c r="Q32">
        <v>0.115750416364073</v>
      </c>
      <c r="R32">
        <v>0.966105955253079</v>
      </c>
      <c r="S32" t="s">
        <v>1700</v>
      </c>
      <c r="T32" t="s">
        <v>3312</v>
      </c>
      <c r="U32" t="s">
        <v>3312</v>
      </c>
      <c r="V32" t="s">
        <v>3312</v>
      </c>
      <c r="W32" t="s">
        <v>3344</v>
      </c>
      <c r="X32">
        <v>3</v>
      </c>
      <c r="Y32" t="s">
        <v>4983</v>
      </c>
      <c r="Z32" t="s">
        <v>6625</v>
      </c>
      <c r="AA32">
        <v>0.3145706967429369</v>
      </c>
      <c r="AB32">
        <f>HYPERLINK("Melting_Curves/meltCurve_P00960_glyQ.pdf", "Melting_Curves/meltCurve_P00960_glyQ.pdf")</f>
        <v>0</v>
      </c>
    </row>
    <row r="33" spans="1:28">
      <c r="A33" t="s">
        <v>59</v>
      </c>
      <c r="B33">
        <v>0.999984544473304</v>
      </c>
      <c r="C33">
        <v>1.12446404863966</v>
      </c>
      <c r="D33">
        <v>0.936448334814706</v>
      </c>
      <c r="E33">
        <v>0.43653648038378</v>
      </c>
      <c r="F33">
        <v>0.0932358130541157</v>
      </c>
      <c r="G33">
        <v>0.0380196454476711</v>
      </c>
      <c r="H33">
        <v>0.0240740078407351</v>
      </c>
      <c r="I33">
        <v>0.0171277803198959</v>
      </c>
      <c r="J33">
        <v>0.0130475521425526</v>
      </c>
      <c r="K33">
        <v>0.0147076366571939</v>
      </c>
      <c r="L33">
        <v>1651.78698518334</v>
      </c>
      <c r="M33">
        <v>35.7318542145967</v>
      </c>
      <c r="N33">
        <v>46.2867131641063</v>
      </c>
      <c r="O33">
        <v>46.083221658677</v>
      </c>
      <c r="P33">
        <v>-0.189499656402644</v>
      </c>
      <c r="Q33">
        <v>0.0224155591719817</v>
      </c>
      <c r="R33">
        <v>0.991448317873464</v>
      </c>
      <c r="S33" t="s">
        <v>1701</v>
      </c>
      <c r="T33" t="s">
        <v>3312</v>
      </c>
      <c r="U33" t="s">
        <v>3312</v>
      </c>
      <c r="V33" t="s">
        <v>3312</v>
      </c>
      <c r="W33" t="s">
        <v>3345</v>
      </c>
      <c r="X33">
        <v>23</v>
      </c>
      <c r="Y33" t="s">
        <v>4984</v>
      </c>
      <c r="Z33" t="s">
        <v>6626</v>
      </c>
      <c r="AA33">
        <v>0.3270241490721181</v>
      </c>
      <c r="AB33">
        <f>HYPERLINK("Melting_Curves/meltCurve_P00961_glyS.pdf", "Melting_Curves/meltCurve_P00961_glyS.pdf")</f>
        <v>0</v>
      </c>
    </row>
    <row r="34" spans="1:28">
      <c r="A34" t="s">
        <v>60</v>
      </c>
      <c r="B34">
        <v>0.999984544473304</v>
      </c>
      <c r="C34">
        <v>1.19120889620457</v>
      </c>
      <c r="D34">
        <v>0.981141838176522</v>
      </c>
      <c r="E34">
        <v>0.643533977875824</v>
      </c>
      <c r="F34">
        <v>0.127413295732699</v>
      </c>
      <c r="G34">
        <v>0.0571762471673359</v>
      </c>
      <c r="H34">
        <v>0.0430374682764386</v>
      </c>
      <c r="I34">
        <v>0.0328303354657086</v>
      </c>
      <c r="J34">
        <v>0.0260394111717502</v>
      </c>
      <c r="K34">
        <v>0.0259296894014645</v>
      </c>
      <c r="L34">
        <v>1828.89737099734</v>
      </c>
      <c r="M34">
        <v>38.7032220981946</v>
      </c>
      <c r="N34">
        <v>47.3437886533154</v>
      </c>
      <c r="O34">
        <v>47.1287698007802</v>
      </c>
      <c r="P34">
        <v>-0.198070875488019</v>
      </c>
      <c r="Q34">
        <v>0.0352416102420373</v>
      </c>
      <c r="R34">
        <v>0.982381066079379</v>
      </c>
      <c r="S34" t="s">
        <v>1702</v>
      </c>
      <c r="T34" t="s">
        <v>3312</v>
      </c>
      <c r="U34" t="s">
        <v>3312</v>
      </c>
      <c r="V34" t="s">
        <v>3312</v>
      </c>
      <c r="W34" t="s">
        <v>3346</v>
      </c>
      <c r="X34">
        <v>12</v>
      </c>
      <c r="Y34" t="s">
        <v>4985</v>
      </c>
      <c r="Z34" t="s">
        <v>6627</v>
      </c>
      <c r="AA34">
        <v>0.3683772827165571</v>
      </c>
      <c r="AB34">
        <f>HYPERLINK("Melting_Curves/meltCurve_P00962_glnS.pdf", "Melting_Curves/meltCurve_P00962_glnS.pdf")</f>
        <v>0</v>
      </c>
    </row>
    <row r="35" spans="1:28">
      <c r="A35" t="s">
        <v>61</v>
      </c>
      <c r="B35">
        <v>0.999984544473304</v>
      </c>
      <c r="C35">
        <v>1.20743492236429</v>
      </c>
      <c r="D35">
        <v>0.939509805782876</v>
      </c>
      <c r="E35">
        <v>1.32315339109381</v>
      </c>
      <c r="F35">
        <v>1.08141417938631</v>
      </c>
      <c r="G35">
        <v>0.905934533397051</v>
      </c>
      <c r="H35">
        <v>0.774972477003401</v>
      </c>
      <c r="I35">
        <v>0.774261893372422</v>
      </c>
      <c r="J35">
        <v>0.488236785726757</v>
      </c>
      <c r="K35">
        <v>0.767369682773296</v>
      </c>
      <c r="L35">
        <v>1761.54895745202</v>
      </c>
      <c r="M35">
        <v>31.2978976888887</v>
      </c>
      <c r="O35">
        <v>56.0550262069279</v>
      </c>
      <c r="P35">
        <v>-0.0473574004528345</v>
      </c>
      <c r="Q35">
        <v>0.660730510898288</v>
      </c>
      <c r="R35">
        <v>0.6020609240502111</v>
      </c>
      <c r="S35" t="s">
        <v>1703</v>
      </c>
      <c r="T35" t="s">
        <v>3312</v>
      </c>
      <c r="U35" t="s">
        <v>3312</v>
      </c>
      <c r="V35" t="s">
        <v>3312</v>
      </c>
      <c r="W35" t="s">
        <v>3347</v>
      </c>
      <c r="X35">
        <v>5</v>
      </c>
      <c r="Y35" t="s">
        <v>4986</v>
      </c>
      <c r="Z35" t="s">
        <v>6628</v>
      </c>
      <c r="AA35">
        <v>0.8807649180923841</v>
      </c>
      <c r="AB35">
        <f>HYPERLINK("Melting_Curves/meltCurve_P02358_rpsF.pdf", "Melting_Curves/meltCurve_P02358_rpsF.pdf")</f>
        <v>0</v>
      </c>
    </row>
    <row r="36" spans="1:28">
      <c r="A36" t="s">
        <v>62</v>
      </c>
      <c r="B36">
        <v>0.999984544473304</v>
      </c>
      <c r="C36">
        <v>0.5463886105125469</v>
      </c>
      <c r="D36">
        <v>0.234274596030254</v>
      </c>
      <c r="E36">
        <v>0.169160990233499</v>
      </c>
      <c r="F36">
        <v>0.113495437660146</v>
      </c>
      <c r="G36">
        <v>0.0673001669822051</v>
      </c>
      <c r="H36">
        <v>0.0596057083512285</v>
      </c>
      <c r="I36">
        <v>0.0488513373627952</v>
      </c>
      <c r="J36">
        <v>0.0511685898723423</v>
      </c>
      <c r="K36">
        <v>0.0857537626528117</v>
      </c>
      <c r="L36">
        <v>1136.5138312328</v>
      </c>
      <c r="M36">
        <v>28.2852717648839</v>
      </c>
      <c r="N36">
        <v>40.4406557368696</v>
      </c>
      <c r="O36">
        <v>39.9811811510234</v>
      </c>
      <c r="P36">
        <v>-0.162150328140644</v>
      </c>
      <c r="Q36">
        <v>0.0832107604431478</v>
      </c>
      <c r="R36">
        <v>0.98090738437213</v>
      </c>
      <c r="S36" t="s">
        <v>1704</v>
      </c>
      <c r="T36" t="s">
        <v>3312</v>
      </c>
      <c r="U36" t="s">
        <v>3312</v>
      </c>
      <c r="V36" t="s">
        <v>3312</v>
      </c>
      <c r="W36" t="s">
        <v>3348</v>
      </c>
      <c r="X36">
        <v>5</v>
      </c>
      <c r="Y36" t="s">
        <v>4987</v>
      </c>
      <c r="Z36" t="s">
        <v>6629</v>
      </c>
      <c r="AA36">
        <v>0.1884551349926756</v>
      </c>
      <c r="AB36">
        <f>HYPERLINK("Melting_Curves/meltCurve_P02359_rpsG.pdf", "Melting_Curves/meltCurve_P02359_rpsG.pdf")</f>
        <v>0</v>
      </c>
    </row>
    <row r="37" spans="1:28">
      <c r="A37" t="s">
        <v>63</v>
      </c>
      <c r="B37">
        <v>0.999984544473304</v>
      </c>
      <c r="C37">
        <v>0.722714249611485</v>
      </c>
      <c r="D37">
        <v>0.31296697362007</v>
      </c>
      <c r="E37">
        <v>0.18869160671556</v>
      </c>
      <c r="F37">
        <v>0.153916527990871</v>
      </c>
      <c r="G37">
        <v>0.148458598494053</v>
      </c>
      <c r="H37">
        <v>0.116347668625386</v>
      </c>
      <c r="I37">
        <v>0.108174237209767</v>
      </c>
      <c r="J37">
        <v>0.105355014432871</v>
      </c>
      <c r="K37">
        <v>0.151119140116051</v>
      </c>
      <c r="L37">
        <v>1181.14355339132</v>
      </c>
      <c r="M37">
        <v>28.7974165457532</v>
      </c>
      <c r="N37">
        <v>41.4634934222636</v>
      </c>
      <c r="O37">
        <v>40.819349261418</v>
      </c>
      <c r="P37">
        <v>-0.15279669975131</v>
      </c>
      <c r="Q37">
        <v>0.133670333571739</v>
      </c>
      <c r="R37">
        <v>0.994460735634076</v>
      </c>
      <c r="S37" t="s">
        <v>1705</v>
      </c>
      <c r="T37" t="s">
        <v>3312</v>
      </c>
      <c r="U37" t="s">
        <v>3312</v>
      </c>
      <c r="V37" t="s">
        <v>3312</v>
      </c>
      <c r="W37" t="s">
        <v>3349</v>
      </c>
      <c r="X37">
        <v>3</v>
      </c>
      <c r="Y37" t="s">
        <v>4988</v>
      </c>
      <c r="Z37" t="s">
        <v>6630</v>
      </c>
      <c r="AA37">
        <v>0.2557653621537343</v>
      </c>
      <c r="AB37">
        <f>HYPERLINK("Melting_Curves/meltCurve_P02413_rplO.pdf", "Melting_Curves/meltCurve_P02413_rplO.pdf")</f>
        <v>0</v>
      </c>
    </row>
    <row r="38" spans="1:28">
      <c r="A38" t="s">
        <v>64</v>
      </c>
      <c r="B38">
        <v>0.999984544473304</v>
      </c>
      <c r="C38">
        <v>1.09325295547649</v>
      </c>
      <c r="D38">
        <v>0.569893029915209</v>
      </c>
      <c r="E38">
        <v>0.317803493402346</v>
      </c>
      <c r="F38">
        <v>0.128734118137919</v>
      </c>
      <c r="G38">
        <v>0.06934070150161729</v>
      </c>
      <c r="H38">
        <v>0.0536153132042048</v>
      </c>
      <c r="I38">
        <v>0.0275916199645799</v>
      </c>
      <c r="J38">
        <v>0.0270020443101891</v>
      </c>
      <c r="K38">
        <v>0.0256109364379777</v>
      </c>
      <c r="L38">
        <v>1020.81638788993</v>
      </c>
      <c r="M38">
        <v>23.0996405975242</v>
      </c>
      <c r="N38">
        <v>44.3718591677123</v>
      </c>
      <c r="O38">
        <v>43.8646912843201</v>
      </c>
      <c r="P38">
        <v>-0.125768172287445</v>
      </c>
      <c r="Q38">
        <v>0.0447161131127522</v>
      </c>
      <c r="R38">
        <v>0.972573026027877</v>
      </c>
      <c r="S38" t="s">
        <v>1706</v>
      </c>
      <c r="T38" t="s">
        <v>3312</v>
      </c>
      <c r="U38" t="s">
        <v>3312</v>
      </c>
      <c r="V38" t="s">
        <v>3312</v>
      </c>
      <c r="W38" t="s">
        <v>3350</v>
      </c>
      <c r="X38">
        <v>1</v>
      </c>
      <c r="Y38" t="s">
        <v>4989</v>
      </c>
      <c r="Z38" t="s">
        <v>6631</v>
      </c>
      <c r="AA38">
        <v>0.2830233419776045</v>
      </c>
      <c r="AB38">
        <f>HYPERLINK("Melting_Curves/meltCurve_P02916_malF.pdf", "Melting_Curves/meltCurve_P02916_malF.pdf")</f>
        <v>0</v>
      </c>
    </row>
    <row r="39" spans="1:28">
      <c r="A39" t="s">
        <v>65</v>
      </c>
      <c r="B39">
        <v>0.999984544473304</v>
      </c>
      <c r="C39">
        <v>1.35826158955813</v>
      </c>
      <c r="D39">
        <v>0.766646523543782</v>
      </c>
      <c r="E39">
        <v>0.250970923522808</v>
      </c>
      <c r="F39">
        <v>0.180095653775818</v>
      </c>
      <c r="G39">
        <v>0.122982803231664</v>
      </c>
      <c r="H39">
        <v>0.08022060354593161</v>
      </c>
      <c r="I39">
        <v>0.0996989166140588</v>
      </c>
      <c r="J39">
        <v>0.0778408084310407</v>
      </c>
      <c r="K39">
        <v>0.0933152162936606</v>
      </c>
      <c r="L39">
        <v>1782.7373501395</v>
      </c>
      <c r="M39">
        <v>40.1538511356391</v>
      </c>
      <c r="N39">
        <v>44.6742795302666</v>
      </c>
      <c r="O39">
        <v>44.2879836662613</v>
      </c>
      <c r="P39">
        <v>-0.201714727972809</v>
      </c>
      <c r="Q39">
        <v>0.110071033536535</v>
      </c>
      <c r="R39">
        <v>0.926140509063375</v>
      </c>
      <c r="S39" t="s">
        <v>1707</v>
      </c>
      <c r="T39" t="s">
        <v>3312</v>
      </c>
      <c r="U39" t="s">
        <v>3312</v>
      </c>
      <c r="V39" t="s">
        <v>3312</v>
      </c>
      <c r="W39" t="s">
        <v>3351</v>
      </c>
      <c r="X39">
        <v>2</v>
      </c>
      <c r="Y39" t="s">
        <v>4990</v>
      </c>
      <c r="Z39" t="s">
        <v>6632</v>
      </c>
      <c r="AA39">
        <v>0.3322355039454334</v>
      </c>
      <c r="AB39">
        <f>HYPERLINK("Melting_Curves/meltCurve_P02918_mrcA.pdf", "Melting_Curves/meltCurve_P02918_mrcA.pdf")</f>
        <v>0</v>
      </c>
    </row>
    <row r="40" spans="1:28">
      <c r="A40" t="s">
        <v>66</v>
      </c>
      <c r="B40">
        <v>0.999984544473304</v>
      </c>
      <c r="C40">
        <v>1.05273690623458</v>
      </c>
      <c r="D40">
        <v>0.888382870921536</v>
      </c>
      <c r="E40">
        <v>1.08241835012548</v>
      </c>
      <c r="F40">
        <v>0.871927522517709</v>
      </c>
      <c r="G40">
        <v>0.668585950400671</v>
      </c>
      <c r="H40">
        <v>0.542018030607106</v>
      </c>
      <c r="I40">
        <v>0.407276691659499</v>
      </c>
      <c r="J40">
        <v>0.253788869055269</v>
      </c>
      <c r="K40">
        <v>0.309932637018424</v>
      </c>
      <c r="L40">
        <v>932.011720452878</v>
      </c>
      <c r="M40">
        <v>16.857314833109</v>
      </c>
      <c r="N40">
        <v>57.6242402413968</v>
      </c>
      <c r="O40">
        <v>54.5278003541036</v>
      </c>
      <c r="P40">
        <v>-0.0581594236776632</v>
      </c>
      <c r="Q40">
        <v>0.247542591163096</v>
      </c>
      <c r="R40">
        <v>0.96044397541935</v>
      </c>
      <c r="S40" t="s">
        <v>1708</v>
      </c>
      <c r="T40" t="s">
        <v>3312</v>
      </c>
      <c r="U40" t="s">
        <v>3312</v>
      </c>
      <c r="V40" t="s">
        <v>3312</v>
      </c>
      <c r="W40" t="s">
        <v>3352</v>
      </c>
      <c r="X40">
        <v>8</v>
      </c>
      <c r="Y40" t="s">
        <v>4991</v>
      </c>
      <c r="Z40" t="s">
        <v>6633</v>
      </c>
      <c r="AA40">
        <v>0.7158275911130156</v>
      </c>
      <c r="AB40">
        <f>HYPERLINK("Melting_Curves/meltCurve_P02919_mrcB.pdf", "Melting_Curves/meltCurve_P02919_mrcB.pdf")</f>
        <v>0</v>
      </c>
    </row>
    <row r="41" spans="1:28">
      <c r="A41" t="s">
        <v>67</v>
      </c>
      <c r="B41">
        <v>0.999984544473304</v>
      </c>
      <c r="C41">
        <v>0.856578011175565</v>
      </c>
      <c r="D41">
        <v>0.942411603702852</v>
      </c>
      <c r="E41">
        <v>0.976026541811015</v>
      </c>
      <c r="F41">
        <v>1.13788356415725</v>
      </c>
      <c r="G41">
        <v>0.91499155987001</v>
      </c>
      <c r="H41">
        <v>0.938415667427399</v>
      </c>
      <c r="I41">
        <v>0.857893305596061</v>
      </c>
      <c r="J41">
        <v>0.770008612345329</v>
      </c>
      <c r="K41">
        <v>0.7098094152198789</v>
      </c>
      <c r="L41">
        <v>1077.00565481771</v>
      </c>
      <c r="M41">
        <v>17.1789196075571</v>
      </c>
      <c r="O41">
        <v>61.8624074173743</v>
      </c>
      <c r="P41">
        <v>-0.0267727738680637</v>
      </c>
      <c r="Q41">
        <v>0.614380871236647</v>
      </c>
      <c r="R41">
        <v>0.627425700454211</v>
      </c>
      <c r="S41" t="s">
        <v>1709</v>
      </c>
      <c r="T41" t="s">
        <v>3312</v>
      </c>
      <c r="U41" t="s">
        <v>3312</v>
      </c>
      <c r="V41" t="s">
        <v>3312</v>
      </c>
      <c r="W41" t="s">
        <v>3353</v>
      </c>
      <c r="X41">
        <v>15</v>
      </c>
      <c r="Y41" t="s">
        <v>4992</v>
      </c>
      <c r="Z41" t="s">
        <v>6634</v>
      </c>
      <c r="AA41">
        <v>0.9361656370729601</v>
      </c>
      <c r="AB41">
        <f>HYPERLINK("Melting_Curves/meltCurve_P02924_araF.pdf", "Melting_Curves/meltCurve_P02924_araF.pdf")</f>
        <v>0</v>
      </c>
    </row>
    <row r="42" spans="1:28">
      <c r="A42" t="s">
        <v>68</v>
      </c>
      <c r="B42">
        <v>0.999984544473304</v>
      </c>
      <c r="C42">
        <v>0.956648769264404</v>
      </c>
      <c r="D42">
        <v>1.01846391214086</v>
      </c>
      <c r="E42">
        <v>1.05184679704417</v>
      </c>
      <c r="F42">
        <v>1.12125994413052</v>
      </c>
      <c r="G42">
        <v>1.01668298996233</v>
      </c>
      <c r="H42">
        <v>1.08062896402834</v>
      </c>
      <c r="I42">
        <v>0.953140323967208</v>
      </c>
      <c r="J42">
        <v>0.747106358876002</v>
      </c>
      <c r="K42">
        <v>0.799314910700795</v>
      </c>
      <c r="L42">
        <v>15000</v>
      </c>
      <c r="M42">
        <v>244.556330288464</v>
      </c>
      <c r="O42">
        <v>61.3314599499812</v>
      </c>
      <c r="P42">
        <v>-0.226080195189474</v>
      </c>
      <c r="Q42">
        <v>0.773208429941491</v>
      </c>
      <c r="R42">
        <v>0.780279135437431</v>
      </c>
      <c r="S42" t="s">
        <v>1710</v>
      </c>
      <c r="T42" t="s">
        <v>3312</v>
      </c>
      <c r="U42" t="s">
        <v>3312</v>
      </c>
      <c r="V42" t="s">
        <v>3312</v>
      </c>
      <c r="W42" t="s">
        <v>3354</v>
      </c>
      <c r="X42">
        <v>18</v>
      </c>
      <c r="Y42" t="s">
        <v>4993</v>
      </c>
      <c r="Z42" t="s">
        <v>6635</v>
      </c>
      <c r="AA42">
        <v>0.9572039533637074</v>
      </c>
      <c r="AB42">
        <f>HYPERLINK("Melting_Curves/meltCurve_P02925_rbsB.pdf", "Melting_Curves/meltCurve_P02925_rbsB.pdf")</f>
        <v>0</v>
      </c>
    </row>
    <row r="43" spans="1:28">
      <c r="A43" t="s">
        <v>69</v>
      </c>
      <c r="B43">
        <v>0.999984544473304</v>
      </c>
      <c r="C43">
        <v>1.1889290349622</v>
      </c>
      <c r="D43">
        <v>1.24234864670853</v>
      </c>
      <c r="E43">
        <v>1.12890339537389</v>
      </c>
      <c r="F43">
        <v>0.96402607434599</v>
      </c>
      <c r="G43">
        <v>1.00157342222729</v>
      </c>
      <c r="H43">
        <v>0.641345702786101</v>
      </c>
      <c r="I43">
        <v>0.522645923015375</v>
      </c>
      <c r="J43">
        <v>0.370345398827212</v>
      </c>
      <c r="K43">
        <v>0.27059740569724</v>
      </c>
      <c r="L43">
        <v>1381.95457899691</v>
      </c>
      <c r="M43">
        <v>23.6005318887605</v>
      </c>
      <c r="N43">
        <v>60.5241595199538</v>
      </c>
      <c r="O43">
        <v>58.1405264958859</v>
      </c>
      <c r="P43">
        <v>-0.0742955186419947</v>
      </c>
      <c r="Q43">
        <v>0.267896642608995</v>
      </c>
      <c r="R43">
        <v>0.884842855581247</v>
      </c>
      <c r="S43" t="s">
        <v>1711</v>
      </c>
      <c r="T43" t="s">
        <v>3312</v>
      </c>
      <c r="U43" t="s">
        <v>3312</v>
      </c>
      <c r="V43" t="s">
        <v>3312</v>
      </c>
      <c r="W43" t="s">
        <v>3355</v>
      </c>
      <c r="X43">
        <v>5</v>
      </c>
      <c r="Y43" t="s">
        <v>4994</v>
      </c>
      <c r="Z43" t="s">
        <v>6636</v>
      </c>
      <c r="AA43">
        <v>0.7981935362894872</v>
      </c>
      <c r="AB43">
        <f>HYPERLINK("Melting_Curves/meltCurve_P02930_tolC.pdf", "Melting_Curves/meltCurve_P02930_tolC.pdf")</f>
        <v>0</v>
      </c>
    </row>
    <row r="44" spans="1:28">
      <c r="A44" t="s">
        <v>70</v>
      </c>
      <c r="B44">
        <v>0.999984544473304</v>
      </c>
      <c r="C44">
        <v>1.05883443799527</v>
      </c>
      <c r="D44">
        <v>1.02214263410304</v>
      </c>
      <c r="E44">
        <v>0.615201884902947</v>
      </c>
      <c r="F44">
        <v>0.429880050479125</v>
      </c>
      <c r="G44">
        <v>0.283303721938317</v>
      </c>
      <c r="H44">
        <v>0.124325123590693</v>
      </c>
      <c r="I44">
        <v>0.103270280361764</v>
      </c>
      <c r="J44">
        <v>0.08316280036422891</v>
      </c>
      <c r="K44">
        <v>0.0810657321539232</v>
      </c>
      <c r="L44">
        <v>859.671779537539</v>
      </c>
      <c r="M44">
        <v>17.690011305164</v>
      </c>
      <c r="N44">
        <v>49.1029109775512</v>
      </c>
      <c r="O44">
        <v>47.9882010295346</v>
      </c>
      <c r="P44">
        <v>-0.08447759309911319</v>
      </c>
      <c r="Q44">
        <v>0.0833892664317531</v>
      </c>
      <c r="R44">
        <v>0.9805622683031719</v>
      </c>
      <c r="S44" t="s">
        <v>1712</v>
      </c>
      <c r="T44" t="s">
        <v>3312</v>
      </c>
      <c r="U44" t="s">
        <v>3312</v>
      </c>
      <c r="V44" t="s">
        <v>3312</v>
      </c>
      <c r="W44" t="s">
        <v>3356</v>
      </c>
      <c r="X44">
        <v>4</v>
      </c>
      <c r="Y44" t="s">
        <v>4995</v>
      </c>
      <c r="Z44" t="s">
        <v>6637</v>
      </c>
      <c r="AA44">
        <v>0.4527690036745942</v>
      </c>
      <c r="AB44">
        <f>HYPERLINK("Melting_Curves/meltCurve_P02931_ompF.pdf", "Melting_Curves/meltCurve_P02931_ompF.pdf")</f>
        <v>0</v>
      </c>
    </row>
    <row r="45" spans="1:28">
      <c r="A45" t="s">
        <v>71</v>
      </c>
      <c r="B45">
        <v>0.999984544473304</v>
      </c>
      <c r="C45">
        <v>1.03347236123746</v>
      </c>
      <c r="D45">
        <v>0.961698637070684</v>
      </c>
      <c r="E45">
        <v>0.90738044750657</v>
      </c>
      <c r="F45">
        <v>0.89662803089656</v>
      </c>
      <c r="G45">
        <v>0.695457109580194</v>
      </c>
      <c r="H45">
        <v>0.643961670468167</v>
      </c>
      <c r="I45">
        <v>0.445529614862739</v>
      </c>
      <c r="J45">
        <v>0.335774259674968</v>
      </c>
      <c r="K45">
        <v>0.237521043298136</v>
      </c>
      <c r="L45">
        <v>586.593541863326</v>
      </c>
      <c r="M45">
        <v>9.82915850287538</v>
      </c>
      <c r="N45">
        <v>59.6789246190243</v>
      </c>
      <c r="O45">
        <v>57.3660628420637</v>
      </c>
      <c r="P45">
        <v>-0.0428575022096455</v>
      </c>
      <c r="Q45">
        <v>0</v>
      </c>
      <c r="R45">
        <v>0.9880424901349369</v>
      </c>
      <c r="S45" t="s">
        <v>1713</v>
      </c>
      <c r="T45" t="s">
        <v>3312</v>
      </c>
      <c r="U45" t="s">
        <v>3312</v>
      </c>
      <c r="V45" t="s">
        <v>3312</v>
      </c>
      <c r="W45" t="s">
        <v>3357</v>
      </c>
      <c r="X45">
        <v>19</v>
      </c>
      <c r="Y45" t="s">
        <v>4996</v>
      </c>
      <c r="Z45" t="s">
        <v>6638</v>
      </c>
      <c r="AA45">
        <v>0.7311907252317692</v>
      </c>
      <c r="AB45">
        <f>HYPERLINK("Melting_Curves/meltCurve_P02942_tsr.pdf", "Melting_Curves/meltCurve_P02942_tsr.pdf")</f>
        <v>0</v>
      </c>
    </row>
    <row r="46" spans="1:28">
      <c r="A46" t="s">
        <v>72</v>
      </c>
      <c r="B46">
        <v>0.999984544473304</v>
      </c>
      <c r="C46">
        <v>1.28683551232239</v>
      </c>
      <c r="D46">
        <v>1.20000649598174</v>
      </c>
      <c r="E46">
        <v>1.33649259566573</v>
      </c>
      <c r="F46">
        <v>1.23246109567884</v>
      </c>
      <c r="G46">
        <v>1.19027813052617</v>
      </c>
      <c r="H46">
        <v>1.09525276118874</v>
      </c>
      <c r="I46">
        <v>0.998559900970208</v>
      </c>
      <c r="J46">
        <v>1.0142146335007</v>
      </c>
      <c r="K46">
        <v>0.742386901022013</v>
      </c>
      <c r="L46">
        <v>15000</v>
      </c>
      <c r="M46">
        <v>222.822179932798</v>
      </c>
      <c r="Q46">
        <v>0</v>
      </c>
      <c r="R46">
        <v>-0.191564064345777</v>
      </c>
      <c r="S46" t="s">
        <v>1714</v>
      </c>
      <c r="T46" t="s">
        <v>3312</v>
      </c>
      <c r="U46" t="s">
        <v>3312</v>
      </c>
      <c r="V46" t="s">
        <v>3312</v>
      </c>
      <c r="W46" t="s">
        <v>3358</v>
      </c>
      <c r="X46">
        <v>7</v>
      </c>
      <c r="Y46" t="s">
        <v>4997</v>
      </c>
      <c r="Z46" t="s">
        <v>6639</v>
      </c>
      <c r="AA46">
        <v>0.997056645262949</v>
      </c>
      <c r="AB46">
        <f>HYPERLINK("Melting_Curves/meltCurve_P02943_lamB.pdf", "Melting_Curves/meltCurve_P02943_lamB.pdf")</f>
        <v>0</v>
      </c>
    </row>
    <row r="47" spans="1:28">
      <c r="A47" t="s">
        <v>73</v>
      </c>
      <c r="B47">
        <v>0.999984544473304</v>
      </c>
      <c r="C47">
        <v>0.772073612359199</v>
      </c>
      <c r="D47">
        <v>0.537262419096515</v>
      </c>
      <c r="E47">
        <v>0.503557320614005</v>
      </c>
      <c r="F47">
        <v>0.492242656069948</v>
      </c>
      <c r="G47">
        <v>0.323018655298384</v>
      </c>
      <c r="H47">
        <v>0.246626095538274</v>
      </c>
      <c r="I47">
        <v>0.206847143831966</v>
      </c>
      <c r="J47">
        <v>0.161296499452092</v>
      </c>
      <c r="K47">
        <v>0.242099753705168</v>
      </c>
      <c r="L47">
        <v>402.254757731724</v>
      </c>
      <c r="M47">
        <v>9.01409839772359</v>
      </c>
      <c r="N47">
        <v>46.6768617199004</v>
      </c>
      <c r="O47">
        <v>42.593036298326</v>
      </c>
      <c r="P47">
        <v>-0.0442857314097171</v>
      </c>
      <c r="Q47">
        <v>0.163576020744773</v>
      </c>
      <c r="R47">
        <v>0.935995777736259</v>
      </c>
      <c r="S47" t="s">
        <v>1715</v>
      </c>
      <c r="T47" t="s">
        <v>3312</v>
      </c>
      <c r="U47" t="s">
        <v>3312</v>
      </c>
      <c r="V47" t="s">
        <v>3312</v>
      </c>
      <c r="W47" t="s">
        <v>3359</v>
      </c>
      <c r="X47">
        <v>1</v>
      </c>
      <c r="Y47" t="s">
        <v>4998</v>
      </c>
      <c r="Z47" t="s">
        <v>6640</v>
      </c>
      <c r="AA47">
        <v>0.4262536647760052</v>
      </c>
      <c r="AB47">
        <f>HYPERLINK("Melting_Curves/meltCurve_P03813_ygeA.pdf", "Melting_Curves/meltCurve_P03813_ygeA.pdf")</f>
        <v>0</v>
      </c>
    </row>
    <row r="48" spans="1:28">
      <c r="A48" t="s">
        <v>74</v>
      </c>
      <c r="B48">
        <v>0.999984544473304</v>
      </c>
      <c r="C48">
        <v>1.26741256224787</v>
      </c>
      <c r="D48">
        <v>0.767786418489565</v>
      </c>
      <c r="E48">
        <v>0.883144954940659</v>
      </c>
      <c r="F48">
        <v>0.745377775668798</v>
      </c>
      <c r="G48">
        <v>0.401714630356233</v>
      </c>
      <c r="H48">
        <v>0.33781695892504</v>
      </c>
      <c r="I48">
        <v>0.31166455425828</v>
      </c>
      <c r="J48">
        <v>0.213087899674595</v>
      </c>
      <c r="K48">
        <v>0.309208775648018</v>
      </c>
      <c r="L48">
        <v>929.075783608603</v>
      </c>
      <c r="M48">
        <v>18.2204073281646</v>
      </c>
      <c r="N48">
        <v>53.0162892846808</v>
      </c>
      <c r="O48">
        <v>50.3886043296529</v>
      </c>
      <c r="P48">
        <v>-0.0677369719003332</v>
      </c>
      <c r="Q48">
        <v>0.2507275518712</v>
      </c>
      <c r="R48">
        <v>0.886516303916946</v>
      </c>
      <c r="S48" t="s">
        <v>1716</v>
      </c>
      <c r="T48" t="s">
        <v>3312</v>
      </c>
      <c r="U48" t="s">
        <v>3312</v>
      </c>
      <c r="V48" t="s">
        <v>3312</v>
      </c>
      <c r="W48" t="s">
        <v>3360</v>
      </c>
      <c r="X48">
        <v>2</v>
      </c>
      <c r="Y48" t="s">
        <v>4999</v>
      </c>
      <c r="Z48" t="s">
        <v>6641</v>
      </c>
      <c r="AA48">
        <v>0.6115666335580773</v>
      </c>
      <c r="AB48">
        <f>HYPERLINK("Melting_Curves/meltCurve_P03817_mioC.pdf", "Melting_Curves/meltCurve_P03817_mioC.pdf")</f>
        <v>0</v>
      </c>
    </row>
    <row r="49" spans="1:28">
      <c r="A49" t="s">
        <v>75</v>
      </c>
      <c r="B49">
        <v>0.999984544473304</v>
      </c>
      <c r="C49">
        <v>0.939222534318311</v>
      </c>
      <c r="D49">
        <v>0.709044453777428</v>
      </c>
      <c r="E49">
        <v>0.955941854319904</v>
      </c>
      <c r="F49">
        <v>0.972355476585852</v>
      </c>
      <c r="G49">
        <v>0.834961299186661</v>
      </c>
      <c r="H49">
        <v>0.821769225401366</v>
      </c>
      <c r="I49">
        <v>0.644988956585584</v>
      </c>
      <c r="J49">
        <v>0.428245889863191</v>
      </c>
      <c r="K49">
        <v>0.446962871680906</v>
      </c>
      <c r="L49">
        <v>575.394070508812</v>
      </c>
      <c r="M49">
        <v>8.91889934421094</v>
      </c>
      <c r="N49">
        <v>64.5140218656552</v>
      </c>
      <c r="O49">
        <v>61.5180311112749</v>
      </c>
      <c r="P49">
        <v>-0.0362723071786055</v>
      </c>
      <c r="Q49">
        <v>0</v>
      </c>
      <c r="R49">
        <v>0.758539942193823</v>
      </c>
      <c r="S49" t="s">
        <v>1717</v>
      </c>
      <c r="T49" t="s">
        <v>3312</v>
      </c>
      <c r="U49" t="s">
        <v>3312</v>
      </c>
      <c r="V49" t="s">
        <v>3312</v>
      </c>
      <c r="W49" t="s">
        <v>3361</v>
      </c>
      <c r="X49">
        <v>8</v>
      </c>
      <c r="Y49" t="s">
        <v>5000</v>
      </c>
      <c r="Z49" t="s">
        <v>6642</v>
      </c>
      <c r="AA49">
        <v>0.8211672991432815</v>
      </c>
      <c r="AB49">
        <f>HYPERLINK("Melting_Curves/meltCurve_P03841_malM.pdf", "Melting_Curves/meltCurve_P03841_malM.pdf")</f>
        <v>0</v>
      </c>
    </row>
    <row r="50" spans="1:28">
      <c r="A50" t="s">
        <v>76</v>
      </c>
      <c r="B50">
        <v>0.999984544473304</v>
      </c>
      <c r="C50">
        <v>0.797892728173777</v>
      </c>
      <c r="D50">
        <v>0.672937098073338</v>
      </c>
      <c r="E50">
        <v>0.329160239353631</v>
      </c>
      <c r="F50">
        <v>0.188894427556107</v>
      </c>
      <c r="G50">
        <v>0.127285363662819</v>
      </c>
      <c r="H50">
        <v>0.116248302815178</v>
      </c>
      <c r="I50">
        <v>0.0916971662179441</v>
      </c>
      <c r="J50">
        <v>0.07060126435929991</v>
      </c>
      <c r="K50">
        <v>0.0622769379860842</v>
      </c>
      <c r="L50">
        <v>696.670687683892</v>
      </c>
      <c r="M50">
        <v>15.7877814837657</v>
      </c>
      <c r="N50">
        <v>44.5676555688508</v>
      </c>
      <c r="O50">
        <v>43.4374182495349</v>
      </c>
      <c r="P50">
        <v>-0.0843087783125569</v>
      </c>
      <c r="Q50">
        <v>0.0722308211109715</v>
      </c>
      <c r="R50">
        <v>0.9926659569366511</v>
      </c>
      <c r="S50" t="s">
        <v>1718</v>
      </c>
      <c r="T50" t="s">
        <v>3312</v>
      </c>
      <c r="U50" t="s">
        <v>3312</v>
      </c>
      <c r="V50" t="s">
        <v>3312</v>
      </c>
      <c r="W50" t="s">
        <v>3362</v>
      </c>
      <c r="X50">
        <v>5</v>
      </c>
      <c r="Y50" t="s">
        <v>5001</v>
      </c>
      <c r="Z50" t="s">
        <v>6643</v>
      </c>
      <c r="AA50">
        <v>0.3132244192239206</v>
      </c>
      <c r="AB50">
        <f>HYPERLINK("Melting_Curves/meltCurve_P04036_dapB.pdf", "Melting_Curves/meltCurve_P04036_dapB.pdf")</f>
        <v>0</v>
      </c>
    </row>
    <row r="51" spans="1:28">
      <c r="A51" t="s">
        <v>77</v>
      </c>
      <c r="B51">
        <v>0.999984544473304</v>
      </c>
      <c r="C51">
        <v>1.08356155360141</v>
      </c>
      <c r="D51">
        <v>1.23485560671401</v>
      </c>
      <c r="E51">
        <v>0.963583472798867</v>
      </c>
      <c r="F51">
        <v>1.20423220482964</v>
      </c>
      <c r="G51">
        <v>0.945975597385577</v>
      </c>
      <c r="H51">
        <v>0.154991339853644</v>
      </c>
      <c r="I51">
        <v>0.073964204411597</v>
      </c>
      <c r="J51">
        <v>0.0480060759560654</v>
      </c>
      <c r="K51">
        <v>0.0340203796309333</v>
      </c>
      <c r="L51">
        <v>4227.6005317946</v>
      </c>
      <c r="M51">
        <v>75.7492080845891</v>
      </c>
      <c r="N51">
        <v>55.8905609347572</v>
      </c>
      <c r="O51">
        <v>55.7716303684496</v>
      </c>
      <c r="P51">
        <v>-0.322091811903261</v>
      </c>
      <c r="Q51">
        <v>0.0514180666250741</v>
      </c>
      <c r="R51">
        <v>0.95687545677798</v>
      </c>
      <c r="S51" t="s">
        <v>1719</v>
      </c>
      <c r="T51" t="s">
        <v>3312</v>
      </c>
      <c r="U51" t="s">
        <v>3312</v>
      </c>
      <c r="V51" t="s">
        <v>3312</v>
      </c>
      <c r="W51" t="s">
        <v>3363</v>
      </c>
      <c r="X51">
        <v>11</v>
      </c>
      <c r="Y51" t="s">
        <v>5002</v>
      </c>
      <c r="Z51" t="s">
        <v>6644</v>
      </c>
      <c r="AA51">
        <v>0.6472086107189233</v>
      </c>
      <c r="AB51">
        <f>HYPERLINK("Melting_Curves/meltCurve_P04079_guaA.pdf", "Melting_Curves/meltCurve_P04079_guaA.pdf")</f>
        <v>0</v>
      </c>
    </row>
    <row r="52" spans="1:28">
      <c r="A52" t="s">
        <v>78</v>
      </c>
      <c r="B52">
        <v>0.999984544473304</v>
      </c>
      <c r="C52">
        <v>0.993351660469233</v>
      </c>
      <c r="D52">
        <v>0.889749958839544</v>
      </c>
      <c r="E52">
        <v>0.441153358466748</v>
      </c>
      <c r="F52">
        <v>0.238965528243277</v>
      </c>
      <c r="G52">
        <v>0.147423810272885</v>
      </c>
      <c r="H52">
        <v>0.09034613373983499</v>
      </c>
      <c r="I52">
        <v>0.052830817120211</v>
      </c>
      <c r="J52">
        <v>0.039664630653779</v>
      </c>
      <c r="K52">
        <v>0.0409709231182253</v>
      </c>
      <c r="L52">
        <v>1018.24728945083</v>
      </c>
      <c r="M52">
        <v>22.0262713881903</v>
      </c>
      <c r="N52">
        <v>46.5171458601645</v>
      </c>
      <c r="O52">
        <v>45.8527889448925</v>
      </c>
      <c r="P52">
        <v>-0.112430675365361</v>
      </c>
      <c r="Q52">
        <v>0.0638190645287372</v>
      </c>
      <c r="R52">
        <v>0.993830297183857</v>
      </c>
      <c r="S52" t="s">
        <v>1720</v>
      </c>
      <c r="T52" t="s">
        <v>3312</v>
      </c>
      <c r="U52" t="s">
        <v>3312</v>
      </c>
      <c r="V52" t="s">
        <v>3312</v>
      </c>
      <c r="W52" t="s">
        <v>3364</v>
      </c>
      <c r="X52">
        <v>5</v>
      </c>
      <c r="Y52" t="s">
        <v>5003</v>
      </c>
      <c r="Z52" t="s">
        <v>6645</v>
      </c>
      <c r="AA52">
        <v>0.3618806909882217</v>
      </c>
      <c r="AB52">
        <f>HYPERLINK("Melting_Curves/meltCurve_P04335_frsA.pdf", "Melting_Curves/meltCurve_P04335_frsA.pdf")</f>
        <v>0</v>
      </c>
    </row>
    <row r="53" spans="1:28">
      <c r="A53" t="s">
        <v>79</v>
      </c>
      <c r="B53">
        <v>0.999984544473304</v>
      </c>
      <c r="C53">
        <v>0.901668831376962</v>
      </c>
      <c r="D53">
        <v>1.07846911580426</v>
      </c>
      <c r="E53">
        <v>0.999681910351255</v>
      </c>
      <c r="F53">
        <v>1.0980284283074</v>
      </c>
      <c r="G53">
        <v>0.980328625001947</v>
      </c>
      <c r="H53">
        <v>0.7021357674055519</v>
      </c>
      <c r="I53">
        <v>0.249565399846915</v>
      </c>
      <c r="J53">
        <v>0.0625979120592977</v>
      </c>
      <c r="K53">
        <v>0.0464355397745322</v>
      </c>
      <c r="L53">
        <v>2101.9989758589</v>
      </c>
      <c r="M53">
        <v>35.7530286560025</v>
      </c>
      <c r="N53">
        <v>58.8886536563011</v>
      </c>
      <c r="O53">
        <v>58.6091843745151</v>
      </c>
      <c r="P53">
        <v>-0.148169188746496</v>
      </c>
      <c r="Q53">
        <v>0.0284408353830062</v>
      </c>
      <c r="R53">
        <v>0.9837731133170829</v>
      </c>
      <c r="S53" t="s">
        <v>1721</v>
      </c>
      <c r="T53" t="s">
        <v>3312</v>
      </c>
      <c r="U53" t="s">
        <v>3312</v>
      </c>
      <c r="V53" t="s">
        <v>3312</v>
      </c>
      <c r="W53" t="s">
        <v>3365</v>
      </c>
      <c r="X53">
        <v>10</v>
      </c>
      <c r="Y53" t="s">
        <v>5004</v>
      </c>
      <c r="Z53" t="s">
        <v>6646</v>
      </c>
      <c r="AA53">
        <v>0.7382201684867115</v>
      </c>
      <c r="AB53">
        <f>HYPERLINK("Melting_Curves/meltCurve_P04425_gshB.pdf", "Melting_Curves/meltCurve_P04425_gshB.pdf")</f>
        <v>0</v>
      </c>
    </row>
    <row r="54" spans="1:28">
      <c r="A54" t="s">
        <v>80</v>
      </c>
      <c r="B54">
        <v>0.999984544473304</v>
      </c>
      <c r="C54">
        <v>0.818957775616968</v>
      </c>
      <c r="D54">
        <v>0.533048119897045</v>
      </c>
      <c r="E54">
        <v>0.249868932132637</v>
      </c>
      <c r="F54">
        <v>0.124831074710127</v>
      </c>
      <c r="G54">
        <v>0.0540691852604922</v>
      </c>
      <c r="H54">
        <v>0.0387858191762918</v>
      </c>
      <c r="I54">
        <v>0.028535111785406</v>
      </c>
      <c r="J54">
        <v>0.0259669741689809</v>
      </c>
      <c r="K54">
        <v>0.0149747816982729</v>
      </c>
      <c r="L54">
        <v>763.761193436382</v>
      </c>
      <c r="M54">
        <v>17.6216242008572</v>
      </c>
      <c r="N54">
        <v>43.46782295279</v>
      </c>
      <c r="O54">
        <v>42.7956742259584</v>
      </c>
      <c r="P54">
        <v>-0.100391682678239</v>
      </c>
      <c r="Q54">
        <v>0.0248124699423338</v>
      </c>
      <c r="R54">
        <v>0.997652796842022</v>
      </c>
      <c r="S54" t="s">
        <v>1722</v>
      </c>
      <c r="T54" t="s">
        <v>3312</v>
      </c>
      <c r="U54" t="s">
        <v>3312</v>
      </c>
      <c r="V54" t="s">
        <v>3312</v>
      </c>
      <c r="W54" t="s">
        <v>3366</v>
      </c>
      <c r="X54">
        <v>5</v>
      </c>
      <c r="Y54" t="s">
        <v>5005</v>
      </c>
      <c r="Z54" t="s">
        <v>6647</v>
      </c>
      <c r="AA54">
        <v>0.2487129526659012</v>
      </c>
      <c r="AB54">
        <f>HYPERLINK("Melting_Curves/meltCurve_P04693_tyrB.pdf", "Melting_Curves/meltCurve_P04693_tyrB.pdf")</f>
        <v>0</v>
      </c>
    </row>
    <row r="55" spans="1:28">
      <c r="A55" t="s">
        <v>81</v>
      </c>
      <c r="B55">
        <v>0.999984544473304</v>
      </c>
      <c r="C55">
        <v>1.02810579002366</v>
      </c>
      <c r="D55">
        <v>1.16125429573817</v>
      </c>
      <c r="E55">
        <v>0.986859622697948</v>
      </c>
      <c r="F55">
        <v>1.03565402803803</v>
      </c>
      <c r="G55">
        <v>0.212510552293147</v>
      </c>
      <c r="H55">
        <v>0.0599622921194193</v>
      </c>
      <c r="I55">
        <v>0.0335250490940753</v>
      </c>
      <c r="J55">
        <v>0.0283191405440998</v>
      </c>
      <c r="K55">
        <v>0.0219733271353613</v>
      </c>
      <c r="L55">
        <v>13369.5605413515</v>
      </c>
      <c r="M55">
        <v>250</v>
      </c>
      <c r="N55">
        <v>53.49421893188</v>
      </c>
      <c r="O55">
        <v>53.4748200924382</v>
      </c>
      <c r="P55">
        <v>-1.12676286863808</v>
      </c>
      <c r="Q55">
        <v>0.0359449373754577</v>
      </c>
      <c r="R55">
        <v>0.98789989120133</v>
      </c>
      <c r="S55" t="s">
        <v>1723</v>
      </c>
      <c r="T55" t="s">
        <v>3312</v>
      </c>
      <c r="U55" t="s">
        <v>3312</v>
      </c>
      <c r="V55" t="s">
        <v>3312</v>
      </c>
      <c r="W55" t="s">
        <v>3367</v>
      </c>
      <c r="X55">
        <v>8</v>
      </c>
      <c r="Y55" t="s">
        <v>5006</v>
      </c>
      <c r="Z55" t="s">
        <v>6648</v>
      </c>
      <c r="AA55">
        <v>0.5655665100577006</v>
      </c>
      <c r="AB55">
        <f>HYPERLINK("Melting_Curves/meltCurve_P04805_gltX.pdf", "Melting_Curves/meltCurve_P04805_gltX.pdf")</f>
        <v>0</v>
      </c>
    </row>
    <row r="56" spans="1:28">
      <c r="A56" t="s">
        <v>82</v>
      </c>
      <c r="B56">
        <v>0.999984544473304</v>
      </c>
      <c r="C56">
        <v>0.925473681825567</v>
      </c>
      <c r="D56">
        <v>0.688257655030463</v>
      </c>
      <c r="E56">
        <v>0.897213156707548</v>
      </c>
      <c r="F56">
        <v>0.641784934975658</v>
      </c>
      <c r="G56">
        <v>0.570747368873738</v>
      </c>
      <c r="H56">
        <v>0.650101159117404</v>
      </c>
      <c r="I56">
        <v>0.370596458232414</v>
      </c>
      <c r="J56">
        <v>0.29871923447572</v>
      </c>
      <c r="K56">
        <v>0.281129394100105</v>
      </c>
      <c r="L56">
        <v>320.533501375689</v>
      </c>
      <c r="M56">
        <v>5.60798230250208</v>
      </c>
      <c r="N56">
        <v>57.1566603477791</v>
      </c>
      <c r="O56">
        <v>51.1290717656052</v>
      </c>
      <c r="P56">
        <v>-0.02753352642132</v>
      </c>
      <c r="Q56">
        <v>0</v>
      </c>
      <c r="R56">
        <v>0.870201277402589</v>
      </c>
      <c r="S56" t="s">
        <v>1724</v>
      </c>
      <c r="T56" t="s">
        <v>3312</v>
      </c>
      <c r="U56" t="s">
        <v>3312</v>
      </c>
      <c r="V56" t="s">
        <v>3312</v>
      </c>
      <c r="W56" t="s">
        <v>3368</v>
      </c>
      <c r="X56">
        <v>2</v>
      </c>
      <c r="Y56" t="s">
        <v>5007</v>
      </c>
      <c r="Z56" t="s">
        <v>6649</v>
      </c>
      <c r="AA56">
        <v>0.6362669004847891</v>
      </c>
      <c r="AB56">
        <f>HYPERLINK("Melting_Curves/meltCurve_P04816_livK.pdf", "Melting_Curves/meltCurve_P04816_livK.pdf")</f>
        <v>0</v>
      </c>
    </row>
    <row r="57" spans="1:28">
      <c r="A57" t="s">
        <v>83</v>
      </c>
      <c r="B57">
        <v>0.999984544473304</v>
      </c>
      <c r="C57">
        <v>1.26216489248915</v>
      </c>
      <c r="D57">
        <v>0.771623753602078</v>
      </c>
      <c r="E57">
        <v>0.823177288710258</v>
      </c>
      <c r="F57">
        <v>0.394193352298684</v>
      </c>
      <c r="G57">
        <v>0.114656281198639</v>
      </c>
      <c r="H57">
        <v>0.0382696065905523</v>
      </c>
      <c r="I57">
        <v>0.0176188335415863</v>
      </c>
      <c r="J57">
        <v>0.0117299135252396</v>
      </c>
      <c r="K57">
        <v>0.0123282294508385</v>
      </c>
      <c r="L57">
        <v>1078.5860395517</v>
      </c>
      <c r="M57">
        <v>21.9099179096941</v>
      </c>
      <c r="N57">
        <v>49.2292079148731</v>
      </c>
      <c r="O57">
        <v>48.8235983145301</v>
      </c>
      <c r="P57">
        <v>-0.112166767184822</v>
      </c>
      <c r="Q57">
        <v>0.000222021165113259</v>
      </c>
      <c r="R57">
        <v>0.946523293907519</v>
      </c>
      <c r="S57" t="s">
        <v>1725</v>
      </c>
      <c r="T57" t="s">
        <v>3312</v>
      </c>
      <c r="U57" t="s">
        <v>3312</v>
      </c>
      <c r="V57" t="s">
        <v>3312</v>
      </c>
      <c r="W57" t="s">
        <v>3369</v>
      </c>
      <c r="X57">
        <v>16</v>
      </c>
      <c r="Y57" t="s">
        <v>5008</v>
      </c>
      <c r="Z57" t="s">
        <v>6650</v>
      </c>
      <c r="AA57">
        <v>0.418878796392568</v>
      </c>
      <c r="AB57">
        <f>HYPERLINK("Melting_Curves/meltCurve_P04825_pepN.pdf", "Melting_Curves/meltCurve_P04825_pepN.pdf")</f>
        <v>0</v>
      </c>
    </row>
    <row r="58" spans="1:28">
      <c r="A58" t="s">
        <v>84</v>
      </c>
      <c r="B58">
        <v>0.999984544473304</v>
      </c>
      <c r="C58">
        <v>0.8523582534413821</v>
      </c>
      <c r="D58">
        <v>0.927529502762968</v>
      </c>
      <c r="E58">
        <v>0.641259461036687</v>
      </c>
      <c r="F58">
        <v>0.444185017356771</v>
      </c>
      <c r="G58">
        <v>0.21217375110339</v>
      </c>
      <c r="H58">
        <v>0.140944881583939</v>
      </c>
      <c r="I58">
        <v>0.133681807749188</v>
      </c>
      <c r="J58">
        <v>0.120973579378405</v>
      </c>
      <c r="K58">
        <v>0.113841626225928</v>
      </c>
      <c r="L58">
        <v>732.6744922071319</v>
      </c>
      <c r="M58">
        <v>15.2065292724004</v>
      </c>
      <c r="N58">
        <v>48.8191117462064</v>
      </c>
      <c r="O58">
        <v>47.3713796058285</v>
      </c>
      <c r="P58">
        <v>-0.0730316813180705</v>
      </c>
      <c r="Q58">
        <v>0.09005399587843781</v>
      </c>
      <c r="R58">
        <v>0.984662544988977</v>
      </c>
      <c r="S58" t="s">
        <v>1726</v>
      </c>
      <c r="T58" t="s">
        <v>3312</v>
      </c>
      <c r="U58" t="s">
        <v>3312</v>
      </c>
      <c r="V58" t="s">
        <v>3312</v>
      </c>
      <c r="W58" t="s">
        <v>3370</v>
      </c>
      <c r="X58">
        <v>4</v>
      </c>
      <c r="Y58" t="s">
        <v>5009</v>
      </c>
      <c r="Z58" t="s">
        <v>6651</v>
      </c>
      <c r="AA58">
        <v>0.4487182375982093</v>
      </c>
      <c r="AB58">
        <f>HYPERLINK("Melting_Curves/meltCurve_P04846_nlpA.pdf", "Melting_Curves/meltCurve_P04846_nlpA.pdf")</f>
        <v>0</v>
      </c>
    </row>
    <row r="59" spans="1:28">
      <c r="A59" t="s">
        <v>85</v>
      </c>
      <c r="B59">
        <v>0.999984544473304</v>
      </c>
      <c r="C59">
        <v>1.13018306866761</v>
      </c>
      <c r="D59">
        <v>1.33389729568209</v>
      </c>
      <c r="E59">
        <v>1.98151062030388</v>
      </c>
      <c r="F59">
        <v>2.21398181598281</v>
      </c>
      <c r="G59">
        <v>2.01623158892398</v>
      </c>
      <c r="H59">
        <v>2.17871020709226</v>
      </c>
      <c r="I59">
        <v>1.7682929832575</v>
      </c>
      <c r="J59">
        <v>1.48581006606336</v>
      </c>
      <c r="K59">
        <v>1.44588290152636</v>
      </c>
      <c r="L59">
        <v>1696.97195172233</v>
      </c>
      <c r="M59">
        <v>41.009750397924</v>
      </c>
      <c r="O59">
        <v>41.2816970444637</v>
      </c>
      <c r="P59">
        <v>0.124176806795417</v>
      </c>
      <c r="Q59">
        <v>1.5</v>
      </c>
      <c r="R59">
        <v>0.09293354480193119</v>
      </c>
      <c r="S59" t="s">
        <v>1727</v>
      </c>
      <c r="T59" t="s">
        <v>3312</v>
      </c>
      <c r="U59" t="s">
        <v>3312</v>
      </c>
      <c r="V59" t="s">
        <v>3312</v>
      </c>
      <c r="W59" t="s">
        <v>3371</v>
      </c>
      <c r="X59">
        <v>12</v>
      </c>
      <c r="Y59" t="s">
        <v>5010</v>
      </c>
      <c r="Z59" t="s">
        <v>6652</v>
      </c>
      <c r="AA59">
        <v>1.425544196627147</v>
      </c>
      <c r="AB59">
        <f>HYPERLINK("Melting_Curves/meltCurve_P04949_fliC.pdf", "Melting_Curves/meltCurve_P04949_fliC.pdf")</f>
        <v>0</v>
      </c>
    </row>
    <row r="60" spans="1:28">
      <c r="A60" t="s">
        <v>86</v>
      </c>
      <c r="B60">
        <v>0.999984544473304</v>
      </c>
      <c r="C60">
        <v>0.925790042790802</v>
      </c>
      <c r="D60">
        <v>0.745904309141518</v>
      </c>
      <c r="E60">
        <v>0.657629974842847</v>
      </c>
      <c r="F60">
        <v>0.542125419112969</v>
      </c>
      <c r="G60">
        <v>0.43056172585618</v>
      </c>
      <c r="H60">
        <v>0.36170201937469</v>
      </c>
      <c r="I60">
        <v>0.243169741906188</v>
      </c>
      <c r="J60">
        <v>0.150799947528231</v>
      </c>
      <c r="K60">
        <v>0.196538956735423</v>
      </c>
      <c r="L60">
        <v>381.657202229213</v>
      </c>
      <c r="M60">
        <v>7.51816821389026</v>
      </c>
      <c r="N60">
        <v>51.2924049026088</v>
      </c>
      <c r="O60">
        <v>47.5455696624273</v>
      </c>
      <c r="P60">
        <v>-0.0381142809297353</v>
      </c>
      <c r="Q60">
        <v>0.0372194574969322</v>
      </c>
      <c r="R60">
        <v>0.983872575035726</v>
      </c>
      <c r="S60" t="s">
        <v>1728</v>
      </c>
      <c r="T60" t="s">
        <v>3312</v>
      </c>
      <c r="U60" t="s">
        <v>3312</v>
      </c>
      <c r="V60" t="s">
        <v>3312</v>
      </c>
      <c r="W60" t="s">
        <v>3372</v>
      </c>
      <c r="X60">
        <v>8</v>
      </c>
      <c r="Y60" t="s">
        <v>5011</v>
      </c>
      <c r="Z60" t="s">
        <v>6653</v>
      </c>
      <c r="AA60">
        <v>0.5149506922723098</v>
      </c>
      <c r="AB60">
        <f>HYPERLINK("Melting_Curves/meltCurve_P04951_kdsB.pdf", "Melting_Curves/meltCurve_P04951_kdsB.pdf")</f>
        <v>0</v>
      </c>
    </row>
    <row r="61" spans="1:28">
      <c r="A61" t="s">
        <v>87</v>
      </c>
      <c r="B61">
        <v>0.999984544473304</v>
      </c>
      <c r="C61">
        <v>0.888931971028916</v>
      </c>
      <c r="D61">
        <v>0.919927161056576</v>
      </c>
      <c r="E61">
        <v>0.892595817749444</v>
      </c>
      <c r="F61">
        <v>0.76126845084837</v>
      </c>
      <c r="G61">
        <v>0.589824625840067</v>
      </c>
      <c r="H61">
        <v>0.49102613306055</v>
      </c>
      <c r="I61">
        <v>0.440642638518154</v>
      </c>
      <c r="J61">
        <v>0.262711468132993</v>
      </c>
      <c r="K61">
        <v>0.259404037343956</v>
      </c>
      <c r="L61">
        <v>435.580592515512</v>
      </c>
      <c r="M61">
        <v>7.59713931920805</v>
      </c>
      <c r="N61">
        <v>57.3348168165226</v>
      </c>
      <c r="O61">
        <v>53.7667442106377</v>
      </c>
      <c r="P61">
        <v>-0.0353729521333432</v>
      </c>
      <c r="Q61">
        <v>0</v>
      </c>
      <c r="R61">
        <v>0.979809373070724</v>
      </c>
      <c r="S61" t="s">
        <v>1729</v>
      </c>
      <c r="T61" t="s">
        <v>3312</v>
      </c>
      <c r="U61" t="s">
        <v>3312</v>
      </c>
      <c r="V61" t="s">
        <v>3312</v>
      </c>
      <c r="W61" t="s">
        <v>3373</v>
      </c>
      <c r="X61">
        <v>3</v>
      </c>
      <c r="Y61" t="s">
        <v>5012</v>
      </c>
      <c r="Z61" t="s">
        <v>6654</v>
      </c>
      <c r="AA61">
        <v>0.6606295720418446</v>
      </c>
      <c r="AB61">
        <f>HYPERLINK("Melting_Curves/meltCurve_P04982_rbsD.pdf", "Melting_Curves/meltCurve_P04982_rbsD.pdf")</f>
        <v>0</v>
      </c>
    </row>
    <row r="62" spans="1:28">
      <c r="A62" t="s">
        <v>88</v>
      </c>
      <c r="B62">
        <v>0.999984544473304</v>
      </c>
      <c r="C62">
        <v>0.797302714135034</v>
      </c>
      <c r="D62">
        <v>0.2129500635202</v>
      </c>
      <c r="E62">
        <v>0.0907084615180779</v>
      </c>
      <c r="F62">
        <v>0.0695322938181621</v>
      </c>
      <c r="G62">
        <v>0.0377977985870186</v>
      </c>
      <c r="H62">
        <v>0.0330501415714932</v>
      </c>
      <c r="I62">
        <v>0.0228612185026921</v>
      </c>
      <c r="J62">
        <v>0.016067379742622</v>
      </c>
      <c r="K62">
        <v>0.0150156353275607</v>
      </c>
      <c r="L62">
        <v>1529.81138309625</v>
      </c>
      <c r="M62">
        <v>37.0310027114352</v>
      </c>
      <c r="N62">
        <v>41.3991600965082</v>
      </c>
      <c r="O62">
        <v>41.1917203123354</v>
      </c>
      <c r="P62">
        <v>-0.216286585724195</v>
      </c>
      <c r="Q62">
        <v>0.0376506149740467</v>
      </c>
      <c r="R62">
        <v>0.996691686373696</v>
      </c>
      <c r="S62" t="s">
        <v>1730</v>
      </c>
      <c r="T62" t="s">
        <v>3312</v>
      </c>
      <c r="U62" t="s">
        <v>3312</v>
      </c>
      <c r="V62" t="s">
        <v>3312</v>
      </c>
      <c r="W62" t="s">
        <v>3374</v>
      </c>
      <c r="X62">
        <v>7</v>
      </c>
      <c r="Y62" t="s">
        <v>5013</v>
      </c>
      <c r="Z62" t="s">
        <v>6655</v>
      </c>
      <c r="AA62">
        <v>0.1795365180928407</v>
      </c>
      <c r="AB62">
        <f>HYPERLINK("Melting_Curves/meltCurve_P04983_rbsA.pdf", "Melting_Curves/meltCurve_P04983_rbsA.pdf")</f>
        <v>0</v>
      </c>
    </row>
    <row r="63" spans="1:28">
      <c r="A63" t="s">
        <v>89</v>
      </c>
      <c r="B63">
        <v>0.999984544473304</v>
      </c>
      <c r="C63">
        <v>0.942274735074076</v>
      </c>
      <c r="D63">
        <v>0.747680721009063</v>
      </c>
      <c r="E63">
        <v>0.837525452960459</v>
      </c>
      <c r="F63">
        <v>0.858940708939306</v>
      </c>
      <c r="G63">
        <v>0.733539008960845</v>
      </c>
      <c r="H63">
        <v>0.677038331499818</v>
      </c>
      <c r="I63">
        <v>0.608439914231047</v>
      </c>
      <c r="J63">
        <v>0.5105219733766591</v>
      </c>
      <c r="K63">
        <v>0.408523909259435</v>
      </c>
      <c r="L63">
        <v>280.657825830245</v>
      </c>
      <c r="M63">
        <v>4.29759098304676</v>
      </c>
      <c r="N63">
        <v>65.3058490612554</v>
      </c>
      <c r="O63">
        <v>54.7918110688502</v>
      </c>
      <c r="P63">
        <v>-0.0198084077508832</v>
      </c>
      <c r="Q63">
        <v>0</v>
      </c>
      <c r="R63">
        <v>0.880160893416848</v>
      </c>
      <c r="S63" t="s">
        <v>1731</v>
      </c>
      <c r="T63" t="s">
        <v>3312</v>
      </c>
      <c r="U63" t="s">
        <v>3312</v>
      </c>
      <c r="V63" t="s">
        <v>3312</v>
      </c>
      <c r="W63" t="s">
        <v>3375</v>
      </c>
      <c r="X63">
        <v>8</v>
      </c>
      <c r="Y63" t="s">
        <v>5014</v>
      </c>
      <c r="Z63" t="s">
        <v>6656</v>
      </c>
      <c r="AA63">
        <v>0.7397646331216996</v>
      </c>
      <c r="AB63">
        <f>HYPERLINK("Melting_Curves/meltCurve_P05020_pyrC.pdf", "Melting_Curves/meltCurve_P05020_pyrC.pdf")</f>
        <v>0</v>
      </c>
    </row>
    <row r="64" spans="1:28">
      <c r="A64" t="s">
        <v>90</v>
      </c>
      <c r="B64">
        <v>0.999984544473304</v>
      </c>
      <c r="C64">
        <v>0.978614366996419</v>
      </c>
      <c r="D64">
        <v>0.795740724038887</v>
      </c>
      <c r="E64">
        <v>0.300938707548537</v>
      </c>
      <c r="F64">
        <v>0.0925312573891378</v>
      </c>
      <c r="G64">
        <v>0.0515972307467611</v>
      </c>
      <c r="H64">
        <v>0</v>
      </c>
      <c r="I64">
        <v>0.0394989668453471</v>
      </c>
      <c r="J64">
        <v>0</v>
      </c>
      <c r="K64">
        <v>0</v>
      </c>
      <c r="L64">
        <v>1206.92429870857</v>
      </c>
      <c r="M64">
        <v>26.7523171453833</v>
      </c>
      <c r="N64">
        <v>45.1708269521988</v>
      </c>
      <c r="O64">
        <v>44.8649499875315</v>
      </c>
      <c r="P64">
        <v>-0.146638460010306</v>
      </c>
      <c r="Q64">
        <v>0.0163308738292357</v>
      </c>
      <c r="R64">
        <v>0.998582983490683</v>
      </c>
      <c r="S64" t="s">
        <v>1732</v>
      </c>
      <c r="T64" t="s">
        <v>3312</v>
      </c>
      <c r="U64" t="s">
        <v>3312</v>
      </c>
      <c r="V64" t="s">
        <v>3312</v>
      </c>
      <c r="W64" t="s">
        <v>3376</v>
      </c>
      <c r="X64">
        <v>1</v>
      </c>
      <c r="Y64" t="s">
        <v>5015</v>
      </c>
      <c r="Z64" t="s">
        <v>6657</v>
      </c>
      <c r="AA64">
        <v>0.2894198605750391</v>
      </c>
      <c r="AB64">
        <f>HYPERLINK("Melting_Curves/meltCurve_P05041_pabB.pdf", "Melting_Curves/meltCurve_P05041_pabB.pdf")</f>
        <v>0</v>
      </c>
    </row>
    <row r="65" spans="1:28">
      <c r="A65" t="s">
        <v>91</v>
      </c>
      <c r="B65">
        <v>0.999984544473304</v>
      </c>
      <c r="C65">
        <v>1.15419326201576</v>
      </c>
      <c r="D65">
        <v>1.19737249995191</v>
      </c>
      <c r="E65">
        <v>1.18926191141949</v>
      </c>
      <c r="F65">
        <v>1.00332638267521</v>
      </c>
      <c r="G65">
        <v>0.381561778646515</v>
      </c>
      <c r="H65">
        <v>0.148884875245968</v>
      </c>
      <c r="I65">
        <v>0.0587488643276159</v>
      </c>
      <c r="J65">
        <v>0.0323818687344619</v>
      </c>
      <c r="K65">
        <v>0.0243993818155235</v>
      </c>
      <c r="L65">
        <v>3140.77321194984</v>
      </c>
      <c r="M65">
        <v>58.9993534821333</v>
      </c>
      <c r="N65">
        <v>53.3525388053237</v>
      </c>
      <c r="O65">
        <v>53.1729730043165</v>
      </c>
      <c r="P65">
        <v>-0.260355934754327</v>
      </c>
      <c r="Q65">
        <v>0.0614207113762052</v>
      </c>
      <c r="R65">
        <v>0.957535374798605</v>
      </c>
      <c r="S65" t="s">
        <v>1733</v>
      </c>
      <c r="T65" t="s">
        <v>3312</v>
      </c>
      <c r="U65" t="s">
        <v>3312</v>
      </c>
      <c r="V65" t="s">
        <v>3312</v>
      </c>
      <c r="W65" t="s">
        <v>3377</v>
      </c>
      <c r="X65">
        <v>7</v>
      </c>
      <c r="Y65" t="s">
        <v>5016</v>
      </c>
      <c r="Z65" t="s">
        <v>6658</v>
      </c>
      <c r="AA65">
        <v>0.5708982313242149</v>
      </c>
      <c r="AB65">
        <f>HYPERLINK("Melting_Curves/meltCurve_P05042_fumC.pdf", "Melting_Curves/meltCurve_P05042_fumC.pdf")</f>
        <v>0</v>
      </c>
    </row>
    <row r="66" spans="1:28">
      <c r="A66" t="s">
        <v>92</v>
      </c>
      <c r="B66">
        <v>0.999984544473304</v>
      </c>
      <c r="C66">
        <v>1.63483216105747</v>
      </c>
      <c r="D66">
        <v>1.04581172457707</v>
      </c>
      <c r="E66">
        <v>1.53174588277048</v>
      </c>
      <c r="F66">
        <v>1.01584791509512</v>
      </c>
      <c r="G66">
        <v>0.976595755291661</v>
      </c>
      <c r="H66">
        <v>0.741596825688016</v>
      </c>
      <c r="I66">
        <v>0.371578773135876</v>
      </c>
      <c r="J66">
        <v>0.115599816565004</v>
      </c>
      <c r="K66">
        <v>0.0573379552353539</v>
      </c>
      <c r="L66">
        <v>1721.16675743803</v>
      </c>
      <c r="M66">
        <v>28.8465804208548</v>
      </c>
      <c r="N66">
        <v>59.7146615814366</v>
      </c>
      <c r="O66">
        <v>59.3816951089101</v>
      </c>
      <c r="P66">
        <v>-0.120042769007938</v>
      </c>
      <c r="Q66">
        <v>0.0115585669182539</v>
      </c>
      <c r="R66">
        <v>0.734032976768624</v>
      </c>
      <c r="S66" t="s">
        <v>1734</v>
      </c>
      <c r="T66" t="s">
        <v>3312</v>
      </c>
      <c r="U66" t="s">
        <v>3312</v>
      </c>
      <c r="V66" t="s">
        <v>3312</v>
      </c>
      <c r="W66" t="s">
        <v>3378</v>
      </c>
      <c r="X66">
        <v>18</v>
      </c>
      <c r="Y66" t="s">
        <v>5017</v>
      </c>
      <c r="Z66" t="s">
        <v>6659</v>
      </c>
      <c r="AA66">
        <v>0.762372892562583</v>
      </c>
      <c r="AB66">
        <f>HYPERLINK("Melting_Curves/meltCurve_P05055_pnp.pdf", "Melting_Curves/meltCurve_P05055_pnp.pdf")</f>
        <v>0</v>
      </c>
    </row>
    <row r="67" spans="1:28">
      <c r="A67" t="s">
        <v>93</v>
      </c>
      <c r="B67">
        <v>0.999984544473304</v>
      </c>
      <c r="C67">
        <v>0.797189680167799</v>
      </c>
      <c r="D67">
        <v>0.903160685038235</v>
      </c>
      <c r="E67">
        <v>0.772428825053176</v>
      </c>
      <c r="F67">
        <v>0.440252085625547</v>
      </c>
      <c r="G67">
        <v>0.108813082641475</v>
      </c>
      <c r="H67">
        <v>0.07913997211146601</v>
      </c>
      <c r="I67">
        <v>0.0470370775151924</v>
      </c>
      <c r="J67">
        <v>0.03937909833359</v>
      </c>
      <c r="K67">
        <v>0.0383852831804232</v>
      </c>
      <c r="L67">
        <v>939.457394756449</v>
      </c>
      <c r="M67">
        <v>19.1190256165487</v>
      </c>
      <c r="N67">
        <v>49.2283273083573</v>
      </c>
      <c r="O67">
        <v>48.6092175870437</v>
      </c>
      <c r="P67">
        <v>-0.0966264549566556</v>
      </c>
      <c r="Q67">
        <v>0.0173656107990619</v>
      </c>
      <c r="R67">
        <v>0.970017396286863</v>
      </c>
      <c r="S67" t="s">
        <v>1735</v>
      </c>
      <c r="T67" t="s">
        <v>3312</v>
      </c>
      <c r="U67" t="s">
        <v>3312</v>
      </c>
      <c r="V67" t="s">
        <v>3312</v>
      </c>
      <c r="W67" t="s">
        <v>3379</v>
      </c>
      <c r="X67">
        <v>5</v>
      </c>
      <c r="Y67" t="s">
        <v>5018</v>
      </c>
      <c r="Z67" t="s">
        <v>6660</v>
      </c>
      <c r="AA67">
        <v>0.4289568077949618</v>
      </c>
      <c r="AB67">
        <f>HYPERLINK("Melting_Curves/meltCurve_P05194_aroD.pdf", "Melting_Curves/meltCurve_P05194_aroD.pdf")</f>
        <v>0</v>
      </c>
    </row>
    <row r="68" spans="1:28">
      <c r="A68" t="s">
        <v>94</v>
      </c>
      <c r="B68">
        <v>0.999984544473304</v>
      </c>
      <c r="C68">
        <v>1.44655210963434</v>
      </c>
      <c r="D68">
        <v>1.11105712692194</v>
      </c>
      <c r="E68">
        <v>1.04721010623416</v>
      </c>
      <c r="F68">
        <v>0.35487255175603</v>
      </c>
      <c r="G68">
        <v>0.235931725022379</v>
      </c>
      <c r="H68">
        <v>0.08948084173526311</v>
      </c>
      <c r="I68">
        <v>0.0418549109464439</v>
      </c>
      <c r="J68">
        <v>0.0307196571094324</v>
      </c>
      <c r="K68">
        <v>0.0358843290017727</v>
      </c>
      <c r="L68">
        <v>3962.7632117299</v>
      </c>
      <c r="M68">
        <v>79.7997877609774</v>
      </c>
      <c r="N68">
        <v>49.7765154135991</v>
      </c>
      <c r="O68">
        <v>49.6276601229149</v>
      </c>
      <c r="P68">
        <v>-0.367431999960332</v>
      </c>
      <c r="Q68">
        <v>0.085973130257324</v>
      </c>
      <c r="R68">
        <v>0.9099441107363569</v>
      </c>
      <c r="S68" t="s">
        <v>1736</v>
      </c>
      <c r="T68" t="s">
        <v>3312</v>
      </c>
      <c r="U68" t="s">
        <v>3312</v>
      </c>
      <c r="V68" t="s">
        <v>3312</v>
      </c>
      <c r="W68" t="s">
        <v>3380</v>
      </c>
      <c r="X68">
        <v>4</v>
      </c>
      <c r="Y68" t="s">
        <v>5019</v>
      </c>
      <c r="Z68" t="s">
        <v>6661</v>
      </c>
      <c r="AA68">
        <v>0.4724398338016183</v>
      </c>
      <c r="AB68">
        <f>HYPERLINK("Melting_Curves/meltCurve_P05458_ptrA.pdf", "Melting_Curves/meltCurve_P05458_ptrA.pdf")</f>
        <v>0</v>
      </c>
    </row>
    <row r="69" spans="1:28">
      <c r="A69" t="s">
        <v>95</v>
      </c>
      <c r="B69">
        <v>0.999984544473304</v>
      </c>
      <c r="C69">
        <v>0.873017595654186</v>
      </c>
      <c r="D69">
        <v>0.996863477495448</v>
      </c>
      <c r="E69">
        <v>0.71291974983641</v>
      </c>
      <c r="F69">
        <v>0.316012031685997</v>
      </c>
      <c r="G69">
        <v>0.0712487658081704</v>
      </c>
      <c r="H69">
        <v>0.0407160219172147</v>
      </c>
      <c r="I69">
        <v>0.0252271279396791</v>
      </c>
      <c r="J69">
        <v>0.0174340663622221</v>
      </c>
      <c r="K69">
        <v>0.0125201590313727</v>
      </c>
      <c r="L69">
        <v>1187.80586804193</v>
      </c>
      <c r="M69">
        <v>24.5389831152707</v>
      </c>
      <c r="N69">
        <v>48.4588210018157</v>
      </c>
      <c r="O69">
        <v>48.0868486288996</v>
      </c>
      <c r="P69">
        <v>-0.125858612303297</v>
      </c>
      <c r="Q69">
        <v>0.0134792924629781</v>
      </c>
      <c r="R69">
        <v>0.989989762838567</v>
      </c>
      <c r="S69" t="s">
        <v>1737</v>
      </c>
      <c r="T69" t="s">
        <v>3312</v>
      </c>
      <c r="U69" t="s">
        <v>3312</v>
      </c>
      <c r="V69" t="s">
        <v>3312</v>
      </c>
      <c r="W69" t="s">
        <v>3381</v>
      </c>
      <c r="X69">
        <v>14</v>
      </c>
      <c r="Y69" t="s">
        <v>5020</v>
      </c>
      <c r="Z69" t="s">
        <v>6662</v>
      </c>
      <c r="AA69">
        <v>0.3972869308382072</v>
      </c>
      <c r="AB69">
        <f>HYPERLINK("Melting_Curves/meltCurve_P05459_pdxB.pdf", "Melting_Curves/meltCurve_P05459_pdxB.pdf")</f>
        <v>0</v>
      </c>
    </row>
    <row r="70" spans="1:28">
      <c r="A70" t="s">
        <v>96</v>
      </c>
      <c r="B70">
        <v>0.999984544473304</v>
      </c>
      <c r="C70">
        <v>0.761511220829533</v>
      </c>
      <c r="D70">
        <v>0.734630526013697</v>
      </c>
      <c r="E70">
        <v>0.538685593013703</v>
      </c>
      <c r="F70">
        <v>0.442394622864269</v>
      </c>
      <c r="G70">
        <v>0.270568390554753</v>
      </c>
      <c r="H70">
        <v>0.154764332389075</v>
      </c>
      <c r="I70">
        <v>0.0727682237347779</v>
      </c>
      <c r="J70">
        <v>0.0262633750900317</v>
      </c>
      <c r="K70">
        <v>0.0187907526109096</v>
      </c>
      <c r="L70">
        <v>453.033982185298</v>
      </c>
      <c r="M70">
        <v>9.53392964888182</v>
      </c>
      <c r="N70">
        <v>47.5180747984295</v>
      </c>
      <c r="O70">
        <v>45.5684568297328</v>
      </c>
      <c r="P70">
        <v>-0.0523360554265139</v>
      </c>
      <c r="Q70">
        <v>0</v>
      </c>
      <c r="R70">
        <v>0.977616927596763</v>
      </c>
      <c r="S70" t="s">
        <v>1738</v>
      </c>
      <c r="T70" t="s">
        <v>3312</v>
      </c>
      <c r="U70" t="s">
        <v>3312</v>
      </c>
      <c r="V70" t="s">
        <v>3312</v>
      </c>
      <c r="W70" t="s">
        <v>3382</v>
      </c>
      <c r="X70">
        <v>2</v>
      </c>
      <c r="Y70" t="s">
        <v>5021</v>
      </c>
      <c r="Z70" t="s">
        <v>6663</v>
      </c>
      <c r="AA70">
        <v>0.3948821070194495</v>
      </c>
      <c r="AB70">
        <f>HYPERLINK("Melting_Curves/meltCurve_P05637_apaH.pdf", "Melting_Curves/meltCurve_P05637_apaH.pdf")</f>
        <v>0</v>
      </c>
    </row>
    <row r="71" spans="1:28">
      <c r="A71" t="s">
        <v>97</v>
      </c>
      <c r="B71">
        <v>0.999984544473304</v>
      </c>
      <c r="C71">
        <v>0.82940278678826</v>
      </c>
      <c r="D71">
        <v>0.753489698265527</v>
      </c>
      <c r="E71">
        <v>0.440443319408483</v>
      </c>
      <c r="F71">
        <v>0.298420684632121</v>
      </c>
      <c r="G71">
        <v>0.198174952821819</v>
      </c>
      <c r="H71">
        <v>0.159938617034951</v>
      </c>
      <c r="I71">
        <v>0.134416913672172</v>
      </c>
      <c r="J71">
        <v>0.106032780447206</v>
      </c>
      <c r="K71">
        <v>0.104466322022585</v>
      </c>
      <c r="L71">
        <v>620.0942677112459</v>
      </c>
      <c r="M71">
        <v>13.6708154354908</v>
      </c>
      <c r="N71">
        <v>46.1183311095554</v>
      </c>
      <c r="O71">
        <v>44.4214381416599</v>
      </c>
      <c r="P71">
        <v>-0.0691944496649614</v>
      </c>
      <c r="Q71">
        <v>0.100779115055102</v>
      </c>
      <c r="R71">
        <v>0.993059007213096</v>
      </c>
      <c r="S71" t="s">
        <v>1739</v>
      </c>
      <c r="T71" t="s">
        <v>3312</v>
      </c>
      <c r="U71" t="s">
        <v>3312</v>
      </c>
      <c r="V71" t="s">
        <v>3312</v>
      </c>
      <c r="W71" t="s">
        <v>3383</v>
      </c>
      <c r="X71">
        <v>9</v>
      </c>
      <c r="Y71" t="s">
        <v>5022</v>
      </c>
      <c r="Z71" t="s">
        <v>6664</v>
      </c>
      <c r="AA71">
        <v>0.3765925472734485</v>
      </c>
      <c r="AB71">
        <f>HYPERLINK("Melting_Curves/meltCurve_P05704_trg.pdf", "Melting_Curves/meltCurve_P05704_trg.pdf")</f>
        <v>0</v>
      </c>
    </row>
    <row r="72" spans="1:28">
      <c r="A72" t="s">
        <v>98</v>
      </c>
      <c r="B72">
        <v>0.999984544473304</v>
      </c>
      <c r="C72">
        <v>1.67687642354289</v>
      </c>
      <c r="D72">
        <v>1.15217595098274</v>
      </c>
      <c r="E72">
        <v>0.475357791865814</v>
      </c>
      <c r="F72">
        <v>0.178254193489705</v>
      </c>
      <c r="G72">
        <v>0.09576120540330289</v>
      </c>
      <c r="H72">
        <v>0.056211845711071</v>
      </c>
      <c r="I72">
        <v>0.0533829087483315</v>
      </c>
      <c r="J72">
        <v>0.0439484203133388</v>
      </c>
      <c r="K72">
        <v>0.0641360753606563</v>
      </c>
      <c r="L72">
        <v>4626.16229408242</v>
      </c>
      <c r="M72">
        <v>99.55942366864291</v>
      </c>
      <c r="N72">
        <v>46.5498830424765</v>
      </c>
      <c r="O72">
        <v>46.4476040957077</v>
      </c>
      <c r="P72">
        <v>-0.492028782391254</v>
      </c>
      <c r="Q72">
        <v>0.0818124137181043</v>
      </c>
      <c r="R72">
        <v>0.841567843738952</v>
      </c>
      <c r="S72" t="s">
        <v>1740</v>
      </c>
      <c r="T72" t="s">
        <v>3312</v>
      </c>
      <c r="U72" t="s">
        <v>3312</v>
      </c>
      <c r="V72" t="s">
        <v>3312</v>
      </c>
      <c r="W72" t="s">
        <v>3384</v>
      </c>
      <c r="X72">
        <v>2</v>
      </c>
      <c r="Y72" t="s">
        <v>5023</v>
      </c>
      <c r="Z72" t="s">
        <v>6665</v>
      </c>
      <c r="AA72">
        <v>0.372014372884324</v>
      </c>
      <c r="AB72">
        <f>HYPERLINK("Melting_Curves/meltCurve_P05707_srlD.pdf", "Melting_Curves/meltCurve_P05707_srlD.pdf")</f>
        <v>0</v>
      </c>
    </row>
    <row r="73" spans="1:28">
      <c r="A73" t="s">
        <v>99</v>
      </c>
      <c r="B73">
        <v>0.999984544473304</v>
      </c>
      <c r="C73">
        <v>1.01587423636975</v>
      </c>
      <c r="D73">
        <v>0.70392068824146</v>
      </c>
      <c r="E73">
        <v>0.708868264125126</v>
      </c>
      <c r="F73">
        <v>0.459467783360919</v>
      </c>
      <c r="G73">
        <v>0.309441370455279</v>
      </c>
      <c r="H73">
        <v>0.222759829503184</v>
      </c>
      <c r="I73">
        <v>0.165148119876385</v>
      </c>
      <c r="J73">
        <v>0.120186969034706</v>
      </c>
      <c r="K73">
        <v>0.100702161539438</v>
      </c>
      <c r="L73">
        <v>522.837518063468</v>
      </c>
      <c r="M73">
        <v>10.6719811596932</v>
      </c>
      <c r="N73">
        <v>49.5214488513669</v>
      </c>
      <c r="O73">
        <v>47.3653530415428</v>
      </c>
      <c r="P73">
        <v>-0.0533091875793133</v>
      </c>
      <c r="Q73">
        <v>0.0539521311962583</v>
      </c>
      <c r="R73">
        <v>0.975653768972616</v>
      </c>
      <c r="S73" t="s">
        <v>1741</v>
      </c>
      <c r="T73" t="s">
        <v>3312</v>
      </c>
      <c r="U73" t="s">
        <v>3312</v>
      </c>
      <c r="V73" t="s">
        <v>3312</v>
      </c>
      <c r="W73" t="s">
        <v>3385</v>
      </c>
      <c r="X73">
        <v>3</v>
      </c>
      <c r="Y73" t="s">
        <v>5024</v>
      </c>
      <c r="Z73" t="s">
        <v>6666</v>
      </c>
      <c r="AA73">
        <v>0.464710890403007</v>
      </c>
      <c r="AB73">
        <f>HYPERLINK("Melting_Curves/meltCurve_P05791_ilvD.pdf", "Melting_Curves/meltCurve_P05791_ilvD.pdf")</f>
        <v>0</v>
      </c>
    </row>
    <row r="74" spans="1:28">
      <c r="A74" t="s">
        <v>100</v>
      </c>
      <c r="B74">
        <v>0.999984544473304</v>
      </c>
      <c r="C74">
        <v>1.14354577851347</v>
      </c>
      <c r="D74">
        <v>0.92952286288508</v>
      </c>
      <c r="E74">
        <v>0.413994004814075</v>
      </c>
      <c r="F74">
        <v>0.162570685300857</v>
      </c>
      <c r="G74">
        <v>0.0878287990020068</v>
      </c>
      <c r="H74">
        <v>0.0594857014585647</v>
      </c>
      <c r="I74">
        <v>0.0404655579375879</v>
      </c>
      <c r="J74">
        <v>0.0282240306379431</v>
      </c>
      <c r="K74">
        <v>0.0258497251223485</v>
      </c>
      <c r="L74">
        <v>1521.18579145426</v>
      </c>
      <c r="M74">
        <v>33.0368462469204</v>
      </c>
      <c r="N74">
        <v>46.2044929588552</v>
      </c>
      <c r="O74">
        <v>45.8774014662426</v>
      </c>
      <c r="P74">
        <v>-0.170335318418562</v>
      </c>
      <c r="Q74">
        <v>0.0538434854368212</v>
      </c>
      <c r="R74">
        <v>0.985108815161238</v>
      </c>
      <c r="S74" t="s">
        <v>1742</v>
      </c>
      <c r="T74" t="s">
        <v>3312</v>
      </c>
      <c r="U74" t="s">
        <v>3312</v>
      </c>
      <c r="V74" t="s">
        <v>3312</v>
      </c>
      <c r="W74" t="s">
        <v>3386</v>
      </c>
      <c r="X74">
        <v>7</v>
      </c>
      <c r="Y74" t="s">
        <v>5025</v>
      </c>
      <c r="Z74" t="s">
        <v>6667</v>
      </c>
      <c r="AA74">
        <v>0.343553165730202</v>
      </c>
      <c r="AB74">
        <f>HYPERLINK("Melting_Curves/meltCurve_P05793_ilvC.pdf", "Melting_Curves/meltCurve_P05793_ilvC.pdf")</f>
        <v>0</v>
      </c>
    </row>
    <row r="75" spans="1:28">
      <c r="A75" t="s">
        <v>101</v>
      </c>
      <c r="B75">
        <v>0.999984544473304</v>
      </c>
      <c r="C75">
        <v>1.25705867015327</v>
      </c>
      <c r="D75">
        <v>0.696542527811987</v>
      </c>
      <c r="E75">
        <v>0.592175563621248</v>
      </c>
      <c r="F75">
        <v>0.236665354327087</v>
      </c>
      <c r="G75">
        <v>0.14281465461458</v>
      </c>
      <c r="H75">
        <v>0.0947206300427426</v>
      </c>
      <c r="I75">
        <v>0.0412080149126819</v>
      </c>
      <c r="J75">
        <v>0.0324351877880311</v>
      </c>
      <c r="K75">
        <v>0.0358869062028305</v>
      </c>
      <c r="L75">
        <v>877.526863214237</v>
      </c>
      <c r="M75">
        <v>18.7207707489097</v>
      </c>
      <c r="N75">
        <v>47.0912397400357</v>
      </c>
      <c r="O75">
        <v>46.3494867100156</v>
      </c>
      <c r="P75">
        <v>-0.09681229985381359</v>
      </c>
      <c r="Q75">
        <v>0.041276842037372</v>
      </c>
      <c r="R75">
        <v>0.9372693301364819</v>
      </c>
      <c r="S75" t="s">
        <v>1743</v>
      </c>
      <c r="T75" t="s">
        <v>3312</v>
      </c>
      <c r="U75" t="s">
        <v>3312</v>
      </c>
      <c r="V75" t="s">
        <v>3312</v>
      </c>
      <c r="W75" t="s">
        <v>3387</v>
      </c>
      <c r="X75">
        <v>1</v>
      </c>
      <c r="Y75" t="s">
        <v>5026</v>
      </c>
      <c r="Z75" t="s">
        <v>6668</v>
      </c>
      <c r="AA75">
        <v>0.371116920719581</v>
      </c>
      <c r="AB75">
        <f>HYPERLINK("Melting_Curves/meltCurve_P05804_uidA.pdf", "Melting_Curves/meltCurve_P05804_uidA.pdf")</f>
        <v>0</v>
      </c>
    </row>
    <row r="76" spans="1:28">
      <c r="A76" t="s">
        <v>102</v>
      </c>
      <c r="B76">
        <v>0.999984544473304</v>
      </c>
      <c r="C76">
        <v>1.06975240408925</v>
      </c>
      <c r="D76">
        <v>0.728157992265114</v>
      </c>
      <c r="E76">
        <v>0.53377643205882</v>
      </c>
      <c r="F76">
        <v>0.412175456593658</v>
      </c>
      <c r="G76">
        <v>0.317002577254643</v>
      </c>
      <c r="H76">
        <v>0.296443950017953</v>
      </c>
      <c r="I76">
        <v>0.216482769081019</v>
      </c>
      <c r="J76">
        <v>0.143396599036249</v>
      </c>
      <c r="K76">
        <v>0.0633509759439166</v>
      </c>
      <c r="L76">
        <v>577.984581137055</v>
      </c>
      <c r="M76">
        <v>12.2776040686909</v>
      </c>
      <c r="N76">
        <v>48.2749501786925</v>
      </c>
      <c r="O76">
        <v>45.8797016702084</v>
      </c>
      <c r="P76">
        <v>-0.0581244771293421</v>
      </c>
      <c r="Q76">
        <v>0.131379225548093</v>
      </c>
      <c r="R76">
        <v>0.9547873917299921</v>
      </c>
      <c r="S76" t="s">
        <v>1744</v>
      </c>
      <c r="T76" t="s">
        <v>3312</v>
      </c>
      <c r="U76" t="s">
        <v>3312</v>
      </c>
      <c r="V76" t="s">
        <v>3312</v>
      </c>
      <c r="W76" t="s">
        <v>3388</v>
      </c>
      <c r="X76">
        <v>19</v>
      </c>
      <c r="Y76" t="s">
        <v>5027</v>
      </c>
      <c r="Z76" t="s">
        <v>6669</v>
      </c>
      <c r="AA76">
        <v>0.4505510660499457</v>
      </c>
      <c r="AB76">
        <f>HYPERLINK("Melting_Curves/meltCurve_P06149_dld.pdf", "Melting_Curves/meltCurve_P06149_dld.pdf")</f>
        <v>0</v>
      </c>
    </row>
    <row r="77" spans="1:28">
      <c r="A77" t="s">
        <v>103</v>
      </c>
      <c r="B77">
        <v>0.999984544473304</v>
      </c>
      <c r="C77">
        <v>0.885991587757923</v>
      </c>
      <c r="D77">
        <v>0.935718324048157</v>
      </c>
      <c r="E77">
        <v>0.80091465067233</v>
      </c>
      <c r="F77">
        <v>0.407898174975169</v>
      </c>
      <c r="G77">
        <v>0.133944900203799</v>
      </c>
      <c r="H77">
        <v>0.1037774016351</v>
      </c>
      <c r="I77">
        <v>0.0690309363496958</v>
      </c>
      <c r="J77">
        <v>0.0362596587674723</v>
      </c>
      <c r="K77">
        <v>0.0603831863170604</v>
      </c>
      <c r="L77">
        <v>1133.60621362016</v>
      </c>
      <c r="M77">
        <v>23.0994307424077</v>
      </c>
      <c r="N77">
        <v>49.3006017179882</v>
      </c>
      <c r="O77">
        <v>48.7117093738075</v>
      </c>
      <c r="P77">
        <v>-0.112609685360485</v>
      </c>
      <c r="Q77">
        <v>0.0501394196716632</v>
      </c>
      <c r="R77">
        <v>0.990443119592153</v>
      </c>
      <c r="S77" t="s">
        <v>1745</v>
      </c>
      <c r="T77" t="s">
        <v>3312</v>
      </c>
      <c r="U77" t="s">
        <v>3312</v>
      </c>
      <c r="V77" t="s">
        <v>3312</v>
      </c>
      <c r="W77" t="s">
        <v>3389</v>
      </c>
      <c r="X77">
        <v>1</v>
      </c>
      <c r="Y77" t="s">
        <v>5028</v>
      </c>
      <c r="Z77" t="s">
        <v>6670</v>
      </c>
      <c r="AA77">
        <v>0.4420270520836951</v>
      </c>
      <c r="AB77">
        <f>HYPERLINK("Melting_Curves/meltCurve_P06282_cdh.pdf", "Melting_Curves/meltCurve_P06282_cdh.pdf")</f>
        <v>0</v>
      </c>
    </row>
    <row r="78" spans="1:28">
      <c r="A78" t="s">
        <v>104</v>
      </c>
      <c r="B78">
        <v>0.999984544473304</v>
      </c>
      <c r="C78">
        <v>0.976921946466216</v>
      </c>
      <c r="D78">
        <v>0.717738235515243</v>
      </c>
      <c r="E78">
        <v>0.623249605611915</v>
      </c>
      <c r="F78">
        <v>0.467914112465499</v>
      </c>
      <c r="G78">
        <v>0.292899582545254</v>
      </c>
      <c r="H78">
        <v>0.287985076335083</v>
      </c>
      <c r="I78">
        <v>0.259476339367461</v>
      </c>
      <c r="J78">
        <v>0.18739603206418</v>
      </c>
      <c r="K78">
        <v>0.233376185540923</v>
      </c>
      <c r="L78">
        <v>580.601379353631</v>
      </c>
      <c r="M78">
        <v>12.4343705356911</v>
      </c>
      <c r="N78">
        <v>48.6882645213055</v>
      </c>
      <c r="O78">
        <v>45.5349150364911</v>
      </c>
      <c r="P78">
        <v>-0.054653437475063</v>
      </c>
      <c r="Q78">
        <v>0.199600459127762</v>
      </c>
      <c r="R78">
        <v>0.981409460052073</v>
      </c>
      <c r="S78" t="s">
        <v>1746</v>
      </c>
      <c r="T78" t="s">
        <v>3312</v>
      </c>
      <c r="U78" t="s">
        <v>3312</v>
      </c>
      <c r="V78" t="s">
        <v>3312</v>
      </c>
      <c r="W78" t="s">
        <v>3390</v>
      </c>
      <c r="X78">
        <v>4</v>
      </c>
      <c r="Y78" t="s">
        <v>5029</v>
      </c>
      <c r="Z78" t="s">
        <v>6671</v>
      </c>
      <c r="AA78">
        <v>0.4833918970471159</v>
      </c>
      <c r="AB78">
        <f>HYPERLINK("Melting_Curves/meltCurve_P06610_btuE.pdf", "Melting_Curves/meltCurve_P06610_btuE.pdf")</f>
        <v>0</v>
      </c>
    </row>
    <row r="79" spans="1:28">
      <c r="A79" t="s">
        <v>105</v>
      </c>
      <c r="B79">
        <v>0.999984544473304</v>
      </c>
      <c r="C79">
        <v>1.68535506035328</v>
      </c>
      <c r="D79">
        <v>1.20010955687426</v>
      </c>
      <c r="E79">
        <v>1.38204853260554</v>
      </c>
      <c r="F79">
        <v>0.738795352562021</v>
      </c>
      <c r="G79">
        <v>0.389091528713447</v>
      </c>
      <c r="H79">
        <v>0.109076746881752</v>
      </c>
      <c r="I79">
        <v>0.0576750394211582</v>
      </c>
      <c r="J79">
        <v>0.0434611278702379</v>
      </c>
      <c r="K79">
        <v>0.0457550053667966</v>
      </c>
      <c r="L79">
        <v>1708.11174719841</v>
      </c>
      <c r="M79">
        <v>32.4915025240674</v>
      </c>
      <c r="N79">
        <v>52.7385430083808</v>
      </c>
      <c r="O79">
        <v>52.3731047089514</v>
      </c>
      <c r="P79">
        <v>-0.147493010592935</v>
      </c>
      <c r="Q79">
        <v>0.0490279216707314</v>
      </c>
      <c r="R79">
        <v>0.805587043851098</v>
      </c>
      <c r="S79" t="s">
        <v>1747</v>
      </c>
      <c r="T79" t="s">
        <v>3312</v>
      </c>
      <c r="U79" t="s">
        <v>3312</v>
      </c>
      <c r="V79" t="s">
        <v>3312</v>
      </c>
      <c r="W79" t="s">
        <v>3391</v>
      </c>
      <c r="X79">
        <v>18</v>
      </c>
      <c r="Y79" t="s">
        <v>5030</v>
      </c>
      <c r="Z79" t="s">
        <v>6672</v>
      </c>
      <c r="AA79">
        <v>0.5477954100075089</v>
      </c>
      <c r="AB79">
        <f>HYPERLINK("Melting_Curves/meltCurve_P06612_topA.pdf", "Melting_Curves/meltCurve_P06612_topA.pdf")</f>
        <v>0</v>
      </c>
    </row>
    <row r="80" spans="1:28">
      <c r="A80" t="s">
        <v>106</v>
      </c>
      <c r="B80">
        <v>0.999984544473304</v>
      </c>
      <c r="C80">
        <v>0.9854739363666291</v>
      </c>
      <c r="D80">
        <v>0.907820319225385</v>
      </c>
      <c r="E80">
        <v>0.719083348350678</v>
      </c>
      <c r="F80">
        <v>0.454592256003368</v>
      </c>
      <c r="G80">
        <v>0.193918675344323</v>
      </c>
      <c r="H80">
        <v>0.056781055283337</v>
      </c>
      <c r="I80">
        <v>0.0528752927003111</v>
      </c>
      <c r="J80">
        <v>0.0445390229233185</v>
      </c>
      <c r="K80">
        <v>0.0426148399223528</v>
      </c>
      <c r="L80">
        <v>844.020882446317</v>
      </c>
      <c r="M80">
        <v>17.1438084898889</v>
      </c>
      <c r="N80">
        <v>49.3235885621839</v>
      </c>
      <c r="O80">
        <v>48.5766054918847</v>
      </c>
      <c r="P80">
        <v>-0.0868511866760516</v>
      </c>
      <c r="Q80">
        <v>0.0156951110074989</v>
      </c>
      <c r="R80">
        <v>0.998079865435316</v>
      </c>
      <c r="S80" t="s">
        <v>1748</v>
      </c>
      <c r="T80" t="s">
        <v>3312</v>
      </c>
      <c r="U80" t="s">
        <v>3312</v>
      </c>
      <c r="V80" t="s">
        <v>3312</v>
      </c>
      <c r="W80" t="s">
        <v>3392</v>
      </c>
      <c r="X80">
        <v>1</v>
      </c>
      <c r="Y80" t="s">
        <v>5031</v>
      </c>
      <c r="Z80" t="s">
        <v>6673</v>
      </c>
      <c r="AA80">
        <v>0.4339954578758599</v>
      </c>
      <c r="AB80">
        <f>HYPERLINK("Melting_Curves/meltCurve_P06616_era.pdf", "Melting_Curves/meltCurve_P06616_era.pdf")</f>
        <v>0</v>
      </c>
    </row>
    <row r="81" spans="1:28">
      <c r="A81" t="s">
        <v>107</v>
      </c>
      <c r="B81">
        <v>0.999984544473304</v>
      </c>
      <c r="C81">
        <v>0.781921575496017</v>
      </c>
      <c r="D81">
        <v>0.497359698586039</v>
      </c>
      <c r="E81">
        <v>0.189074356565049</v>
      </c>
      <c r="F81">
        <v>0.06490722084684419</v>
      </c>
      <c r="G81">
        <v>0.0522714723866191</v>
      </c>
      <c r="H81">
        <v>0.0275367378152395</v>
      </c>
      <c r="I81">
        <v>0.0333198042137139</v>
      </c>
      <c r="J81">
        <v>0.025453146582508</v>
      </c>
      <c r="K81">
        <v>0.0222942091361348</v>
      </c>
      <c r="L81">
        <v>838.708582460815</v>
      </c>
      <c r="M81">
        <v>19.6086221416982</v>
      </c>
      <c r="N81">
        <v>42.8846697727477</v>
      </c>
      <c r="O81">
        <v>42.3350447447988</v>
      </c>
      <c r="P81">
        <v>-0.112902269200493</v>
      </c>
      <c r="Q81">
        <v>0.0250098954032021</v>
      </c>
      <c r="R81">
        <v>0.997435010953945</v>
      </c>
      <c r="S81" t="s">
        <v>1749</v>
      </c>
      <c r="T81" t="s">
        <v>3312</v>
      </c>
      <c r="U81" t="s">
        <v>3312</v>
      </c>
      <c r="V81" t="s">
        <v>3312</v>
      </c>
      <c r="W81" t="s">
        <v>3393</v>
      </c>
      <c r="X81">
        <v>1</v>
      </c>
      <c r="Y81" t="s">
        <v>5032</v>
      </c>
      <c r="Z81" t="s">
        <v>6674</v>
      </c>
      <c r="AA81">
        <v>0.2270388921907385</v>
      </c>
      <c r="AB81">
        <f>HYPERLINK("Melting_Curves/meltCurve_P06710_dnaX.pdf", "Melting_Curves/meltCurve_P06710_dnaX.pdf")</f>
        <v>0</v>
      </c>
    </row>
    <row r="82" spans="1:28">
      <c r="A82" t="s">
        <v>108</v>
      </c>
      <c r="B82">
        <v>0.999984544473304</v>
      </c>
      <c r="C82">
        <v>1.07756513883184</v>
      </c>
      <c r="D82">
        <v>1.09873887795739</v>
      </c>
      <c r="E82">
        <v>1.03491418562754</v>
      </c>
      <c r="F82">
        <v>1.16448290437247</v>
      </c>
      <c r="G82">
        <v>1.16707348291074</v>
      </c>
      <c r="H82">
        <v>1.1369062320977</v>
      </c>
      <c r="I82">
        <v>0.846089176346542</v>
      </c>
      <c r="J82">
        <v>0.447223132991892</v>
      </c>
      <c r="K82">
        <v>0.172167638082287</v>
      </c>
      <c r="L82">
        <v>2919.85972198115</v>
      </c>
      <c r="M82">
        <v>46.0859016628448</v>
      </c>
      <c r="N82">
        <v>63.6953529627359</v>
      </c>
      <c r="O82">
        <v>63.2379526239879</v>
      </c>
      <c r="P82">
        <v>-0.162406028388977</v>
      </c>
      <c r="Q82">
        <v>0.108602703626525</v>
      </c>
      <c r="R82">
        <v>0.909314128811336</v>
      </c>
      <c r="S82" t="s">
        <v>1750</v>
      </c>
      <c r="T82" t="s">
        <v>3312</v>
      </c>
      <c r="U82" t="s">
        <v>3312</v>
      </c>
      <c r="V82" t="s">
        <v>3312</v>
      </c>
      <c r="W82" t="s">
        <v>3394</v>
      </c>
      <c r="X82">
        <v>10</v>
      </c>
      <c r="Y82" t="s">
        <v>5033</v>
      </c>
      <c r="Z82" t="s">
        <v>6675</v>
      </c>
      <c r="AA82">
        <v>0.8909228898264074</v>
      </c>
      <c r="AB82">
        <f>HYPERLINK("Melting_Curves/meltCurve_P06715_gor.pdf", "Melting_Curves/meltCurve_P06715_gor.pdf")</f>
        <v>0</v>
      </c>
    </row>
    <row r="83" spans="1:28">
      <c r="A83" t="s">
        <v>109</v>
      </c>
      <c r="B83">
        <v>0.999984544473304</v>
      </c>
      <c r="C83">
        <v>0.810683439240082</v>
      </c>
      <c r="D83">
        <v>0.5089018240725161</v>
      </c>
      <c r="E83">
        <v>0.340208796798688</v>
      </c>
      <c r="F83">
        <v>0.202226623708238</v>
      </c>
      <c r="G83">
        <v>0.177210854054289</v>
      </c>
      <c r="H83">
        <v>0.122453801041981</v>
      </c>
      <c r="I83">
        <v>0.111087059959636</v>
      </c>
      <c r="J83">
        <v>0.07673029995797601</v>
      </c>
      <c r="K83">
        <v>0.07240889321582381</v>
      </c>
      <c r="L83">
        <v>671.721762248884</v>
      </c>
      <c r="M83">
        <v>15.5705608358819</v>
      </c>
      <c r="N83">
        <v>43.7593822706694</v>
      </c>
      <c r="O83">
        <v>42.4477067703875</v>
      </c>
      <c r="P83">
        <v>-0.0826488174892665</v>
      </c>
      <c r="Q83">
        <v>0.098825890130643</v>
      </c>
      <c r="R83">
        <v>0.9888750910741509</v>
      </c>
      <c r="S83" t="s">
        <v>1751</v>
      </c>
      <c r="T83" t="s">
        <v>3312</v>
      </c>
      <c r="U83" t="s">
        <v>3312</v>
      </c>
      <c r="V83" t="s">
        <v>3312</v>
      </c>
      <c r="W83" t="s">
        <v>3395</v>
      </c>
      <c r="X83">
        <v>3</v>
      </c>
      <c r="Y83" t="s">
        <v>5034</v>
      </c>
      <c r="Z83" t="s">
        <v>6676</v>
      </c>
      <c r="AA83">
        <v>0.3050435354451103</v>
      </c>
      <c r="AB83">
        <f>HYPERLINK("Melting_Curves/meltCurve_P06720_melA.pdf", "Melting_Curves/meltCurve_P06720_melA.pdf")</f>
        <v>0</v>
      </c>
    </row>
    <row r="84" spans="1:28">
      <c r="A84" t="s">
        <v>110</v>
      </c>
      <c r="B84">
        <v>0.999984544473304</v>
      </c>
      <c r="C84">
        <v>0.81831401465216</v>
      </c>
      <c r="D84">
        <v>0.935383812286819</v>
      </c>
      <c r="E84">
        <v>0.911229205252382</v>
      </c>
      <c r="F84">
        <v>0.83753171190989</v>
      </c>
      <c r="G84">
        <v>0.507942170746338</v>
      </c>
      <c r="H84">
        <v>0.377526325766669</v>
      </c>
      <c r="I84">
        <v>0.227783766922921</v>
      </c>
      <c r="J84">
        <v>0</v>
      </c>
      <c r="K84">
        <v>0</v>
      </c>
      <c r="L84">
        <v>840.542803837564</v>
      </c>
      <c r="M84">
        <v>15.3789331934635</v>
      </c>
      <c r="N84">
        <v>54.6554692308579</v>
      </c>
      <c r="O84">
        <v>53.7563681240408</v>
      </c>
      <c r="P84">
        <v>-0.07152802968090111</v>
      </c>
      <c r="Q84">
        <v>0</v>
      </c>
      <c r="R84">
        <v>0.958114180202205</v>
      </c>
      <c r="S84" t="s">
        <v>1752</v>
      </c>
      <c r="T84" t="s">
        <v>3312</v>
      </c>
      <c r="U84" t="s">
        <v>3312</v>
      </c>
      <c r="V84" t="s">
        <v>3312</v>
      </c>
      <c r="W84" t="s">
        <v>3396</v>
      </c>
      <c r="X84">
        <v>1</v>
      </c>
      <c r="Y84" t="s">
        <v>5035</v>
      </c>
      <c r="Z84" t="s">
        <v>6677</v>
      </c>
      <c r="AA84">
        <v>0.6031928937330641</v>
      </c>
      <c r="AB84">
        <f>HYPERLINK("Melting_Curves/meltCurve_P06846_ebgR.pdf", "Melting_Curves/meltCurve_P06846_ebgR.pdf")</f>
        <v>0</v>
      </c>
    </row>
    <row r="85" spans="1:28">
      <c r="A85" t="s">
        <v>111</v>
      </c>
      <c r="B85">
        <v>0.999984544473304</v>
      </c>
      <c r="C85">
        <v>4.3927331987519</v>
      </c>
      <c r="D85">
        <v>2.79932583128783</v>
      </c>
      <c r="E85">
        <v>3.65022703234806</v>
      </c>
      <c r="F85">
        <v>1.67807599169067</v>
      </c>
      <c r="G85">
        <v>1.589036431495</v>
      </c>
      <c r="H85">
        <v>1.40847932041004</v>
      </c>
      <c r="I85">
        <v>1.28857491129415</v>
      </c>
      <c r="J85">
        <v>0.63714914843671</v>
      </c>
      <c r="K85">
        <v>0.633121235756003</v>
      </c>
      <c r="L85">
        <v>15000</v>
      </c>
      <c r="M85">
        <v>237.626101442126</v>
      </c>
      <c r="O85">
        <v>63.1198911129567</v>
      </c>
      <c r="P85">
        <v>-0.347881065530852</v>
      </c>
      <c r="Q85">
        <v>0.63037359065196</v>
      </c>
      <c r="R85">
        <v>-0.53663565554083</v>
      </c>
      <c r="S85" t="s">
        <v>1753</v>
      </c>
      <c r="T85" t="s">
        <v>3312</v>
      </c>
      <c r="U85" t="s">
        <v>3312</v>
      </c>
      <c r="V85" t="s">
        <v>3312</v>
      </c>
      <c r="W85" t="s">
        <v>3397</v>
      </c>
      <c r="X85">
        <v>28</v>
      </c>
      <c r="Y85" t="s">
        <v>5036</v>
      </c>
      <c r="Z85" t="s">
        <v>6678</v>
      </c>
      <c r="AA85">
        <v>0.9522942537328897</v>
      </c>
      <c r="AB85">
        <f>HYPERLINK("Melting_Curves/meltCurve_P06959_aceF.pdf", "Melting_Curves/meltCurve_P06959_aceF.pdf")</f>
        <v>0</v>
      </c>
    </row>
    <row r="86" spans="1:28">
      <c r="A86" t="s">
        <v>112</v>
      </c>
      <c r="B86">
        <v>0.999984544473304</v>
      </c>
      <c r="C86">
        <v>0.857749642060612</v>
      </c>
      <c r="D86">
        <v>0.570430187082712</v>
      </c>
      <c r="E86">
        <v>0.33031269237841</v>
      </c>
      <c r="F86">
        <v>0.284024314941813</v>
      </c>
      <c r="G86">
        <v>0.155475773847534</v>
      </c>
      <c r="H86">
        <v>0.117151093181303</v>
      </c>
      <c r="I86">
        <v>0.0822720319538421</v>
      </c>
      <c r="J86">
        <v>0.0547984199034057</v>
      </c>
      <c r="K86">
        <v>0.0570107673941735</v>
      </c>
      <c r="L86">
        <v>626.910282677094</v>
      </c>
      <c r="M86">
        <v>14.2342359679403</v>
      </c>
      <c r="N86">
        <v>44.5332655411979</v>
      </c>
      <c r="O86">
        <v>43.2005081595145</v>
      </c>
      <c r="P86">
        <v>-0.07640228384207461</v>
      </c>
      <c r="Q86">
        <v>0.0725998836230112</v>
      </c>
      <c r="R86">
        <v>0.986293996209982</v>
      </c>
      <c r="S86" t="s">
        <v>1754</v>
      </c>
      <c r="T86" t="s">
        <v>3312</v>
      </c>
      <c r="U86" t="s">
        <v>3312</v>
      </c>
      <c r="V86" t="s">
        <v>3312</v>
      </c>
      <c r="W86" t="s">
        <v>3398</v>
      </c>
      <c r="X86">
        <v>4</v>
      </c>
      <c r="Y86" t="s">
        <v>5037</v>
      </c>
      <c r="Z86" t="s">
        <v>6679</v>
      </c>
      <c r="AA86">
        <v>0.3159018360448093</v>
      </c>
      <c r="AB86">
        <f>HYPERLINK("Melting_Curves/meltCurve_P06961_cca.pdf", "Melting_Curves/meltCurve_P06961_cca.pdf")</f>
        <v>0</v>
      </c>
    </row>
    <row r="87" spans="1:28">
      <c r="A87" t="s">
        <v>113</v>
      </c>
      <c r="B87">
        <v>0.999984544473304</v>
      </c>
      <c r="C87">
        <v>1.08320891227526</v>
      </c>
      <c r="D87">
        <v>1.07810518175887</v>
      </c>
      <c r="E87">
        <v>1.00994512083933</v>
      </c>
      <c r="F87">
        <v>0.805195841517323</v>
      </c>
      <c r="G87">
        <v>0.274962727358176</v>
      </c>
      <c r="H87">
        <v>0.119423147217902</v>
      </c>
      <c r="I87">
        <v>0.0619512243567066</v>
      </c>
      <c r="J87">
        <v>0.0403225259848814</v>
      </c>
      <c r="K87">
        <v>0.0595513212942745</v>
      </c>
      <c r="L87">
        <v>1892.08369703504</v>
      </c>
      <c r="M87">
        <v>36.3453906674518</v>
      </c>
      <c r="N87">
        <v>52.2413500572276</v>
      </c>
      <c r="O87">
        <v>51.9015784371563</v>
      </c>
      <c r="P87">
        <v>-0.164610013946657</v>
      </c>
      <c r="Q87">
        <v>0.0597439220457278</v>
      </c>
      <c r="R87">
        <v>0.992691908744068</v>
      </c>
      <c r="S87" t="s">
        <v>1755</v>
      </c>
      <c r="T87" t="s">
        <v>3312</v>
      </c>
      <c r="U87" t="s">
        <v>3312</v>
      </c>
      <c r="V87" t="s">
        <v>3312</v>
      </c>
      <c r="W87" t="s">
        <v>3399</v>
      </c>
      <c r="X87">
        <v>1</v>
      </c>
      <c r="Y87" t="s">
        <v>5038</v>
      </c>
      <c r="Z87" t="s">
        <v>6680</v>
      </c>
      <c r="AA87">
        <v>0.5357858103584617</v>
      </c>
      <c r="AB87">
        <f>HYPERLINK("Melting_Curves/meltCurve_P06966_dicA.pdf", "Melting_Curves/meltCurve_P06966_dicA.pdf")</f>
        <v>0</v>
      </c>
    </row>
    <row r="88" spans="1:28">
      <c r="A88" t="s">
        <v>114</v>
      </c>
      <c r="B88">
        <v>0.999984544473304</v>
      </c>
      <c r="C88">
        <v>0.9157522218397079</v>
      </c>
      <c r="D88">
        <v>0.8836127836372401</v>
      </c>
      <c r="E88">
        <v>1.16326460488856</v>
      </c>
      <c r="F88">
        <v>1.09366258006483</v>
      </c>
      <c r="G88">
        <v>0.993006844396477</v>
      </c>
      <c r="H88">
        <v>0.863745496822568</v>
      </c>
      <c r="I88">
        <v>0.785408527876299</v>
      </c>
      <c r="J88">
        <v>0.455161887440596</v>
      </c>
      <c r="K88">
        <v>0.535718352287837</v>
      </c>
      <c r="L88">
        <v>1845.78674292736</v>
      </c>
      <c r="M88">
        <v>30.345906263557</v>
      </c>
      <c r="N88">
        <v>65.96350366839781</v>
      </c>
      <c r="O88">
        <v>60.5626059387344</v>
      </c>
      <c r="P88">
        <v>-0.0685242295100482</v>
      </c>
      <c r="Q88">
        <v>0.452976735654064</v>
      </c>
      <c r="R88">
        <v>0.8348576670007219</v>
      </c>
      <c r="S88" t="s">
        <v>1756</v>
      </c>
      <c r="T88" t="s">
        <v>3312</v>
      </c>
      <c r="U88" t="s">
        <v>3312</v>
      </c>
      <c r="V88" t="s">
        <v>3312</v>
      </c>
      <c r="W88" t="s">
        <v>3400</v>
      </c>
      <c r="X88">
        <v>1</v>
      </c>
      <c r="Y88" t="s">
        <v>5039</v>
      </c>
      <c r="Z88" t="s">
        <v>6681</v>
      </c>
      <c r="AA88">
        <v>0.8885820499204975</v>
      </c>
      <c r="AB88">
        <f>HYPERLINK("Melting_Curves/meltCurve_P06968_dut.pdf", "Melting_Curves/meltCurve_P06968_dut.pdf")</f>
        <v>0</v>
      </c>
    </row>
    <row r="89" spans="1:28">
      <c r="A89" t="s">
        <v>115</v>
      </c>
      <c r="B89">
        <v>0.999984544473304</v>
      </c>
      <c r="C89">
        <v>0.815576580610999</v>
      </c>
      <c r="D89">
        <v>0.3474839816143</v>
      </c>
      <c r="E89">
        <v>0.262247373934764</v>
      </c>
      <c r="F89">
        <v>0.230847845098537</v>
      </c>
      <c r="G89">
        <v>0.0737964037603786</v>
      </c>
      <c r="H89">
        <v>0.0757480106644888</v>
      </c>
      <c r="I89">
        <v>0.0398153183264544</v>
      </c>
      <c r="J89">
        <v>0.0234095303940521</v>
      </c>
      <c r="K89">
        <v>0</v>
      </c>
      <c r="L89">
        <v>783.2176977011291</v>
      </c>
      <c r="M89">
        <v>18.5302732079378</v>
      </c>
      <c r="N89">
        <v>42.5636771047714</v>
      </c>
      <c r="O89">
        <v>41.7839017252902</v>
      </c>
      <c r="P89">
        <v>-0.104155607057035</v>
      </c>
      <c r="Q89">
        <v>0.0605996874210143</v>
      </c>
      <c r="R89">
        <v>0.96093677997784</v>
      </c>
      <c r="S89" t="s">
        <v>1757</v>
      </c>
      <c r="T89" t="s">
        <v>3312</v>
      </c>
      <c r="U89" t="s">
        <v>3312</v>
      </c>
      <c r="V89" t="s">
        <v>3312</v>
      </c>
      <c r="W89" t="s">
        <v>3401</v>
      </c>
      <c r="X89">
        <v>1</v>
      </c>
      <c r="Y89" t="s">
        <v>5040</v>
      </c>
      <c r="Z89" t="s">
        <v>6682</v>
      </c>
      <c r="AA89">
        <v>0.2419958473765335</v>
      </c>
      <c r="AB89">
        <f>HYPERLINK("Melting_Curves/meltCurve_P06974_fliM.pdf", "Melting_Curves/meltCurve_P06974_fliM.pdf")</f>
        <v>0</v>
      </c>
    </row>
    <row r="90" spans="1:28">
      <c r="A90" t="s">
        <v>116</v>
      </c>
      <c r="B90">
        <v>0.999984544473304</v>
      </c>
      <c r="C90">
        <v>0.8313643692392541</v>
      </c>
      <c r="D90">
        <v>0.875093819270468</v>
      </c>
      <c r="E90">
        <v>0.880451127473273</v>
      </c>
      <c r="F90">
        <v>1.00325098875564</v>
      </c>
      <c r="G90">
        <v>0.803069047722575</v>
      </c>
      <c r="H90">
        <v>0.930858095764275</v>
      </c>
      <c r="I90">
        <v>0.815802758858025</v>
      </c>
      <c r="J90">
        <v>0.863881039382124</v>
      </c>
      <c r="K90">
        <v>0.7057783829801429</v>
      </c>
      <c r="L90">
        <v>123.979427517446</v>
      </c>
      <c r="M90">
        <v>0.47029722176176</v>
      </c>
      <c r="O90">
        <v>48.3745988717066</v>
      </c>
      <c r="P90">
        <v>-0.00517923475126653</v>
      </c>
      <c r="Q90">
        <v>0</v>
      </c>
      <c r="R90">
        <v>0.289075799714415</v>
      </c>
      <c r="S90" t="s">
        <v>1758</v>
      </c>
      <c r="T90" t="s">
        <v>3312</v>
      </c>
      <c r="U90" t="s">
        <v>3312</v>
      </c>
      <c r="V90" t="s">
        <v>3312</v>
      </c>
      <c r="W90" t="s">
        <v>3402</v>
      </c>
      <c r="X90">
        <v>4</v>
      </c>
      <c r="Y90" t="s">
        <v>5041</v>
      </c>
      <c r="Z90" t="s">
        <v>6683</v>
      </c>
      <c r="AA90">
        <v>0.8720938145659467</v>
      </c>
      <c r="AB90">
        <f>HYPERLINK("Melting_Curves/meltCurve_P06983_hemC.pdf", "Melting_Curves/meltCurve_P06983_hemC.pdf")</f>
        <v>0</v>
      </c>
    </row>
    <row r="91" spans="1:28">
      <c r="A91" t="s">
        <v>117</v>
      </c>
      <c r="B91">
        <v>0.999984544473304</v>
      </c>
      <c r="C91">
        <v>0.849278429301292</v>
      </c>
      <c r="D91">
        <v>1.09531493619951</v>
      </c>
      <c r="E91">
        <v>0.604535583852526</v>
      </c>
      <c r="F91">
        <v>0.164434959718724</v>
      </c>
      <c r="G91">
        <v>0.0751811071529766</v>
      </c>
      <c r="H91">
        <v>0.0462436163732088</v>
      </c>
      <c r="I91">
        <v>0.0312394387031133</v>
      </c>
      <c r="J91">
        <v>0.0203406858179497</v>
      </c>
      <c r="K91">
        <v>0.0152090259925705</v>
      </c>
      <c r="L91">
        <v>1746.22032528232</v>
      </c>
      <c r="M91">
        <v>37.0067031345563</v>
      </c>
      <c r="N91">
        <v>47.2918073722784</v>
      </c>
      <c r="O91">
        <v>47.0494420559964</v>
      </c>
      <c r="P91">
        <v>-0.18886889816007</v>
      </c>
      <c r="Q91">
        <v>0.0395090420847509</v>
      </c>
      <c r="R91">
        <v>0.9776296950853</v>
      </c>
      <c r="S91" t="s">
        <v>1759</v>
      </c>
      <c r="T91" t="s">
        <v>3312</v>
      </c>
      <c r="U91" t="s">
        <v>3312</v>
      </c>
      <c r="V91" t="s">
        <v>3312</v>
      </c>
      <c r="W91" t="s">
        <v>3403</v>
      </c>
      <c r="X91">
        <v>12</v>
      </c>
      <c r="Y91" t="s">
        <v>5042</v>
      </c>
      <c r="Z91" t="s">
        <v>6684</v>
      </c>
      <c r="AA91">
        <v>0.3693127909536759</v>
      </c>
      <c r="AB91">
        <f>HYPERLINK("Melting_Curves/meltCurve_P06986_hisC.pdf", "Melting_Curves/meltCurve_P06986_hisC.pdf")</f>
        <v>0</v>
      </c>
    </row>
    <row r="92" spans="1:28">
      <c r="A92" t="s">
        <v>118</v>
      </c>
      <c r="B92">
        <v>0.999984544473304</v>
      </c>
      <c r="C92">
        <v>0.914085053757738</v>
      </c>
      <c r="D92">
        <v>0.71317627844001</v>
      </c>
      <c r="E92">
        <v>0.453156212763303</v>
      </c>
      <c r="F92">
        <v>0.236506067190109</v>
      </c>
      <c r="G92">
        <v>0.144085074417469</v>
      </c>
      <c r="H92">
        <v>0.08350879070009749</v>
      </c>
      <c r="I92">
        <v>0.0354009509564605</v>
      </c>
      <c r="J92">
        <v>0.0216188576039168</v>
      </c>
      <c r="K92">
        <v>0.0286648368090697</v>
      </c>
      <c r="L92">
        <v>660.016647114394</v>
      </c>
      <c r="M92">
        <v>14.3839708337065</v>
      </c>
      <c r="N92">
        <v>46.0084470770572</v>
      </c>
      <c r="O92">
        <v>45.0260180338373</v>
      </c>
      <c r="P92">
        <v>-0.0783691065692398</v>
      </c>
      <c r="Q92">
        <v>0.018844294092301</v>
      </c>
      <c r="R92">
        <v>0.998276859373414</v>
      </c>
      <c r="S92" t="s">
        <v>1760</v>
      </c>
      <c r="T92" t="s">
        <v>3312</v>
      </c>
      <c r="U92" t="s">
        <v>3312</v>
      </c>
      <c r="V92" t="s">
        <v>3312</v>
      </c>
      <c r="W92" t="s">
        <v>3404</v>
      </c>
      <c r="X92">
        <v>6</v>
      </c>
      <c r="Y92" t="s">
        <v>5043</v>
      </c>
      <c r="Z92" t="s">
        <v>6685</v>
      </c>
      <c r="AA92">
        <v>0.3340198947685102</v>
      </c>
      <c r="AB92">
        <f>HYPERLINK("Melting_Curves/meltCurve_P06987_hisB.pdf", "Melting_Curves/meltCurve_P06987_hisB.pdf")</f>
        <v>0</v>
      </c>
    </row>
    <row r="93" spans="1:28">
      <c r="A93" t="s">
        <v>119</v>
      </c>
      <c r="B93">
        <v>0.999984544473304</v>
      </c>
      <c r="C93">
        <v>0.972931506812367</v>
      </c>
      <c r="D93">
        <v>1.1161976113602</v>
      </c>
      <c r="E93">
        <v>0.960418953852115</v>
      </c>
      <c r="F93">
        <v>1.17075793612752</v>
      </c>
      <c r="G93">
        <v>1.05081042197993</v>
      </c>
      <c r="H93">
        <v>1.02244428024307</v>
      </c>
      <c r="I93">
        <v>0.9101388144118741</v>
      </c>
      <c r="J93">
        <v>0.781359988541192</v>
      </c>
      <c r="K93">
        <v>0.359002906089305</v>
      </c>
      <c r="L93">
        <v>2514.02982045251</v>
      </c>
      <c r="M93">
        <v>38.0655441105447</v>
      </c>
      <c r="N93">
        <v>66.044780000133</v>
      </c>
      <c r="O93">
        <v>65.8632773014881</v>
      </c>
      <c r="P93">
        <v>-0.144487345378525</v>
      </c>
      <c r="Q93">
        <v>0</v>
      </c>
      <c r="R93">
        <v>0.891678253316081</v>
      </c>
      <c r="S93" t="s">
        <v>1761</v>
      </c>
      <c r="T93" t="s">
        <v>3312</v>
      </c>
      <c r="U93" t="s">
        <v>3312</v>
      </c>
      <c r="V93" t="s">
        <v>3312</v>
      </c>
      <c r="W93" t="s">
        <v>3405</v>
      </c>
      <c r="X93">
        <v>13</v>
      </c>
      <c r="Y93" t="s">
        <v>5044</v>
      </c>
      <c r="Z93" t="s">
        <v>6686</v>
      </c>
      <c r="AA93">
        <v>0.9441518932711993</v>
      </c>
      <c r="AB93">
        <f>HYPERLINK("Melting_Curves/meltCurve_P06988_hisD.pdf", "Melting_Curves/meltCurve_P06988_hisD.pdf")</f>
        <v>0</v>
      </c>
    </row>
    <row r="94" spans="1:28">
      <c r="A94" t="s">
        <v>120</v>
      </c>
      <c r="B94">
        <v>0.999984544473304</v>
      </c>
      <c r="C94">
        <v>0.907021459250438</v>
      </c>
      <c r="D94">
        <v>0.785651511341422</v>
      </c>
      <c r="E94">
        <v>0.696537447836053</v>
      </c>
      <c r="F94">
        <v>0.508468138415291</v>
      </c>
      <c r="G94">
        <v>0.301015224558808</v>
      </c>
      <c r="H94">
        <v>0.210627531766759</v>
      </c>
      <c r="I94">
        <v>0.150463568085617</v>
      </c>
      <c r="J94">
        <v>0.104076711273212</v>
      </c>
      <c r="K94">
        <v>0.11786926054327</v>
      </c>
      <c r="L94">
        <v>503.963597797784</v>
      </c>
      <c r="M94">
        <v>10.1742215068796</v>
      </c>
      <c r="N94">
        <v>49.8205622499946</v>
      </c>
      <c r="O94">
        <v>47.7341028731788</v>
      </c>
      <c r="P94">
        <v>-0.0517917928675853</v>
      </c>
      <c r="Q94">
        <v>0.0284817511074947</v>
      </c>
      <c r="R94">
        <v>0.994003843372389</v>
      </c>
      <c r="S94" t="s">
        <v>1762</v>
      </c>
      <c r="T94" t="s">
        <v>3312</v>
      </c>
      <c r="U94" t="s">
        <v>3312</v>
      </c>
      <c r="V94" t="s">
        <v>3312</v>
      </c>
      <c r="W94" t="s">
        <v>3406</v>
      </c>
      <c r="X94">
        <v>3</v>
      </c>
      <c r="Y94" t="s">
        <v>5045</v>
      </c>
      <c r="Z94" t="s">
        <v>6687</v>
      </c>
      <c r="AA94">
        <v>0.4681921872508282</v>
      </c>
      <c r="AB94">
        <f>HYPERLINK("Melting_Curves/meltCurve_P06989_hisI.pdf", "Melting_Curves/meltCurve_P06989_hisI.pdf")</f>
        <v>0</v>
      </c>
    </row>
    <row r="95" spans="1:28">
      <c r="A95" t="s">
        <v>121</v>
      </c>
      <c r="B95">
        <v>0.999984544473304</v>
      </c>
      <c r="C95">
        <v>0.708901718153667</v>
      </c>
      <c r="D95">
        <v>0.6263184428576239</v>
      </c>
      <c r="E95">
        <v>0.271594326075938</v>
      </c>
      <c r="F95">
        <v>0.09394823817949741</v>
      </c>
      <c r="G95">
        <v>0.0544951361549651</v>
      </c>
      <c r="H95">
        <v>0.0421071410341434</v>
      </c>
      <c r="I95">
        <v>0.0304335591901319</v>
      </c>
      <c r="J95">
        <v>0.0291737184161904</v>
      </c>
      <c r="K95">
        <v>0.0300539139992887</v>
      </c>
      <c r="L95">
        <v>669.085759418709</v>
      </c>
      <c r="M95">
        <v>15.3561456404373</v>
      </c>
      <c r="N95">
        <v>43.649618952898</v>
      </c>
      <c r="O95">
        <v>42.8523322286938</v>
      </c>
      <c r="P95">
        <v>-0.0883768466270851</v>
      </c>
      <c r="Q95">
        <v>0.013604803272344</v>
      </c>
      <c r="R95">
        <v>0.982914725079713</v>
      </c>
      <c r="S95" t="s">
        <v>1763</v>
      </c>
      <c r="T95" t="s">
        <v>3312</v>
      </c>
      <c r="U95" t="s">
        <v>3312</v>
      </c>
      <c r="V95" t="s">
        <v>3312</v>
      </c>
      <c r="W95" t="s">
        <v>3407</v>
      </c>
      <c r="X95">
        <v>2</v>
      </c>
      <c r="Y95" t="s">
        <v>5046</v>
      </c>
      <c r="Z95" t="s">
        <v>6688</v>
      </c>
      <c r="AA95">
        <v>0.253542937866646</v>
      </c>
      <c r="AB95">
        <f>HYPERLINK("Melting_Curves/meltCurve_P06992_rsmA.pdf", "Melting_Curves/meltCurve_P06992_rsmA.pdf")</f>
        <v>0</v>
      </c>
    </row>
    <row r="96" spans="1:28">
      <c r="A96" t="s">
        <v>122</v>
      </c>
      <c r="B96">
        <v>0.999984544473304</v>
      </c>
      <c r="C96">
        <v>1.37320756382093</v>
      </c>
      <c r="D96">
        <v>0.693686651488</v>
      </c>
      <c r="E96">
        <v>0.615506217494738</v>
      </c>
      <c r="F96">
        <v>0.576702756354731</v>
      </c>
      <c r="G96">
        <v>0.269693923594918</v>
      </c>
      <c r="H96">
        <v>0.254278372582027</v>
      </c>
      <c r="I96">
        <v>0.222856658417078</v>
      </c>
      <c r="J96">
        <v>0.158516086602363</v>
      </c>
      <c r="K96">
        <v>0.0931629147994634</v>
      </c>
      <c r="L96">
        <v>660.77270759147</v>
      </c>
      <c r="M96">
        <v>13.578672551861</v>
      </c>
      <c r="N96">
        <v>49.7511090832907</v>
      </c>
      <c r="O96">
        <v>47.6434896647386</v>
      </c>
      <c r="P96">
        <v>-0.0621037753052349</v>
      </c>
      <c r="Q96">
        <v>0.128515828176739</v>
      </c>
      <c r="R96">
        <v>0.850556959220045</v>
      </c>
      <c r="S96" t="s">
        <v>1764</v>
      </c>
      <c r="T96" t="s">
        <v>3312</v>
      </c>
      <c r="U96" t="s">
        <v>3312</v>
      </c>
      <c r="V96" t="s">
        <v>3312</v>
      </c>
      <c r="W96" t="s">
        <v>3408</v>
      </c>
      <c r="X96">
        <v>7</v>
      </c>
      <c r="Y96" t="s">
        <v>5047</v>
      </c>
      <c r="Z96" t="s">
        <v>6689</v>
      </c>
      <c r="AA96">
        <v>0.4893827948939611</v>
      </c>
      <c r="AB96">
        <f>HYPERLINK("Melting_Curves/meltCurve_P06996_ompC.pdf", "Melting_Curves/meltCurve_P06996_ompC.pdf")</f>
        <v>0</v>
      </c>
    </row>
    <row r="97" spans="1:28">
      <c r="A97" t="s">
        <v>123</v>
      </c>
      <c r="B97">
        <v>0.999984544473304</v>
      </c>
      <c r="C97">
        <v>0.839332565236927</v>
      </c>
      <c r="D97">
        <v>1.0729142660059</v>
      </c>
      <c r="E97">
        <v>0.998914134051</v>
      </c>
      <c r="F97">
        <v>0.9828896280016191</v>
      </c>
      <c r="G97">
        <v>0.805561711992123</v>
      </c>
      <c r="H97">
        <v>0.688649330867782</v>
      </c>
      <c r="I97">
        <v>0.591946261012118</v>
      </c>
      <c r="J97">
        <v>0.4511649376899</v>
      </c>
      <c r="K97">
        <v>0.421885892111274</v>
      </c>
      <c r="L97">
        <v>880.003592422167</v>
      </c>
      <c r="M97">
        <v>15.2037027286737</v>
      </c>
      <c r="N97">
        <v>62.8613320530013</v>
      </c>
      <c r="O97">
        <v>56.9072290879133</v>
      </c>
      <c r="P97">
        <v>-0.0434126458537515</v>
      </c>
      <c r="Q97">
        <v>0.350090774565424</v>
      </c>
      <c r="R97">
        <v>0.927833253795429</v>
      </c>
      <c r="S97" t="s">
        <v>1765</v>
      </c>
      <c r="T97" t="s">
        <v>3312</v>
      </c>
      <c r="U97" t="s">
        <v>3312</v>
      </c>
      <c r="V97" t="s">
        <v>3312</v>
      </c>
      <c r="W97" t="s">
        <v>3409</v>
      </c>
      <c r="X97">
        <v>8</v>
      </c>
      <c r="Y97" t="s">
        <v>5048</v>
      </c>
      <c r="Z97" t="s">
        <v>6690</v>
      </c>
      <c r="AA97">
        <v>0.8056238124900926</v>
      </c>
      <c r="AB97">
        <f>HYPERLINK("Melting_Curves/meltCurve_P06999_pfkB.pdf", "Melting_Curves/meltCurve_P06999_pfkB.pdf")</f>
        <v>0</v>
      </c>
    </row>
    <row r="98" spans="1:28">
      <c r="A98" t="s">
        <v>124</v>
      </c>
      <c r="B98">
        <v>0.999984544473304</v>
      </c>
      <c r="C98">
        <v>1.3835401958126</v>
      </c>
      <c r="D98">
        <v>1.03246937118042</v>
      </c>
      <c r="E98">
        <v>1.05617626921441</v>
      </c>
      <c r="F98">
        <v>0.798399012010537</v>
      </c>
      <c r="G98">
        <v>0.264039105106565</v>
      </c>
      <c r="H98">
        <v>0.11754303566975</v>
      </c>
      <c r="I98">
        <v>0.064295907543683</v>
      </c>
      <c r="J98">
        <v>0.0359343176038956</v>
      </c>
      <c r="K98">
        <v>0.0372587567381424</v>
      </c>
      <c r="L98">
        <v>1931.43988518837</v>
      </c>
      <c r="M98">
        <v>37.1259124172629</v>
      </c>
      <c r="N98">
        <v>52.1850168683741</v>
      </c>
      <c r="O98">
        <v>51.8737878318942</v>
      </c>
      <c r="P98">
        <v>-0.169245018394504</v>
      </c>
      <c r="Q98">
        <v>0.0540994027305522</v>
      </c>
      <c r="R98">
        <v>0.937329798130515</v>
      </c>
      <c r="S98" t="s">
        <v>1766</v>
      </c>
      <c r="T98" t="s">
        <v>3312</v>
      </c>
      <c r="U98" t="s">
        <v>3312</v>
      </c>
      <c r="V98" t="s">
        <v>3312</v>
      </c>
      <c r="W98" t="s">
        <v>3410</v>
      </c>
      <c r="X98">
        <v>8</v>
      </c>
      <c r="Y98" t="s">
        <v>5049</v>
      </c>
      <c r="Z98" t="s">
        <v>6691</v>
      </c>
      <c r="AA98">
        <v>0.5317433389937054</v>
      </c>
      <c r="AB98">
        <f>HYPERLINK("Melting_Curves/meltCurve_P07001_pntA.pdf", "Melting_Curves/meltCurve_P07001_pntA.pdf")</f>
        <v>0</v>
      </c>
    </row>
    <row r="99" spans="1:28">
      <c r="A99" t="s">
        <v>125</v>
      </c>
      <c r="B99">
        <v>0.999984544473304</v>
      </c>
      <c r="C99">
        <v>0.83921538783626</v>
      </c>
      <c r="D99">
        <v>0.405433834003315</v>
      </c>
      <c r="E99">
        <v>0.233088855048858</v>
      </c>
      <c r="F99">
        <v>0.135020558407313</v>
      </c>
      <c r="G99">
        <v>0.080778589822439</v>
      </c>
      <c r="H99">
        <v>0.0612256583082968</v>
      </c>
      <c r="I99">
        <v>0.0485242186118673</v>
      </c>
      <c r="J99">
        <v>0.0402164524508631</v>
      </c>
      <c r="K99">
        <v>0.0395534286767176</v>
      </c>
      <c r="L99">
        <v>918.795300509075</v>
      </c>
      <c r="M99">
        <v>21.6704068083583</v>
      </c>
      <c r="N99">
        <v>42.6656189776023</v>
      </c>
      <c r="O99">
        <v>42.04252282136</v>
      </c>
      <c r="P99">
        <v>-0.120691926142469</v>
      </c>
      <c r="Q99">
        <v>0.0634098170742225</v>
      </c>
      <c r="R99">
        <v>0.989773032730959</v>
      </c>
      <c r="S99" t="s">
        <v>1767</v>
      </c>
      <c r="T99" t="s">
        <v>3312</v>
      </c>
      <c r="U99" t="s">
        <v>3312</v>
      </c>
      <c r="V99" t="s">
        <v>3312</v>
      </c>
      <c r="W99" t="s">
        <v>3411</v>
      </c>
      <c r="X99">
        <v>13</v>
      </c>
      <c r="Y99" t="s">
        <v>5050</v>
      </c>
      <c r="Z99" t="s">
        <v>6692</v>
      </c>
      <c r="AA99">
        <v>0.2432447410857428</v>
      </c>
      <c r="AB99">
        <f>HYPERLINK("Melting_Curves/meltCurve_P07003_poxB.pdf", "Melting_Curves/meltCurve_P07003_poxB.pdf")</f>
        <v>0</v>
      </c>
    </row>
    <row r="100" spans="1:28">
      <c r="A100" t="s">
        <v>126</v>
      </c>
      <c r="B100">
        <v>0.999984544473304</v>
      </c>
      <c r="C100">
        <v>1.0658681313091</v>
      </c>
      <c r="D100">
        <v>1.17587185283261</v>
      </c>
      <c r="E100">
        <v>1.04331442104564</v>
      </c>
      <c r="F100">
        <v>0.988792732303201</v>
      </c>
      <c r="G100">
        <v>0.956124942878711</v>
      </c>
      <c r="H100">
        <v>0.653058589334728</v>
      </c>
      <c r="I100">
        <v>0.568878818075748</v>
      </c>
      <c r="J100">
        <v>0.390282599761537</v>
      </c>
      <c r="K100">
        <v>0.191640890696646</v>
      </c>
      <c r="L100">
        <v>936.882913381805</v>
      </c>
      <c r="M100">
        <v>15.2243729334621</v>
      </c>
      <c r="N100">
        <v>61.5383584447785</v>
      </c>
      <c r="O100">
        <v>60.5059107843491</v>
      </c>
      <c r="P100">
        <v>-0.0629104720952092</v>
      </c>
      <c r="Q100">
        <v>0</v>
      </c>
      <c r="R100">
        <v>0.943989518500052</v>
      </c>
      <c r="S100" t="s">
        <v>1768</v>
      </c>
      <c r="T100" t="s">
        <v>3312</v>
      </c>
      <c r="U100" t="s">
        <v>3312</v>
      </c>
      <c r="V100" t="s">
        <v>3312</v>
      </c>
      <c r="W100" t="s">
        <v>3412</v>
      </c>
      <c r="X100">
        <v>15</v>
      </c>
      <c r="Y100" t="s">
        <v>5051</v>
      </c>
      <c r="Z100" t="s">
        <v>6693</v>
      </c>
      <c r="AA100">
        <v>0.8003384488216334</v>
      </c>
      <c r="AB100">
        <f>HYPERLINK("Melting_Curves/meltCurve_P07004_proA.pdf", "Melting_Curves/meltCurve_P07004_proA.pdf")</f>
        <v>0</v>
      </c>
    </row>
    <row r="101" spans="1:28">
      <c r="A101" t="s">
        <v>127</v>
      </c>
      <c r="B101">
        <v>0.999984544473304</v>
      </c>
      <c r="C101">
        <v>1.03972725770982</v>
      </c>
      <c r="D101">
        <v>0.83104192624155</v>
      </c>
      <c r="E101">
        <v>0.663692910514007</v>
      </c>
      <c r="F101">
        <v>0.465273474582022</v>
      </c>
      <c r="G101">
        <v>0.349317959128834</v>
      </c>
      <c r="H101">
        <v>0.307567869111463</v>
      </c>
      <c r="I101">
        <v>0.268421524466245</v>
      </c>
      <c r="J101">
        <v>0.232100828653388</v>
      </c>
      <c r="K101">
        <v>0.267144516733705</v>
      </c>
      <c r="L101">
        <v>749.613669273555</v>
      </c>
      <c r="M101">
        <v>15.8709711327284</v>
      </c>
      <c r="N101">
        <v>49.3834908433829</v>
      </c>
      <c r="O101">
        <v>46.5009628460794</v>
      </c>
      <c r="P101">
        <v>-0.06403417876783971</v>
      </c>
      <c r="Q101">
        <v>0.249595985978235</v>
      </c>
      <c r="R101">
        <v>0.990051911955801</v>
      </c>
      <c r="S101" t="s">
        <v>1769</v>
      </c>
      <c r="T101" t="s">
        <v>3312</v>
      </c>
      <c r="U101" t="s">
        <v>3312</v>
      </c>
      <c r="V101" t="s">
        <v>3312</v>
      </c>
      <c r="W101" t="s">
        <v>3413</v>
      </c>
      <c r="X101">
        <v>11</v>
      </c>
      <c r="Y101" t="s">
        <v>5052</v>
      </c>
      <c r="Z101" t="s">
        <v>6694</v>
      </c>
      <c r="AA101">
        <v>0.5207206115775682</v>
      </c>
      <c r="AB101">
        <f>HYPERLINK("Melting_Curves/meltCurve_P07012_prfB.pdf", "Melting_Curves/meltCurve_P07012_prfB.pdf")</f>
        <v>0</v>
      </c>
    </row>
    <row r="102" spans="1:28">
      <c r="A102" t="s">
        <v>128</v>
      </c>
      <c r="B102">
        <v>0.999984544473304</v>
      </c>
      <c r="C102">
        <v>0.745355228854657</v>
      </c>
      <c r="D102">
        <v>0.668864610534091</v>
      </c>
      <c r="E102">
        <v>0.485217617480208</v>
      </c>
      <c r="F102">
        <v>0.29873030914257</v>
      </c>
      <c r="G102">
        <v>0.146161280194895</v>
      </c>
      <c r="H102">
        <v>0.0820527755394907</v>
      </c>
      <c r="I102">
        <v>0.0518304576939362</v>
      </c>
      <c r="J102">
        <v>0.0301443657776438</v>
      </c>
      <c r="K102">
        <v>0.0316030710666008</v>
      </c>
      <c r="L102">
        <v>493.758060680994</v>
      </c>
      <c r="M102">
        <v>10.7892667921165</v>
      </c>
      <c r="N102">
        <v>45.7638197806082</v>
      </c>
      <c r="O102">
        <v>44.2757988423637</v>
      </c>
      <c r="P102">
        <v>-0.0609429335904883</v>
      </c>
      <c r="Q102">
        <v>0</v>
      </c>
      <c r="R102">
        <v>0.986471217623079</v>
      </c>
      <c r="S102" t="s">
        <v>1770</v>
      </c>
      <c r="T102" t="s">
        <v>3312</v>
      </c>
      <c r="U102" t="s">
        <v>3312</v>
      </c>
      <c r="V102" t="s">
        <v>3312</v>
      </c>
      <c r="W102" t="s">
        <v>3414</v>
      </c>
      <c r="X102">
        <v>6</v>
      </c>
      <c r="Y102" t="s">
        <v>5053</v>
      </c>
      <c r="Z102" t="s">
        <v>6695</v>
      </c>
      <c r="AA102">
        <v>0.3338347814258251</v>
      </c>
      <c r="AB102">
        <f>HYPERLINK("Melting_Curves/meltCurve_P07014_sdhB.pdf", "Melting_Curves/meltCurve_P07014_sdhB.pdf")</f>
        <v>0</v>
      </c>
    </row>
    <row r="103" spans="1:28">
      <c r="A103" t="s">
        <v>129</v>
      </c>
      <c r="B103">
        <v>0.999984544473304</v>
      </c>
      <c r="C103">
        <v>1.03567590017781</v>
      </c>
      <c r="D103">
        <v>0.869249524935282</v>
      </c>
      <c r="E103">
        <v>0.753739007061762</v>
      </c>
      <c r="F103">
        <v>0.652389954983128</v>
      </c>
      <c r="G103">
        <v>0.429322071902901</v>
      </c>
      <c r="H103">
        <v>0.294895422833501</v>
      </c>
      <c r="I103">
        <v>0.197511642433063</v>
      </c>
      <c r="J103">
        <v>0.129248875583997</v>
      </c>
      <c r="K103">
        <v>0.111446010912011</v>
      </c>
      <c r="L103">
        <v>542.602215019191</v>
      </c>
      <c r="M103">
        <v>10.3526630110994</v>
      </c>
      <c r="N103">
        <v>52.5063154861112</v>
      </c>
      <c r="O103">
        <v>50.5693472134103</v>
      </c>
      <c r="P103">
        <v>-0.0507298949803785</v>
      </c>
      <c r="Q103">
        <v>0.0092267348610787</v>
      </c>
      <c r="R103">
        <v>0.991797452046099</v>
      </c>
      <c r="S103" t="s">
        <v>1771</v>
      </c>
      <c r="T103" t="s">
        <v>3312</v>
      </c>
      <c r="U103" t="s">
        <v>3312</v>
      </c>
      <c r="V103" t="s">
        <v>3312</v>
      </c>
      <c r="W103" t="s">
        <v>3415</v>
      </c>
      <c r="X103">
        <v>17</v>
      </c>
      <c r="Y103" t="s">
        <v>5054</v>
      </c>
      <c r="Z103" t="s">
        <v>6696</v>
      </c>
      <c r="AA103">
        <v>0.5426187109367866</v>
      </c>
      <c r="AB103">
        <f>HYPERLINK("Melting_Curves/meltCurve_P07017_tar.pdf", "Melting_Curves/meltCurve_P07017_tar.pdf")</f>
        <v>0</v>
      </c>
    </row>
    <row r="104" spans="1:28">
      <c r="A104" t="s">
        <v>130</v>
      </c>
      <c r="B104">
        <v>0.999984544473304</v>
      </c>
      <c r="C104">
        <v>0.929682242204077</v>
      </c>
      <c r="D104">
        <v>0.596133282079205</v>
      </c>
      <c r="E104">
        <v>0.408986550231258</v>
      </c>
      <c r="F104">
        <v>0.337934432693343</v>
      </c>
      <c r="G104">
        <v>0.238093149176872</v>
      </c>
      <c r="H104">
        <v>0.134960900659998</v>
      </c>
      <c r="I104">
        <v>0.088239065985127</v>
      </c>
      <c r="J104">
        <v>0.0605965187693276</v>
      </c>
      <c r="K104">
        <v>0.0810317482582963</v>
      </c>
      <c r="L104">
        <v>561.156446524187</v>
      </c>
      <c r="M104">
        <v>12.4182905413309</v>
      </c>
      <c r="N104">
        <v>45.7578562073828</v>
      </c>
      <c r="O104">
        <v>44.064086475374</v>
      </c>
      <c r="P104">
        <v>-0.0654212281597558</v>
      </c>
      <c r="Q104">
        <v>0.0716537382127464</v>
      </c>
      <c r="R104">
        <v>0.976453555948209</v>
      </c>
      <c r="S104" t="s">
        <v>1772</v>
      </c>
      <c r="T104" t="s">
        <v>3312</v>
      </c>
      <c r="U104" t="s">
        <v>3312</v>
      </c>
      <c r="V104" t="s">
        <v>3312</v>
      </c>
      <c r="W104" t="s">
        <v>3416</v>
      </c>
      <c r="X104">
        <v>2</v>
      </c>
      <c r="Y104" t="s">
        <v>5055</v>
      </c>
      <c r="Z104" t="s">
        <v>6697</v>
      </c>
      <c r="AA104">
        <v>0.3564402620163914</v>
      </c>
      <c r="AB104">
        <f>HYPERLINK("Melting_Curves/meltCurve_P07018_tap.pdf", "Melting_Curves/meltCurve_P07018_tap.pdf")</f>
        <v>0</v>
      </c>
    </row>
    <row r="105" spans="1:28">
      <c r="A105" t="s">
        <v>131</v>
      </c>
      <c r="B105">
        <v>0.999984544473304</v>
      </c>
      <c r="C105">
        <v>0.856848636637378</v>
      </c>
      <c r="D105">
        <v>0.70425616124493</v>
      </c>
      <c r="E105">
        <v>0.498157279524719</v>
      </c>
      <c r="F105">
        <v>0.302200062098446</v>
      </c>
      <c r="G105">
        <v>0.142729153079854</v>
      </c>
      <c r="H105">
        <v>0.0688911996582775</v>
      </c>
      <c r="I105">
        <v>0.0384441573250962</v>
      </c>
      <c r="J105">
        <v>0.0607249561028775</v>
      </c>
      <c r="K105">
        <v>0.0630878383000943</v>
      </c>
      <c r="L105">
        <v>579.322495819815</v>
      </c>
      <c r="M105">
        <v>12.5415099588648</v>
      </c>
      <c r="N105">
        <v>46.3168294184657</v>
      </c>
      <c r="O105">
        <v>45.0651922931187</v>
      </c>
      <c r="P105">
        <v>-0.0684356852736102</v>
      </c>
      <c r="Q105">
        <v>0.0165651121735068</v>
      </c>
      <c r="R105">
        <v>0.9952162023614201</v>
      </c>
      <c r="S105" t="s">
        <v>1773</v>
      </c>
      <c r="T105" t="s">
        <v>3312</v>
      </c>
      <c r="U105" t="s">
        <v>3312</v>
      </c>
      <c r="V105" t="s">
        <v>3312</v>
      </c>
      <c r="W105" t="s">
        <v>3417</v>
      </c>
      <c r="X105">
        <v>1</v>
      </c>
      <c r="Y105" t="s">
        <v>5056</v>
      </c>
      <c r="Z105" t="s">
        <v>6698</v>
      </c>
      <c r="AA105">
        <v>0.3490710460639922</v>
      </c>
      <c r="AB105">
        <f>HYPERLINK("Melting_Curves/meltCurve_P07023_tyrA.pdf", "Melting_Curves/meltCurve_P07023_tyrA.pdf")</f>
        <v>0</v>
      </c>
    </row>
    <row r="106" spans="1:28">
      <c r="A106" t="s">
        <v>132</v>
      </c>
      <c r="B106">
        <v>0.999984544473304</v>
      </c>
      <c r="C106">
        <v>1.2159626327092</v>
      </c>
      <c r="D106">
        <v>1.12776905184963</v>
      </c>
      <c r="E106">
        <v>1.16690225347585</v>
      </c>
      <c r="F106">
        <v>1.10479095762788</v>
      </c>
      <c r="G106">
        <v>1.11892072213216</v>
      </c>
      <c r="H106">
        <v>0.996724022612215</v>
      </c>
      <c r="I106">
        <v>0.646754593603076</v>
      </c>
      <c r="J106">
        <v>0.2079337692705</v>
      </c>
      <c r="K106">
        <v>0.112884832373059</v>
      </c>
      <c r="L106">
        <v>3279.93612101021</v>
      </c>
      <c r="M106">
        <v>53.3257208742836</v>
      </c>
      <c r="N106">
        <v>61.7881559123117</v>
      </c>
      <c r="O106">
        <v>61.4212619901756</v>
      </c>
      <c r="P106">
        <v>-0.193709990154532</v>
      </c>
      <c r="Q106">
        <v>0.107529767327544</v>
      </c>
      <c r="R106">
        <v>0.921643065235338</v>
      </c>
      <c r="S106" t="s">
        <v>1774</v>
      </c>
      <c r="T106" t="s">
        <v>3312</v>
      </c>
      <c r="U106" t="s">
        <v>3312</v>
      </c>
      <c r="V106" t="s">
        <v>3312</v>
      </c>
      <c r="W106" t="s">
        <v>3418</v>
      </c>
      <c r="X106">
        <v>17</v>
      </c>
      <c r="Y106" t="s">
        <v>5057</v>
      </c>
      <c r="Z106" t="s">
        <v>6699</v>
      </c>
      <c r="AA106">
        <v>0.8381998481068281</v>
      </c>
      <c r="AB106">
        <f>HYPERLINK("Melting_Curves/meltCurve_P07024_ushA.pdf", "Melting_Curves/meltCurve_P07024_ushA.pdf")</f>
        <v>0</v>
      </c>
    </row>
    <row r="107" spans="1:28">
      <c r="A107" t="s">
        <v>133</v>
      </c>
      <c r="B107">
        <v>0.999984544473304</v>
      </c>
      <c r="C107">
        <v>0.906727284252913</v>
      </c>
      <c r="D107">
        <v>1.03147654314735</v>
      </c>
      <c r="E107">
        <v>0.9927487426534261</v>
      </c>
      <c r="F107">
        <v>0.961005612511255</v>
      </c>
      <c r="G107">
        <v>0.164997517657593</v>
      </c>
      <c r="H107">
        <v>0.07332741079371941</v>
      </c>
      <c r="I107">
        <v>0.050057954695779</v>
      </c>
      <c r="J107">
        <v>0.0293970794740018</v>
      </c>
      <c r="K107">
        <v>0.0331911778782008</v>
      </c>
      <c r="L107">
        <v>3803.07955076905</v>
      </c>
      <c r="M107">
        <v>72.62952922000311</v>
      </c>
      <c r="N107">
        <v>52.4322662069396</v>
      </c>
      <c r="O107">
        <v>52.3230630549777</v>
      </c>
      <c r="P107">
        <v>-0.331091992168781</v>
      </c>
      <c r="Q107">
        <v>0.045911836370876</v>
      </c>
      <c r="R107">
        <v>0.99478751438462</v>
      </c>
      <c r="S107" t="s">
        <v>1775</v>
      </c>
      <c r="T107" t="s">
        <v>3312</v>
      </c>
      <c r="U107" t="s">
        <v>3312</v>
      </c>
      <c r="V107" t="s">
        <v>3312</v>
      </c>
      <c r="W107" t="s">
        <v>3419</v>
      </c>
      <c r="X107">
        <v>7</v>
      </c>
      <c r="Y107" t="s">
        <v>5058</v>
      </c>
      <c r="Z107" t="s">
        <v>6700</v>
      </c>
      <c r="AA107">
        <v>0.535532729149245</v>
      </c>
      <c r="AB107">
        <f>HYPERLINK("Melting_Curves/meltCurve_P07102_appA.pdf", "Melting_Curves/meltCurve_P07102_appA.pdf")</f>
        <v>0</v>
      </c>
    </row>
    <row r="108" spans="1:28">
      <c r="A108" t="s">
        <v>134</v>
      </c>
      <c r="B108">
        <v>0.999984544473304</v>
      </c>
      <c r="C108">
        <v>1.28372989318708</v>
      </c>
      <c r="D108">
        <v>0.579809849507757</v>
      </c>
      <c r="E108">
        <v>0.390582291216311</v>
      </c>
      <c r="F108">
        <v>0.238844537239217</v>
      </c>
      <c r="G108">
        <v>0.143361078701441</v>
      </c>
      <c r="H108">
        <v>0.136271039429404</v>
      </c>
      <c r="I108">
        <v>0.116738282077834</v>
      </c>
      <c r="J108">
        <v>0.0697155374604809</v>
      </c>
      <c r="K108">
        <v>0.0532025368442176</v>
      </c>
      <c r="L108">
        <v>1088.50645534734</v>
      </c>
      <c r="M108">
        <v>24.4725885535501</v>
      </c>
      <c r="N108">
        <v>44.9661758203221</v>
      </c>
      <c r="O108">
        <v>44.184799052246</v>
      </c>
      <c r="P108">
        <v>-0.122332693348023</v>
      </c>
      <c r="Q108">
        <v>0.116535404534252</v>
      </c>
      <c r="R108">
        <v>0.90863542716436</v>
      </c>
      <c r="S108" t="s">
        <v>1776</v>
      </c>
      <c r="T108" t="s">
        <v>3312</v>
      </c>
      <c r="U108" t="s">
        <v>3312</v>
      </c>
      <c r="V108" t="s">
        <v>3312</v>
      </c>
      <c r="W108" t="s">
        <v>3420</v>
      </c>
      <c r="X108">
        <v>1</v>
      </c>
      <c r="Y108" t="s">
        <v>5059</v>
      </c>
      <c r="Z108" t="s">
        <v>6701</v>
      </c>
      <c r="AA108">
        <v>0.3443506494908702</v>
      </c>
      <c r="AB108">
        <f>HYPERLINK("Melting_Curves/meltCurve_P07117_putP.pdf", "Melting_Curves/meltCurve_P07117_putP.pdf")</f>
        <v>0</v>
      </c>
    </row>
    <row r="109" spans="1:28">
      <c r="A109" t="s">
        <v>135</v>
      </c>
      <c r="B109">
        <v>0.999984544473304</v>
      </c>
      <c r="C109">
        <v>1.40029199811054</v>
      </c>
      <c r="D109">
        <v>0.98458502522957</v>
      </c>
      <c r="E109">
        <v>1.00397957393316</v>
      </c>
      <c r="F109">
        <v>0.311647584365019</v>
      </c>
      <c r="G109">
        <v>0.0974376206867355</v>
      </c>
      <c r="H109">
        <v>0.0566149775727474</v>
      </c>
      <c r="I109">
        <v>0.0344673844996858</v>
      </c>
      <c r="J109">
        <v>0.02089189562</v>
      </c>
      <c r="K109">
        <v>0.0207235205852081</v>
      </c>
      <c r="L109">
        <v>3575.1985378399</v>
      </c>
      <c r="M109">
        <v>72.1602484295063</v>
      </c>
      <c r="N109">
        <v>49.6103503653658</v>
      </c>
      <c r="O109">
        <v>49.5072529126459</v>
      </c>
      <c r="P109">
        <v>-0.34793513245424</v>
      </c>
      <c r="Q109">
        <v>0.0451635361879948</v>
      </c>
      <c r="R109">
        <v>0.937185331500479</v>
      </c>
      <c r="S109" t="s">
        <v>1777</v>
      </c>
      <c r="T109" t="s">
        <v>3312</v>
      </c>
      <c r="U109" t="s">
        <v>3312</v>
      </c>
      <c r="V109" t="s">
        <v>3312</v>
      </c>
      <c r="W109" t="s">
        <v>3421</v>
      </c>
      <c r="X109">
        <v>25</v>
      </c>
      <c r="Y109" t="s">
        <v>5060</v>
      </c>
      <c r="Z109" t="s">
        <v>6702</v>
      </c>
      <c r="AA109">
        <v>0.4454516753882209</v>
      </c>
      <c r="AB109">
        <f>HYPERLINK("Melting_Curves/meltCurve_P07118_valS.pdf", "Melting_Curves/meltCurve_P07118_valS.pdf")</f>
        <v>0</v>
      </c>
    </row>
    <row r="110" spans="1:28">
      <c r="A110" t="s">
        <v>136</v>
      </c>
      <c r="B110">
        <v>0.999984544473304</v>
      </c>
      <c r="C110">
        <v>1.11415068390471</v>
      </c>
      <c r="D110">
        <v>0.476234769607145</v>
      </c>
      <c r="E110">
        <v>0.764644357884445</v>
      </c>
      <c r="F110">
        <v>0.393522500810183</v>
      </c>
      <c r="G110">
        <v>0.273653479456143</v>
      </c>
      <c r="H110">
        <v>0.186219076641954</v>
      </c>
      <c r="I110">
        <v>0.136376295543476</v>
      </c>
      <c r="J110">
        <v>0.0741216124824197</v>
      </c>
      <c r="K110">
        <v>0.0984766453377364</v>
      </c>
      <c r="L110">
        <v>496.663077931942</v>
      </c>
      <c r="M110">
        <v>10.2921489370836</v>
      </c>
      <c r="N110">
        <v>48.5409534422674</v>
      </c>
      <c r="O110">
        <v>46.54123826879</v>
      </c>
      <c r="P110">
        <v>-0.0536905701778221</v>
      </c>
      <c r="Q110">
        <v>0.0292650264281332</v>
      </c>
      <c r="R110">
        <v>0.869268439310299</v>
      </c>
      <c r="S110" t="s">
        <v>1778</v>
      </c>
      <c r="T110" t="s">
        <v>3312</v>
      </c>
      <c r="U110" t="s">
        <v>3312</v>
      </c>
      <c r="V110" t="s">
        <v>3312</v>
      </c>
      <c r="W110" t="s">
        <v>3422</v>
      </c>
      <c r="X110">
        <v>1</v>
      </c>
      <c r="Y110" t="s">
        <v>5061</v>
      </c>
      <c r="Z110" t="s">
        <v>6703</v>
      </c>
      <c r="AA110">
        <v>0.430392104991331</v>
      </c>
      <c r="AB110">
        <f>HYPERLINK("Melting_Curves/meltCurve_P07330_cheB.pdf", "Melting_Curves/meltCurve_P07330_cheB.pdf")</f>
        <v>0</v>
      </c>
    </row>
    <row r="111" spans="1:28">
      <c r="A111" t="s">
        <v>137</v>
      </c>
      <c r="B111">
        <v>0.999984544473304</v>
      </c>
      <c r="C111">
        <v>1.06688329439357</v>
      </c>
      <c r="D111">
        <v>0.575832052135607</v>
      </c>
      <c r="E111">
        <v>0.637166804923357</v>
      </c>
      <c r="F111">
        <v>0.386338694194553</v>
      </c>
      <c r="G111">
        <v>0.274442234238676</v>
      </c>
      <c r="H111">
        <v>0.214663567354553</v>
      </c>
      <c r="I111">
        <v>0.147453570571954</v>
      </c>
      <c r="J111">
        <v>0.104919607391218</v>
      </c>
      <c r="K111">
        <v>0.120041629470482</v>
      </c>
      <c r="L111">
        <v>539.017937511844</v>
      </c>
      <c r="M111">
        <v>11.4502741665614</v>
      </c>
      <c r="N111">
        <v>47.9012201243404</v>
      </c>
      <c r="O111">
        <v>45.707486271638</v>
      </c>
      <c r="P111">
        <v>-0.057030433098585</v>
      </c>
      <c r="Q111">
        <v>0.089641377807409</v>
      </c>
      <c r="R111">
        <v>0.935546856921581</v>
      </c>
      <c r="S111" t="s">
        <v>1779</v>
      </c>
      <c r="T111" t="s">
        <v>3312</v>
      </c>
      <c r="U111" t="s">
        <v>3312</v>
      </c>
      <c r="V111" t="s">
        <v>3312</v>
      </c>
      <c r="W111" t="s">
        <v>3423</v>
      </c>
      <c r="X111">
        <v>5</v>
      </c>
      <c r="Y111" t="s">
        <v>5062</v>
      </c>
      <c r="Z111" t="s">
        <v>6704</v>
      </c>
      <c r="AA111">
        <v>0.4274251850432538</v>
      </c>
      <c r="AB111">
        <f>HYPERLINK("Melting_Curves/meltCurve_P07363_cheA.pdf", "Melting_Curves/meltCurve_P07363_cheA.pdf")</f>
        <v>0</v>
      </c>
    </row>
    <row r="112" spans="1:28">
      <c r="A112" t="s">
        <v>138</v>
      </c>
      <c r="B112">
        <v>0.999984544473304</v>
      </c>
      <c r="C112">
        <v>1.41923954157994</v>
      </c>
      <c r="D112">
        <v>1.01059212221781</v>
      </c>
      <c r="E112">
        <v>1.21442998390583</v>
      </c>
      <c r="F112">
        <v>0.667211462232341</v>
      </c>
      <c r="G112">
        <v>0.296779446929045</v>
      </c>
      <c r="H112">
        <v>0.0542171999920373</v>
      </c>
      <c r="I112">
        <v>0.0299490924628638</v>
      </c>
      <c r="J112">
        <v>0.0229460039880173</v>
      </c>
      <c r="K112">
        <v>0.0214630530806382</v>
      </c>
      <c r="L112">
        <v>1669.1939391217</v>
      </c>
      <c r="M112">
        <v>32.2378434194998</v>
      </c>
      <c r="N112">
        <v>51.8625598759495</v>
      </c>
      <c r="O112">
        <v>51.5794565813777</v>
      </c>
      <c r="P112">
        <v>-0.152229133700382</v>
      </c>
      <c r="Q112">
        <v>0.0257589715066328</v>
      </c>
      <c r="R112">
        <v>0.912319717003272</v>
      </c>
      <c r="S112" t="s">
        <v>1780</v>
      </c>
      <c r="T112" t="s">
        <v>3312</v>
      </c>
      <c r="U112" t="s">
        <v>3312</v>
      </c>
      <c r="V112" t="s">
        <v>3312</v>
      </c>
      <c r="W112" t="s">
        <v>3424</v>
      </c>
      <c r="X112">
        <v>23</v>
      </c>
      <c r="Y112" t="s">
        <v>5063</v>
      </c>
      <c r="Z112" t="s">
        <v>6705</v>
      </c>
      <c r="AA112">
        <v>0.5109858084497548</v>
      </c>
      <c r="AB112">
        <f>HYPERLINK("Melting_Curves/meltCurve_P07395_pheT.pdf", "Melting_Curves/meltCurve_P07395_pheT.pdf")</f>
        <v>0</v>
      </c>
    </row>
    <row r="113" spans="1:28">
      <c r="A113" t="s">
        <v>139</v>
      </c>
      <c r="B113">
        <v>0.999984544473304</v>
      </c>
      <c r="C113">
        <v>0.481661357630749</v>
      </c>
      <c r="D113">
        <v>0.168992509377179</v>
      </c>
      <c r="E113">
        <v>0.131373800687141</v>
      </c>
      <c r="F113">
        <v>0.0954010511342606</v>
      </c>
      <c r="G113">
        <v>0.0550763070395623</v>
      </c>
      <c r="H113">
        <v>0.0393986788869595</v>
      </c>
      <c r="I113">
        <v>0.0309422903444529</v>
      </c>
      <c r="J113">
        <v>0.0382954907330457</v>
      </c>
      <c r="K113">
        <v>0.0338005381235459</v>
      </c>
      <c r="L113">
        <v>1471.74958986105</v>
      </c>
      <c r="M113">
        <v>37.0005932800559</v>
      </c>
      <c r="N113">
        <v>39.926972495894</v>
      </c>
      <c r="O113">
        <v>39.6607309106122</v>
      </c>
      <c r="P113">
        <v>-0.218043107629392</v>
      </c>
      <c r="Q113">
        <v>0.06512599977376141</v>
      </c>
      <c r="R113">
        <v>0.983386456493887</v>
      </c>
      <c r="S113" t="s">
        <v>1781</v>
      </c>
      <c r="T113" t="s">
        <v>3312</v>
      </c>
      <c r="U113" t="s">
        <v>3312</v>
      </c>
      <c r="V113" t="s">
        <v>3312</v>
      </c>
      <c r="W113" t="s">
        <v>3425</v>
      </c>
      <c r="X113">
        <v>1</v>
      </c>
      <c r="Y113" t="s">
        <v>5064</v>
      </c>
      <c r="Z113" t="s">
        <v>6706</v>
      </c>
      <c r="AA113">
        <v>0.1563217852383771</v>
      </c>
      <c r="AB113">
        <f>HYPERLINK("Melting_Curves/meltCurve_P07604_tyrR.pdf", "Melting_Curves/meltCurve_P07604_tyrR.pdf")</f>
        <v>0</v>
      </c>
    </row>
    <row r="114" spans="1:28">
      <c r="A114" t="s">
        <v>140</v>
      </c>
      <c r="B114">
        <v>0.999984544473304</v>
      </c>
      <c r="C114">
        <v>0.790547442736078</v>
      </c>
      <c r="D114">
        <v>1.00265309355739</v>
      </c>
      <c r="E114">
        <v>0.799360675677418</v>
      </c>
      <c r="F114">
        <v>0.399566834165431</v>
      </c>
      <c r="G114">
        <v>0.192438218959985</v>
      </c>
      <c r="H114">
        <v>0.129774632292163</v>
      </c>
      <c r="I114">
        <v>0.09984671076212739</v>
      </c>
      <c r="J114">
        <v>0.0685719508937741</v>
      </c>
      <c r="K114">
        <v>0.0579231654846028</v>
      </c>
      <c r="L114">
        <v>1122.9972455859</v>
      </c>
      <c r="M114">
        <v>22.9017192894281</v>
      </c>
      <c r="N114">
        <v>49.3941183255991</v>
      </c>
      <c r="O114">
        <v>48.6662088461089</v>
      </c>
      <c r="P114">
        <v>-0.10863818221162</v>
      </c>
      <c r="Q114">
        <v>0.0765918371732508</v>
      </c>
      <c r="R114">
        <v>0.968622450308845</v>
      </c>
      <c r="S114" t="s">
        <v>1782</v>
      </c>
      <c r="T114" t="s">
        <v>3312</v>
      </c>
      <c r="U114" t="s">
        <v>3312</v>
      </c>
      <c r="V114" t="s">
        <v>3312</v>
      </c>
      <c r="W114" t="s">
        <v>3426</v>
      </c>
      <c r="X114">
        <v>3</v>
      </c>
      <c r="Y114" t="s">
        <v>5065</v>
      </c>
      <c r="Z114" t="s">
        <v>6707</v>
      </c>
      <c r="AA114">
        <v>0.4564978370345925</v>
      </c>
      <c r="AB114">
        <f>HYPERLINK("Melting_Curves/meltCurve_P07639_aroB.pdf", "Melting_Curves/meltCurve_P07639_aroB.pdf")</f>
        <v>0</v>
      </c>
    </row>
    <row r="115" spans="1:28">
      <c r="A115" t="s">
        <v>141</v>
      </c>
      <c r="B115">
        <v>0.999984544473304</v>
      </c>
      <c r="C115">
        <v>0.972041847221696</v>
      </c>
      <c r="D115">
        <v>0.915742204965922</v>
      </c>
      <c r="E115">
        <v>0.760877256986972</v>
      </c>
      <c r="F115">
        <v>0.234547038156171</v>
      </c>
      <c r="G115">
        <v>0.0624977336908469</v>
      </c>
      <c r="H115">
        <v>0.0420253713477178</v>
      </c>
      <c r="I115">
        <v>0.0315145111525378</v>
      </c>
      <c r="J115">
        <v>0.0220687433501746</v>
      </c>
      <c r="K115">
        <v>0.0206096738267256</v>
      </c>
      <c r="L115">
        <v>1467.78279113521</v>
      </c>
      <c r="M115">
        <v>30.4683840499588</v>
      </c>
      <c r="N115">
        <v>48.2552137204471</v>
      </c>
      <c r="O115">
        <v>47.9678622903399</v>
      </c>
      <c r="P115">
        <v>-0.154826642294437</v>
      </c>
      <c r="Q115">
        <v>0.0250013606393742</v>
      </c>
      <c r="R115">
        <v>0.997259790195979</v>
      </c>
      <c r="S115" t="s">
        <v>1783</v>
      </c>
      <c r="T115" t="s">
        <v>3312</v>
      </c>
      <c r="U115" t="s">
        <v>3312</v>
      </c>
      <c r="V115" t="s">
        <v>3312</v>
      </c>
      <c r="W115" t="s">
        <v>3427</v>
      </c>
      <c r="X115">
        <v>15</v>
      </c>
      <c r="Y115" t="s">
        <v>5066</v>
      </c>
      <c r="Z115" t="s">
        <v>6708</v>
      </c>
      <c r="AA115">
        <v>0.3937705375528843</v>
      </c>
      <c r="AB115">
        <f>HYPERLINK("Melting_Curves/meltCurve_P07650_deoA.pdf", "Melting_Curves/meltCurve_P07650_deoA.pdf")</f>
        <v>0</v>
      </c>
    </row>
    <row r="116" spans="1:28">
      <c r="A116" t="s">
        <v>142</v>
      </c>
      <c r="B116">
        <v>0.999984544473304</v>
      </c>
      <c r="C116">
        <v>1.4452051579616</v>
      </c>
      <c r="D116">
        <v>1.19487090885025</v>
      </c>
      <c r="E116">
        <v>1.44414145745977</v>
      </c>
      <c r="F116">
        <v>1.02379934741661</v>
      </c>
      <c r="G116">
        <v>0.985354545835551</v>
      </c>
      <c r="H116">
        <v>0.773210950535644</v>
      </c>
      <c r="I116">
        <v>0.242585609345986</v>
      </c>
      <c r="J116">
        <v>0.0481156761190675</v>
      </c>
      <c r="K116">
        <v>0.048873208429394</v>
      </c>
      <c r="L116">
        <v>2437.60101195288</v>
      </c>
      <c r="M116">
        <v>41.2613271412536</v>
      </c>
      <c r="N116">
        <v>59.1619639527409</v>
      </c>
      <c r="O116">
        <v>58.9388893198805</v>
      </c>
      <c r="P116">
        <v>-0.169990747494328</v>
      </c>
      <c r="Q116">
        <v>0.0287229379593445</v>
      </c>
      <c r="R116">
        <v>0.829463350071197</v>
      </c>
      <c r="S116" t="s">
        <v>1784</v>
      </c>
      <c r="T116" t="s">
        <v>3312</v>
      </c>
      <c r="U116" t="s">
        <v>3312</v>
      </c>
      <c r="V116" t="s">
        <v>3312</v>
      </c>
      <c r="W116" t="s">
        <v>3428</v>
      </c>
      <c r="X116">
        <v>15</v>
      </c>
      <c r="Y116" t="s">
        <v>5067</v>
      </c>
      <c r="Z116" t="s">
        <v>6709</v>
      </c>
      <c r="AA116">
        <v>0.7467379141555543</v>
      </c>
      <c r="AB116">
        <f>HYPERLINK("Melting_Curves/meltCurve_P07762_glgB.pdf", "Melting_Curves/meltCurve_P07762_glgB.pdf")</f>
        <v>0</v>
      </c>
    </row>
    <row r="117" spans="1:28">
      <c r="A117" t="s">
        <v>143</v>
      </c>
      <c r="B117">
        <v>0.999984544473304</v>
      </c>
      <c r="C117">
        <v>1.49716973708209</v>
      </c>
      <c r="D117">
        <v>0.917089433713943</v>
      </c>
      <c r="E117">
        <v>0.909759736262026</v>
      </c>
      <c r="F117">
        <v>0.276672918931382</v>
      </c>
      <c r="G117">
        <v>0.09513954954356441</v>
      </c>
      <c r="H117">
        <v>0.0533938060886717</v>
      </c>
      <c r="I117">
        <v>0.0343573739585229</v>
      </c>
      <c r="J117">
        <v>0.023224768935978</v>
      </c>
      <c r="K117">
        <v>0.0213000594155268</v>
      </c>
      <c r="L117">
        <v>2085.96644040895</v>
      </c>
      <c r="M117">
        <v>42.6238917028048</v>
      </c>
      <c r="N117">
        <v>49.0345479072559</v>
      </c>
      <c r="O117">
        <v>48.8315475895791</v>
      </c>
      <c r="P117">
        <v>-0.209516018006381</v>
      </c>
      <c r="Q117">
        <v>0.0398835443004071</v>
      </c>
      <c r="R117">
        <v>0.904147136751397</v>
      </c>
      <c r="S117" t="s">
        <v>1785</v>
      </c>
      <c r="T117" t="s">
        <v>3312</v>
      </c>
      <c r="U117" t="s">
        <v>3312</v>
      </c>
      <c r="V117" t="s">
        <v>3312</v>
      </c>
      <c r="W117" t="s">
        <v>3429</v>
      </c>
      <c r="X117">
        <v>24</v>
      </c>
      <c r="Y117" t="s">
        <v>5068</v>
      </c>
      <c r="Z117" t="s">
        <v>6710</v>
      </c>
      <c r="AA117">
        <v>0.4248321088387005</v>
      </c>
      <c r="AB117">
        <f>HYPERLINK("Melting_Curves/meltCurve_P07813_leuS.pdf", "Melting_Curves/meltCurve_P07813_leuS.pdf")</f>
        <v>0</v>
      </c>
    </row>
    <row r="118" spans="1:28">
      <c r="A118" t="s">
        <v>144</v>
      </c>
      <c r="B118">
        <v>0.999984544473304</v>
      </c>
      <c r="C118">
        <v>0.7836465842907721</v>
      </c>
      <c r="D118">
        <v>0.876231215910575</v>
      </c>
      <c r="E118">
        <v>0.657742279720967</v>
      </c>
      <c r="F118">
        <v>1.39976770109798</v>
      </c>
      <c r="G118">
        <v>0.811863375970507</v>
      </c>
      <c r="H118">
        <v>1.14763005352342</v>
      </c>
      <c r="I118">
        <v>0.916240532090298</v>
      </c>
      <c r="J118">
        <v>1.17762242864647</v>
      </c>
      <c r="K118">
        <v>0.810150883640134</v>
      </c>
      <c r="L118">
        <v>15000</v>
      </c>
      <c r="M118">
        <v>222.429535908433</v>
      </c>
      <c r="Q118">
        <v>0</v>
      </c>
      <c r="R118">
        <v>0.0407513876174254</v>
      </c>
      <c r="S118" t="s">
        <v>1786</v>
      </c>
      <c r="T118" t="s">
        <v>3312</v>
      </c>
      <c r="U118" t="s">
        <v>3312</v>
      </c>
      <c r="V118" t="s">
        <v>3312</v>
      </c>
      <c r="W118" t="s">
        <v>3430</v>
      </c>
      <c r="X118">
        <v>1</v>
      </c>
      <c r="Y118" t="s">
        <v>5069</v>
      </c>
      <c r="Z118" t="s">
        <v>6711</v>
      </c>
      <c r="AA118">
        <v>0.997919435444924</v>
      </c>
      <c r="AB118">
        <f>HYPERLINK("Melting_Curves/meltCurve_P07822_fhuD.pdf", "Melting_Curves/meltCurve_P07822_fhuD.pdf")</f>
        <v>0</v>
      </c>
    </row>
    <row r="119" spans="1:28">
      <c r="A119" t="s">
        <v>145</v>
      </c>
      <c r="B119">
        <v>0.999984544473304</v>
      </c>
      <c r="C119">
        <v>0.645173728724762</v>
      </c>
      <c r="D119">
        <v>0.594897233101757</v>
      </c>
      <c r="E119">
        <v>0.256309062566145</v>
      </c>
      <c r="F119">
        <v>0.111859800411695</v>
      </c>
      <c r="G119">
        <v>0.0326402633073096</v>
      </c>
      <c r="H119">
        <v>0.0224477777017962</v>
      </c>
      <c r="I119">
        <v>0.0125623025648267</v>
      </c>
      <c r="J119">
        <v>0.0124510840447482</v>
      </c>
      <c r="K119">
        <v>0.0103048647768238</v>
      </c>
      <c r="L119">
        <v>611.902256783622</v>
      </c>
      <c r="M119">
        <v>14.1574216619208</v>
      </c>
      <c r="N119">
        <v>43.2213062077087</v>
      </c>
      <c r="O119">
        <v>42.3863799996006</v>
      </c>
      <c r="P119">
        <v>-0.0835127650797227</v>
      </c>
      <c r="Q119">
        <v>0</v>
      </c>
      <c r="R119">
        <v>0.974837915439088</v>
      </c>
      <c r="S119" t="s">
        <v>1787</v>
      </c>
      <c r="T119" t="s">
        <v>3312</v>
      </c>
      <c r="U119" t="s">
        <v>3312</v>
      </c>
      <c r="V119" t="s">
        <v>3312</v>
      </c>
      <c r="W119" t="s">
        <v>3431</v>
      </c>
      <c r="X119">
        <v>4</v>
      </c>
      <c r="Y119" t="s">
        <v>5070</v>
      </c>
      <c r="Z119" t="s">
        <v>6712</v>
      </c>
      <c r="AA119">
        <v>0.2367508684613197</v>
      </c>
      <c r="AB119">
        <f>HYPERLINK("Melting_Curves/meltCurve_P07862_ddlB.pdf", "Melting_Curves/meltCurve_P07862_ddlB.pdf")</f>
        <v>0</v>
      </c>
    </row>
    <row r="120" spans="1:28">
      <c r="A120" t="s">
        <v>146</v>
      </c>
      <c r="B120">
        <v>0.999984544473304</v>
      </c>
      <c r="C120">
        <v>0.838509389082425</v>
      </c>
      <c r="D120">
        <v>0.29014703655506</v>
      </c>
      <c r="E120">
        <v>0.5098031237874719</v>
      </c>
      <c r="F120">
        <v>0.343581802083551</v>
      </c>
      <c r="G120">
        <v>0.267837869800318</v>
      </c>
      <c r="H120">
        <v>0.217744492856179</v>
      </c>
      <c r="I120">
        <v>0.0931945765331801</v>
      </c>
      <c r="J120">
        <v>0.0276913450367687</v>
      </c>
      <c r="K120">
        <v>0.0335564378182739</v>
      </c>
      <c r="L120">
        <v>375.056999710349</v>
      </c>
      <c r="M120">
        <v>8.34942982940429</v>
      </c>
      <c r="N120">
        <v>45.0316753486833</v>
      </c>
      <c r="O120">
        <v>42.5648343324086</v>
      </c>
      <c r="P120">
        <v>-0.0485841204543158</v>
      </c>
      <c r="Q120">
        <v>0.0102397460936518</v>
      </c>
      <c r="R120">
        <v>0.853555447980835</v>
      </c>
      <c r="S120" t="s">
        <v>1788</v>
      </c>
      <c r="T120" t="s">
        <v>3312</v>
      </c>
      <c r="U120" t="s">
        <v>3312</v>
      </c>
      <c r="V120" t="s">
        <v>3312</v>
      </c>
      <c r="W120" t="s">
        <v>3432</v>
      </c>
      <c r="X120">
        <v>2</v>
      </c>
      <c r="Y120" t="s">
        <v>5071</v>
      </c>
      <c r="Z120" t="s">
        <v>6713</v>
      </c>
      <c r="AA120">
        <v>0.3361440522707037</v>
      </c>
      <c r="AB120">
        <f>HYPERLINK("Melting_Curves/meltCurve_P07913_tdh.pdf", "Melting_Curves/meltCurve_P07913_tdh.pdf")</f>
        <v>0</v>
      </c>
    </row>
    <row r="121" spans="1:28">
      <c r="A121" t="s">
        <v>147</v>
      </c>
      <c r="B121">
        <v>0.999984544473304</v>
      </c>
      <c r="C121">
        <v>0.944066812774621</v>
      </c>
      <c r="D121">
        <v>0.644941303222481</v>
      </c>
      <c r="E121">
        <v>0.577941224821922</v>
      </c>
      <c r="F121">
        <v>0.445215155354998</v>
      </c>
      <c r="G121">
        <v>0.292004779068502</v>
      </c>
      <c r="H121">
        <v>0.279752355678297</v>
      </c>
      <c r="I121">
        <v>0.174095299220893</v>
      </c>
      <c r="J121">
        <v>0.171987122399312</v>
      </c>
      <c r="K121">
        <v>0.163822564095066</v>
      </c>
      <c r="L121">
        <v>490.662692643118</v>
      </c>
      <c r="M121">
        <v>10.5229265892587</v>
      </c>
      <c r="N121">
        <v>48.0493774351367</v>
      </c>
      <c r="O121">
        <v>45.0384749559662</v>
      </c>
      <c r="P121">
        <v>-0.0506185754928097</v>
      </c>
      <c r="Q121">
        <v>0.133749898023897</v>
      </c>
      <c r="R121">
        <v>0.975270502625361</v>
      </c>
      <c r="S121" t="s">
        <v>1789</v>
      </c>
      <c r="T121" t="s">
        <v>3312</v>
      </c>
      <c r="U121" t="s">
        <v>3312</v>
      </c>
      <c r="V121" t="s">
        <v>3312</v>
      </c>
      <c r="W121" t="s">
        <v>3433</v>
      </c>
      <c r="X121">
        <v>1</v>
      </c>
      <c r="Y121" t="s">
        <v>5072</v>
      </c>
      <c r="Z121" t="s">
        <v>6714</v>
      </c>
      <c r="AA121">
        <v>0.4473524218844032</v>
      </c>
      <c r="AB121">
        <f>HYPERLINK("Melting_Curves/meltCurve_P08178_purM.pdf", "Melting_Curves/meltCurve_P08178_purM.pdf")</f>
        <v>0</v>
      </c>
    </row>
    <row r="122" spans="1:28">
      <c r="A122" t="s">
        <v>148</v>
      </c>
      <c r="B122">
        <v>0.999984544473304</v>
      </c>
      <c r="C122">
        <v>0.8446670108793</v>
      </c>
      <c r="D122">
        <v>0.853851487513457</v>
      </c>
      <c r="E122">
        <v>0.858529442387849</v>
      </c>
      <c r="F122">
        <v>0.359003508609294</v>
      </c>
      <c r="G122">
        <v>0.216133525751491</v>
      </c>
      <c r="H122">
        <v>0.210900251015221</v>
      </c>
      <c r="I122">
        <v>0.157419126801134</v>
      </c>
      <c r="J122">
        <v>0.0529793460540907</v>
      </c>
      <c r="K122">
        <v>0.0812021579446562</v>
      </c>
      <c r="L122">
        <v>983.320430586399</v>
      </c>
      <c r="M122">
        <v>20.1288421882126</v>
      </c>
      <c r="N122">
        <v>49.3989011931404</v>
      </c>
      <c r="O122">
        <v>48.3768215143451</v>
      </c>
      <c r="P122">
        <v>-0.0936222609042963</v>
      </c>
      <c r="Q122">
        <v>0.0999971230064003</v>
      </c>
      <c r="R122">
        <v>0.956617811742927</v>
      </c>
      <c r="S122" t="s">
        <v>1790</v>
      </c>
      <c r="T122" t="s">
        <v>3312</v>
      </c>
      <c r="U122" t="s">
        <v>3312</v>
      </c>
      <c r="V122" t="s">
        <v>3312</v>
      </c>
      <c r="W122" t="s">
        <v>3434</v>
      </c>
      <c r="X122">
        <v>1</v>
      </c>
      <c r="Y122" t="s">
        <v>5073</v>
      </c>
      <c r="Z122" t="s">
        <v>6715</v>
      </c>
      <c r="AA122">
        <v>0.4672529070554356</v>
      </c>
      <c r="AB122">
        <f>HYPERLINK("Melting_Curves/meltCurve_P08179_purN.pdf", "Melting_Curves/meltCurve_P08179_purN.pdf")</f>
        <v>0</v>
      </c>
    </row>
    <row r="123" spans="1:28">
      <c r="A123" t="s">
        <v>149</v>
      </c>
      <c r="B123">
        <v>0.999984544473304</v>
      </c>
      <c r="C123">
        <v>1.02034833714188</v>
      </c>
      <c r="D123">
        <v>0.995577419176062</v>
      </c>
      <c r="E123">
        <v>0.773654375695118</v>
      </c>
      <c r="F123">
        <v>0.379533851879165</v>
      </c>
      <c r="G123">
        <v>0.102210598210396</v>
      </c>
      <c r="H123">
        <v>0.0553129844610596</v>
      </c>
      <c r="I123">
        <v>0.0480563439147556</v>
      </c>
      <c r="J123">
        <v>0.0279424520303854</v>
      </c>
      <c r="K123">
        <v>0.0374781297550569</v>
      </c>
      <c r="L123">
        <v>1251.49142223008</v>
      </c>
      <c r="M123">
        <v>25.5764245524157</v>
      </c>
      <c r="N123">
        <v>49.0592927415949</v>
      </c>
      <c r="O123">
        <v>48.6352688661196</v>
      </c>
      <c r="P123">
        <v>-0.127233512578585</v>
      </c>
      <c r="Q123">
        <v>0.0322402932596303</v>
      </c>
      <c r="R123">
        <v>0.998908082820535</v>
      </c>
      <c r="S123" t="s">
        <v>1791</v>
      </c>
      <c r="T123" t="s">
        <v>3312</v>
      </c>
      <c r="U123" t="s">
        <v>3312</v>
      </c>
      <c r="V123" t="s">
        <v>3312</v>
      </c>
      <c r="W123" t="s">
        <v>3435</v>
      </c>
      <c r="X123">
        <v>4</v>
      </c>
      <c r="Y123" t="s">
        <v>5074</v>
      </c>
      <c r="Z123" t="s">
        <v>6716</v>
      </c>
      <c r="AA123">
        <v>0.4251243533258456</v>
      </c>
      <c r="AB123">
        <f>HYPERLINK("Melting_Curves/meltCurve_P08192_folC.pdf", "Melting_Curves/meltCurve_P08192_folC.pdf")</f>
        <v>0</v>
      </c>
    </row>
    <row r="124" spans="1:28">
      <c r="A124" t="s">
        <v>150</v>
      </c>
      <c r="B124">
        <v>0.999984544473304</v>
      </c>
      <c r="C124">
        <v>1.0546906496368</v>
      </c>
      <c r="D124">
        <v>0.97243451924345</v>
      </c>
      <c r="E124">
        <v>0.8443276494055419</v>
      </c>
      <c r="F124">
        <v>0.315900364386312</v>
      </c>
      <c r="G124">
        <v>0.0533841433605589</v>
      </c>
      <c r="H124">
        <v>0.0222599018762528</v>
      </c>
      <c r="I124">
        <v>0.0139422392004053</v>
      </c>
      <c r="J124">
        <v>0.010668628192073</v>
      </c>
      <c r="K124">
        <v>0.0102165873580466</v>
      </c>
      <c r="L124">
        <v>1615.16042747661</v>
      </c>
      <c r="M124">
        <v>32.9878512845123</v>
      </c>
      <c r="N124">
        <v>48.9943774449107</v>
      </c>
      <c r="O124">
        <v>48.7834094121774</v>
      </c>
      <c r="P124">
        <v>-0.16724629176536</v>
      </c>
      <c r="Q124">
        <v>0.0106895755080058</v>
      </c>
      <c r="R124">
        <v>0.998317544410951</v>
      </c>
      <c r="S124" t="s">
        <v>1792</v>
      </c>
      <c r="T124" t="s">
        <v>3312</v>
      </c>
      <c r="U124" t="s">
        <v>3312</v>
      </c>
      <c r="V124" t="s">
        <v>3312</v>
      </c>
      <c r="W124" t="s">
        <v>3436</v>
      </c>
      <c r="X124">
        <v>24</v>
      </c>
      <c r="Y124" t="s">
        <v>5075</v>
      </c>
      <c r="Z124" t="s">
        <v>6717</v>
      </c>
      <c r="AA124">
        <v>0.4101017870788261</v>
      </c>
      <c r="AB124">
        <f>HYPERLINK("Melting_Curves/meltCurve_P08200_icd.pdf", "Melting_Curves/meltCurve_P08200_icd.pdf")</f>
        <v>0</v>
      </c>
    </row>
    <row r="125" spans="1:28">
      <c r="A125" t="s">
        <v>151</v>
      </c>
      <c r="B125">
        <v>0.999984544473304</v>
      </c>
      <c r="C125">
        <v>1.4311817445708</v>
      </c>
      <c r="D125">
        <v>1.36170016186358</v>
      </c>
      <c r="E125">
        <v>1.32661068615194</v>
      </c>
      <c r="F125">
        <v>0.564984543608173</v>
      </c>
      <c r="G125">
        <v>0.205088351604325</v>
      </c>
      <c r="H125">
        <v>0.0762127659416828</v>
      </c>
      <c r="I125">
        <v>0.0396132713319834</v>
      </c>
      <c r="J125">
        <v>0.0207370266141802</v>
      </c>
      <c r="K125">
        <v>0.0383611526728463</v>
      </c>
      <c r="L125">
        <v>4027.19195126718</v>
      </c>
      <c r="M125">
        <v>80.08125547952589</v>
      </c>
      <c r="N125">
        <v>50.3903797661517</v>
      </c>
      <c r="O125">
        <v>50.2574697480268</v>
      </c>
      <c r="P125">
        <v>-0.368669262998476</v>
      </c>
      <c r="Q125">
        <v>0.0745205854882123</v>
      </c>
      <c r="R125">
        <v>0.867154234153653</v>
      </c>
      <c r="S125" t="s">
        <v>1793</v>
      </c>
      <c r="T125" t="s">
        <v>3312</v>
      </c>
      <c r="U125" t="s">
        <v>3312</v>
      </c>
      <c r="V125" t="s">
        <v>3312</v>
      </c>
      <c r="W125" t="s">
        <v>3437</v>
      </c>
      <c r="X125">
        <v>4</v>
      </c>
      <c r="Y125" t="s">
        <v>5076</v>
      </c>
      <c r="Z125" t="s">
        <v>6718</v>
      </c>
      <c r="AA125">
        <v>0.4852691836026379</v>
      </c>
      <c r="AB125">
        <f>HYPERLINK("Melting_Curves/meltCurve_P08202_araA.pdf", "Melting_Curves/meltCurve_P08202_araA.pdf")</f>
        <v>0</v>
      </c>
    </row>
    <row r="126" spans="1:28">
      <c r="A126" t="s">
        <v>152</v>
      </c>
      <c r="B126">
        <v>0.999984544473304</v>
      </c>
      <c r="C126">
        <v>0.759489514057595</v>
      </c>
      <c r="D126">
        <v>0.91663964828259</v>
      </c>
      <c r="E126">
        <v>0.712749326023534</v>
      </c>
      <c r="F126">
        <v>0.59998814533082</v>
      </c>
      <c r="G126">
        <v>0.358744481922493</v>
      </c>
      <c r="H126">
        <v>0.192791674496159</v>
      </c>
      <c r="I126">
        <v>0.0965980435588054</v>
      </c>
      <c r="J126">
        <v>0.0439041310313233</v>
      </c>
      <c r="K126">
        <v>0.0374716037273254</v>
      </c>
      <c r="L126">
        <v>577.271986464488</v>
      </c>
      <c r="M126">
        <v>11.3733688645327</v>
      </c>
      <c r="N126">
        <v>50.7564631664115</v>
      </c>
      <c r="O126">
        <v>49.2633010385569</v>
      </c>
      <c r="P126">
        <v>-0.0577343756261469</v>
      </c>
      <c r="Q126">
        <v>0</v>
      </c>
      <c r="R126">
        <v>0.960398593779888</v>
      </c>
      <c r="S126" t="s">
        <v>1794</v>
      </c>
      <c r="T126" t="s">
        <v>3312</v>
      </c>
      <c r="U126" t="s">
        <v>3312</v>
      </c>
      <c r="V126" t="s">
        <v>3312</v>
      </c>
      <c r="W126" t="s">
        <v>3438</v>
      </c>
      <c r="X126">
        <v>6</v>
      </c>
      <c r="Y126" t="s">
        <v>5077</v>
      </c>
      <c r="Z126" t="s">
        <v>6719</v>
      </c>
      <c r="AA126">
        <v>0.4865491195727248</v>
      </c>
      <c r="AB126">
        <f>HYPERLINK("Melting_Curves/meltCurve_P08244_pyrF.pdf", "Melting_Curves/meltCurve_P08244_pyrF.pdf")</f>
        <v>0</v>
      </c>
    </row>
    <row r="127" spans="1:28">
      <c r="A127" t="s">
        <v>153</v>
      </c>
      <c r="B127">
        <v>0.999984544473304</v>
      </c>
      <c r="C127">
        <v>0.955872691370693</v>
      </c>
      <c r="D127">
        <v>1.02128709880189</v>
      </c>
      <c r="E127">
        <v>1.02985632632793</v>
      </c>
      <c r="F127">
        <v>0.770951271872015</v>
      </c>
      <c r="G127">
        <v>0.270679952054686</v>
      </c>
      <c r="H127">
        <v>0.0757546223096382</v>
      </c>
      <c r="I127">
        <v>0.0525093168359236</v>
      </c>
      <c r="J127">
        <v>0.0405170673193651</v>
      </c>
      <c r="K127">
        <v>0.0444407777469495</v>
      </c>
      <c r="L127">
        <v>1815.03759813317</v>
      </c>
      <c r="M127">
        <v>34.9400124915818</v>
      </c>
      <c r="N127">
        <v>52.0845289462153</v>
      </c>
      <c r="O127">
        <v>51.7779680327005</v>
      </c>
      <c r="P127">
        <v>-0.161280946237769</v>
      </c>
      <c r="Q127">
        <v>0.0439877456144955</v>
      </c>
      <c r="R127">
        <v>0.997507316035986</v>
      </c>
      <c r="S127" t="s">
        <v>1795</v>
      </c>
      <c r="T127" t="s">
        <v>3312</v>
      </c>
      <c r="U127" t="s">
        <v>3312</v>
      </c>
      <c r="V127" t="s">
        <v>3312</v>
      </c>
      <c r="W127" t="s">
        <v>3439</v>
      </c>
      <c r="X127">
        <v>11</v>
      </c>
      <c r="Y127" t="s">
        <v>5078</v>
      </c>
      <c r="Z127" t="s">
        <v>6720</v>
      </c>
      <c r="AA127">
        <v>0.5247925510030769</v>
      </c>
      <c r="AB127">
        <f>HYPERLINK("Melting_Curves/meltCurve_P08312_pheS.pdf", "Melting_Curves/meltCurve_P08312_pheS.pdf")</f>
        <v>0</v>
      </c>
    </row>
    <row r="128" spans="1:28">
      <c r="A128" t="s">
        <v>154</v>
      </c>
      <c r="B128">
        <v>0.999984544473304</v>
      </c>
      <c r="C128">
        <v>1.11246293211406</v>
      </c>
      <c r="D128">
        <v>1.0652813857803</v>
      </c>
      <c r="E128">
        <v>1.1210994511327</v>
      </c>
      <c r="F128">
        <v>1.10213045569265</v>
      </c>
      <c r="G128">
        <v>0.860631052153027</v>
      </c>
      <c r="H128">
        <v>0.70508323583696</v>
      </c>
      <c r="I128">
        <v>0.463940673989398</v>
      </c>
      <c r="J128">
        <v>0.340954261332015</v>
      </c>
      <c r="K128">
        <v>0.266814390906208</v>
      </c>
      <c r="L128">
        <v>1333.63438864712</v>
      </c>
      <c r="M128">
        <v>22.7786143768529</v>
      </c>
      <c r="N128">
        <v>60.2605467857694</v>
      </c>
      <c r="O128">
        <v>58.1020182027762</v>
      </c>
      <c r="P128">
        <v>-0.0746548977041325</v>
      </c>
      <c r="Q128">
        <v>0.238317911576697</v>
      </c>
      <c r="R128">
        <v>0.952046866575287</v>
      </c>
      <c r="S128" t="s">
        <v>1796</v>
      </c>
      <c r="T128" t="s">
        <v>3312</v>
      </c>
      <c r="U128" t="s">
        <v>3312</v>
      </c>
      <c r="V128" t="s">
        <v>3312</v>
      </c>
      <c r="W128" t="s">
        <v>3440</v>
      </c>
      <c r="X128">
        <v>20</v>
      </c>
      <c r="Y128" t="s">
        <v>5079</v>
      </c>
      <c r="Z128" t="s">
        <v>6721</v>
      </c>
      <c r="AA128">
        <v>0.7898255067293461</v>
      </c>
      <c r="AB128">
        <f>HYPERLINK("Melting_Curves/meltCurve_P08331_cpdB.pdf", "Melting_Curves/meltCurve_P08331_cpdB.pdf")</f>
        <v>0</v>
      </c>
    </row>
    <row r="129" spans="1:28">
      <c r="A129" t="s">
        <v>155</v>
      </c>
      <c r="B129">
        <v>0.999984544473304</v>
      </c>
      <c r="C129">
        <v>0.9138279192083369</v>
      </c>
      <c r="D129">
        <v>0.853182543270347</v>
      </c>
      <c r="E129">
        <v>0.906450415594885</v>
      </c>
      <c r="F129">
        <v>0.844043467453958</v>
      </c>
      <c r="G129">
        <v>0.580264713855061</v>
      </c>
      <c r="H129">
        <v>0.484932109548583</v>
      </c>
      <c r="I129">
        <v>0.462547513204685</v>
      </c>
      <c r="J129">
        <v>0.260180423001606</v>
      </c>
      <c r="K129">
        <v>0.196015600237841</v>
      </c>
      <c r="L129">
        <v>483.214770063625</v>
      </c>
      <c r="M129">
        <v>8.41743061602636</v>
      </c>
      <c r="N129">
        <v>57.4064420605053</v>
      </c>
      <c r="O129">
        <v>54.4408901233201</v>
      </c>
      <c r="P129">
        <v>-0.0386901294897096</v>
      </c>
      <c r="Q129">
        <v>0</v>
      </c>
      <c r="R129">
        <v>0.9587820953556651</v>
      </c>
      <c r="S129" t="s">
        <v>1797</v>
      </c>
      <c r="T129" t="s">
        <v>3312</v>
      </c>
      <c r="U129" t="s">
        <v>3312</v>
      </c>
      <c r="V129" t="s">
        <v>3312</v>
      </c>
      <c r="W129" t="s">
        <v>3441</v>
      </c>
      <c r="X129">
        <v>1</v>
      </c>
      <c r="Y129" t="s">
        <v>5080</v>
      </c>
      <c r="Z129" t="s">
        <v>6722</v>
      </c>
      <c r="AA129">
        <v>0.6681615292810451</v>
      </c>
      <c r="AB129">
        <f>HYPERLINK("Melting_Curves/meltCurve_P08337_mutT.pdf", "Melting_Curves/meltCurve_P08337_mutT.pdf")</f>
        <v>0</v>
      </c>
    </row>
    <row r="130" spans="1:28">
      <c r="A130" t="s">
        <v>156</v>
      </c>
      <c r="B130">
        <v>0.999984544473304</v>
      </c>
      <c r="C130">
        <v>0.926604553595652</v>
      </c>
      <c r="D130">
        <v>0.951585234352582</v>
      </c>
      <c r="E130">
        <v>0.713276377081173</v>
      </c>
      <c r="F130">
        <v>0.562904787412086</v>
      </c>
      <c r="G130">
        <v>0.13353904580137</v>
      </c>
      <c r="H130">
        <v>0.113240613215623</v>
      </c>
      <c r="I130">
        <v>0.08265360433073179</v>
      </c>
      <c r="J130">
        <v>0.0616614669907911</v>
      </c>
      <c r="K130">
        <v>0.0720406499975226</v>
      </c>
      <c r="L130">
        <v>894.31763145808</v>
      </c>
      <c r="M130">
        <v>18.0521959810716</v>
      </c>
      <c r="N130">
        <v>49.7793448984715</v>
      </c>
      <c r="O130">
        <v>48.9447522013765</v>
      </c>
      <c r="P130">
        <v>-0.0883887587182255</v>
      </c>
      <c r="Q130">
        <v>0.0414567238646043</v>
      </c>
      <c r="R130">
        <v>0.982823140119832</v>
      </c>
      <c r="S130" t="s">
        <v>1798</v>
      </c>
      <c r="T130" t="s">
        <v>3312</v>
      </c>
      <c r="U130" t="s">
        <v>3312</v>
      </c>
      <c r="V130" t="s">
        <v>3312</v>
      </c>
      <c r="W130" t="s">
        <v>3442</v>
      </c>
      <c r="X130">
        <v>3</v>
      </c>
      <c r="Y130" t="s">
        <v>5081</v>
      </c>
      <c r="Z130" t="s">
        <v>6723</v>
      </c>
      <c r="AA130">
        <v>0.4572492414941372</v>
      </c>
      <c r="AB130">
        <f>HYPERLINK("Melting_Curves/meltCurve_P08373_murB.pdf", "Melting_Curves/meltCurve_P08373_murB.pdf")</f>
        <v>0</v>
      </c>
    </row>
    <row r="131" spans="1:28">
      <c r="A131" t="s">
        <v>157</v>
      </c>
      <c r="B131">
        <v>0.999984544473304</v>
      </c>
      <c r="C131">
        <v>0.713873549658687</v>
      </c>
      <c r="D131">
        <v>0.488174820909187</v>
      </c>
      <c r="E131">
        <v>0.319260032952021</v>
      </c>
      <c r="F131">
        <v>0.241118985540302</v>
      </c>
      <c r="G131">
        <v>0.170971425513619</v>
      </c>
      <c r="H131">
        <v>0.130153539706807</v>
      </c>
      <c r="I131">
        <v>0.128443912060472</v>
      </c>
      <c r="J131">
        <v>0.08254121551697401</v>
      </c>
      <c r="K131">
        <v>0.108796653954999</v>
      </c>
      <c r="L131">
        <v>624.641474882884</v>
      </c>
      <c r="M131">
        <v>14.7110776385842</v>
      </c>
      <c r="N131">
        <v>43.2318525590606</v>
      </c>
      <c r="O131">
        <v>41.6991718153569</v>
      </c>
      <c r="P131">
        <v>-0.0780269956626666</v>
      </c>
      <c r="Q131">
        <v>0.115413163785616</v>
      </c>
      <c r="R131">
        <v>0.982797384011295</v>
      </c>
      <c r="S131" t="s">
        <v>1799</v>
      </c>
      <c r="T131" t="s">
        <v>3312</v>
      </c>
      <c r="U131" t="s">
        <v>3312</v>
      </c>
      <c r="V131" t="s">
        <v>3312</v>
      </c>
      <c r="W131" t="s">
        <v>3443</v>
      </c>
      <c r="X131">
        <v>3</v>
      </c>
      <c r="Y131" t="s">
        <v>5082</v>
      </c>
      <c r="Z131" t="s">
        <v>6724</v>
      </c>
      <c r="AA131">
        <v>0.3018763422371916</v>
      </c>
      <c r="AB131">
        <f>HYPERLINK("Melting_Curves/meltCurve_P08390_usg.pdf", "Melting_Curves/meltCurve_P08390_usg.pdf")</f>
        <v>0</v>
      </c>
    </row>
    <row r="132" spans="1:28">
      <c r="A132" t="s">
        <v>158</v>
      </c>
      <c r="B132">
        <v>0.999984544473304</v>
      </c>
      <c r="C132">
        <v>1.33668211088927</v>
      </c>
      <c r="D132">
        <v>0.911186886756995</v>
      </c>
      <c r="E132">
        <v>1.03685751960913</v>
      </c>
      <c r="F132">
        <v>0.618219791632332</v>
      </c>
      <c r="G132">
        <v>0.723028118955476</v>
      </c>
      <c r="H132">
        <v>0.447203522449205</v>
      </c>
      <c r="I132">
        <v>0.281286741099965</v>
      </c>
      <c r="J132">
        <v>0.09549930671950101</v>
      </c>
      <c r="K132">
        <v>0.0641916978578916</v>
      </c>
      <c r="L132">
        <v>738.3199685787559</v>
      </c>
      <c r="M132">
        <v>13.1949500667801</v>
      </c>
      <c r="N132">
        <v>55.9547378067497</v>
      </c>
      <c r="O132">
        <v>54.7163607120267</v>
      </c>
      <c r="P132">
        <v>-0.0602980071792262</v>
      </c>
      <c r="Q132">
        <v>0</v>
      </c>
      <c r="R132">
        <v>0.885418451786855</v>
      </c>
      <c r="S132" t="s">
        <v>1800</v>
      </c>
      <c r="T132" t="s">
        <v>3312</v>
      </c>
      <c r="U132" t="s">
        <v>3312</v>
      </c>
      <c r="V132" t="s">
        <v>3312</v>
      </c>
      <c r="W132" t="s">
        <v>3444</v>
      </c>
      <c r="X132">
        <v>4</v>
      </c>
      <c r="Y132" t="s">
        <v>5083</v>
      </c>
      <c r="Z132" t="s">
        <v>6725</v>
      </c>
      <c r="AA132">
        <v>0.642861582746544</v>
      </c>
      <c r="AB132">
        <f>HYPERLINK("Melting_Curves/meltCurve_P08395_sppA.pdf", "Melting_Curves/meltCurve_P08395_sppA.pdf")</f>
        <v>0</v>
      </c>
    </row>
    <row r="133" spans="1:28">
      <c r="A133" t="s">
        <v>159</v>
      </c>
      <c r="B133">
        <v>0.999984544473304</v>
      </c>
      <c r="C133">
        <v>0.940656667308325</v>
      </c>
      <c r="D133">
        <v>0.9380438895866</v>
      </c>
      <c r="E133">
        <v>0.752715613830569</v>
      </c>
      <c r="F133">
        <v>0.394938082881221</v>
      </c>
      <c r="G133">
        <v>0.06290900956987081</v>
      </c>
      <c r="H133">
        <v>0.0400262752440975</v>
      </c>
      <c r="I133">
        <v>0.0221242700669507</v>
      </c>
      <c r="J133">
        <v>0.0170792899555039</v>
      </c>
      <c r="K133">
        <v>0.0172775989704052</v>
      </c>
      <c r="L133">
        <v>1118.79811110619</v>
      </c>
      <c r="M133">
        <v>22.8630869621594</v>
      </c>
      <c r="N133">
        <v>48.9527495054532</v>
      </c>
      <c r="O133">
        <v>48.5649368748554</v>
      </c>
      <c r="P133">
        <v>-0.117201747925113</v>
      </c>
      <c r="Q133">
        <v>0.00419634255074758</v>
      </c>
      <c r="R133">
        <v>0.995685152626079</v>
      </c>
      <c r="S133" t="s">
        <v>1801</v>
      </c>
      <c r="T133" t="s">
        <v>3312</v>
      </c>
      <c r="U133" t="s">
        <v>3312</v>
      </c>
      <c r="V133" t="s">
        <v>3312</v>
      </c>
      <c r="W133" t="s">
        <v>3445</v>
      </c>
      <c r="X133">
        <v>14</v>
      </c>
      <c r="Y133" t="s">
        <v>5084</v>
      </c>
      <c r="Z133" t="s">
        <v>6726</v>
      </c>
      <c r="AA133">
        <v>0.4105640088438994</v>
      </c>
      <c r="AB133">
        <f>HYPERLINK("Melting_Curves/meltCurve_P08506_dacC.pdf", "Melting_Curves/meltCurve_P08506_dacC.pdf")</f>
        <v>0</v>
      </c>
    </row>
    <row r="134" spans="1:28">
      <c r="A134" t="s">
        <v>160</v>
      </c>
      <c r="B134">
        <v>0.999984544473304</v>
      </c>
      <c r="C134">
        <v>1.04977617473446</v>
      </c>
      <c r="D134">
        <v>0.933895597182597</v>
      </c>
      <c r="E134">
        <v>0.540326702416889</v>
      </c>
      <c r="F134">
        <v>0.643751831958964</v>
      </c>
      <c r="G134">
        <v>0.5321171331129561</v>
      </c>
      <c r="H134">
        <v>0.63876611660002</v>
      </c>
      <c r="I134">
        <v>0.482168163141851</v>
      </c>
      <c r="J134">
        <v>0.545267759844455</v>
      </c>
      <c r="K134">
        <v>0.547092477644473</v>
      </c>
      <c r="L134">
        <v>10824.3516710468</v>
      </c>
      <c r="M134">
        <v>250</v>
      </c>
      <c r="O134">
        <v>43.2946359314735</v>
      </c>
      <c r="P134">
        <v>-0.633225472838274</v>
      </c>
      <c r="Q134">
        <v>0.561355739509572</v>
      </c>
      <c r="R134">
        <v>0.9447670348864911</v>
      </c>
      <c r="S134" t="s">
        <v>1802</v>
      </c>
      <c r="T134" t="s">
        <v>3312</v>
      </c>
      <c r="U134" t="s">
        <v>3312</v>
      </c>
      <c r="V134" t="s">
        <v>3312</v>
      </c>
      <c r="W134" t="s">
        <v>3446</v>
      </c>
      <c r="X134">
        <v>1</v>
      </c>
      <c r="Y134" t="s">
        <v>5085</v>
      </c>
      <c r="Z134" t="s">
        <v>6727</v>
      </c>
      <c r="AA134">
        <v>0.6534664470526808</v>
      </c>
      <c r="AB134">
        <f>HYPERLINK("Melting_Curves/meltCurve_P08550_cvpA.pdf", "Melting_Curves/meltCurve_P08550_cvpA.pdf")</f>
        <v>0</v>
      </c>
    </row>
    <row r="135" spans="1:28">
      <c r="A135" t="s">
        <v>161</v>
      </c>
      <c r="B135">
        <v>0.999984544473304</v>
      </c>
      <c r="C135">
        <v>0.993592356903922</v>
      </c>
      <c r="D135">
        <v>0.831791468470212</v>
      </c>
      <c r="E135">
        <v>0.644053698721175</v>
      </c>
      <c r="F135">
        <v>0.414652695692944</v>
      </c>
      <c r="G135">
        <v>0.257228291536055</v>
      </c>
      <c r="H135">
        <v>0.195315601060801</v>
      </c>
      <c r="I135">
        <v>0.17168892665091</v>
      </c>
      <c r="J135">
        <v>0.113589504201447</v>
      </c>
      <c r="K135">
        <v>0.119716163497684</v>
      </c>
      <c r="L135">
        <v>690.8464127112881</v>
      </c>
      <c r="M135">
        <v>14.4280807988863</v>
      </c>
      <c r="N135">
        <v>48.7336882247579</v>
      </c>
      <c r="O135">
        <v>46.9904325798833</v>
      </c>
      <c r="P135">
        <v>-0.06821549657285179</v>
      </c>
      <c r="Q135">
        <v>0.111427581501622</v>
      </c>
      <c r="R135">
        <v>0.9971027726210741</v>
      </c>
      <c r="S135" t="s">
        <v>1803</v>
      </c>
      <c r="T135" t="s">
        <v>3312</v>
      </c>
      <c r="U135" t="s">
        <v>3312</v>
      </c>
      <c r="V135" t="s">
        <v>3312</v>
      </c>
      <c r="W135" t="s">
        <v>3447</v>
      </c>
      <c r="X135">
        <v>4</v>
      </c>
      <c r="Y135" t="s">
        <v>5086</v>
      </c>
      <c r="Z135" t="s">
        <v>6728</v>
      </c>
      <c r="AA135">
        <v>0.4546890593992814</v>
      </c>
      <c r="AB135">
        <f>HYPERLINK("Melting_Curves/meltCurve_P08622_dnaJ.pdf", "Melting_Curves/meltCurve_P08622_dnaJ.pdf")</f>
        <v>0</v>
      </c>
    </row>
    <row r="136" spans="1:28">
      <c r="A136" t="s">
        <v>162</v>
      </c>
      <c r="B136">
        <v>0.999984544473304</v>
      </c>
      <c r="C136">
        <v>1.07900573755794</v>
      </c>
      <c r="D136">
        <v>1.12994547081709</v>
      </c>
      <c r="E136">
        <v>0.759978667324798</v>
      </c>
      <c r="F136">
        <v>0.479234520493986</v>
      </c>
      <c r="G136">
        <v>0.295792173171616</v>
      </c>
      <c r="H136">
        <v>0.210245070259242</v>
      </c>
      <c r="I136">
        <v>0.115253362305543</v>
      </c>
      <c r="J136">
        <v>0.06382493138185411</v>
      </c>
      <c r="K136">
        <v>0.0518159611808459</v>
      </c>
      <c r="L136">
        <v>960.177552964068</v>
      </c>
      <c r="M136">
        <v>19.2530634227496</v>
      </c>
      <c r="N136">
        <v>50.3424997260603</v>
      </c>
      <c r="O136">
        <v>49.342737892974</v>
      </c>
      <c r="P136">
        <v>-0.08950990835514119</v>
      </c>
      <c r="Q136">
        <v>0.0824323721287773</v>
      </c>
      <c r="R136">
        <v>0.972371895768826</v>
      </c>
      <c r="S136" t="s">
        <v>1804</v>
      </c>
      <c r="T136" t="s">
        <v>3312</v>
      </c>
      <c r="U136" t="s">
        <v>3312</v>
      </c>
      <c r="V136" t="s">
        <v>3312</v>
      </c>
      <c r="W136" t="s">
        <v>3448</v>
      </c>
      <c r="X136">
        <v>16</v>
      </c>
      <c r="Y136" t="s">
        <v>5087</v>
      </c>
      <c r="Z136" t="s">
        <v>6729</v>
      </c>
      <c r="AA136">
        <v>0.4890287721242585</v>
      </c>
      <c r="AB136">
        <f>HYPERLINK("Melting_Curves/meltCurve_P08839_ptsI.pdf", "Melting_Curves/meltCurve_P08839_ptsI.pdf")</f>
        <v>0</v>
      </c>
    </row>
    <row r="137" spans="1:28">
      <c r="A137" t="s">
        <v>163</v>
      </c>
      <c r="B137">
        <v>0.999984544473304</v>
      </c>
      <c r="C137">
        <v>1.53982204496251</v>
      </c>
      <c r="D137">
        <v>0.64256326969791</v>
      </c>
      <c r="E137">
        <v>0.190115954631365</v>
      </c>
      <c r="F137">
        <v>0.133880680642604</v>
      </c>
      <c r="G137">
        <v>0.0823872246380027</v>
      </c>
      <c r="H137">
        <v>0.0574987764052</v>
      </c>
      <c r="I137">
        <v>0.0687222807091725</v>
      </c>
      <c r="J137">
        <v>0.045964597246072</v>
      </c>
      <c r="K137">
        <v>0.0391758583498141</v>
      </c>
      <c r="L137">
        <v>10768.8672346479</v>
      </c>
      <c r="M137">
        <v>250</v>
      </c>
      <c r="N137">
        <v>43.1089547958047</v>
      </c>
      <c r="O137">
        <v>43.0727234528064</v>
      </c>
      <c r="P137">
        <v>-1.32298184366916</v>
      </c>
      <c r="Q137">
        <v>0.0882493368472179</v>
      </c>
      <c r="R137">
        <v>0.871733396190467</v>
      </c>
      <c r="S137" t="s">
        <v>1805</v>
      </c>
      <c r="T137" t="s">
        <v>3312</v>
      </c>
      <c r="U137" t="s">
        <v>3312</v>
      </c>
      <c r="V137" t="s">
        <v>3312</v>
      </c>
      <c r="W137" t="s">
        <v>3449</v>
      </c>
      <c r="X137">
        <v>13</v>
      </c>
      <c r="Y137" t="s">
        <v>5088</v>
      </c>
      <c r="Z137" t="s">
        <v>6730</v>
      </c>
      <c r="AA137">
        <v>0.2729620233834804</v>
      </c>
      <c r="AB137">
        <f>HYPERLINK("Melting_Curves/meltCurve_P08956_hsdR.pdf", "Melting_Curves/meltCurve_P08956_hsdR.pdf")</f>
        <v>0</v>
      </c>
    </row>
    <row r="138" spans="1:28">
      <c r="A138" t="s">
        <v>164</v>
      </c>
      <c r="B138">
        <v>0.999984544473304</v>
      </c>
      <c r="C138">
        <v>0.958537832986456</v>
      </c>
      <c r="D138">
        <v>0.693352102370325</v>
      </c>
      <c r="E138">
        <v>0.208158051765795</v>
      </c>
      <c r="F138">
        <v>0.08424732166130749</v>
      </c>
      <c r="G138">
        <v>0.041625667052231</v>
      </c>
      <c r="H138">
        <v>0.0354061821551211</v>
      </c>
      <c r="I138">
        <v>0.0520602283115842</v>
      </c>
      <c r="J138">
        <v>0.0398991873835205</v>
      </c>
      <c r="K138">
        <v>0.0312083229103604</v>
      </c>
      <c r="L138">
        <v>1268.61367655432</v>
      </c>
      <c r="M138">
        <v>28.7493939130124</v>
      </c>
      <c r="N138">
        <v>44.2578322133367</v>
      </c>
      <c r="O138">
        <v>43.9147782355484</v>
      </c>
      <c r="P138">
        <v>-0.156981242383297</v>
      </c>
      <c r="Q138">
        <v>0.0408502868387573</v>
      </c>
      <c r="R138">
        <v>0.99963951806211</v>
      </c>
      <c r="S138" t="s">
        <v>1806</v>
      </c>
      <c r="T138" t="s">
        <v>3312</v>
      </c>
      <c r="U138" t="s">
        <v>3312</v>
      </c>
      <c r="V138" t="s">
        <v>3312</v>
      </c>
      <c r="W138" t="s">
        <v>3450</v>
      </c>
      <c r="X138">
        <v>3</v>
      </c>
      <c r="Y138" t="s">
        <v>5089</v>
      </c>
      <c r="Z138" t="s">
        <v>6731</v>
      </c>
      <c r="AA138">
        <v>0.2745347119924252</v>
      </c>
      <c r="AB138">
        <f>HYPERLINK("Melting_Curves/meltCurve_P08957_hsdM.pdf", "Melting_Curves/meltCurve_P08957_hsdM.pdf")</f>
        <v>0</v>
      </c>
    </row>
    <row r="139" spans="1:28">
      <c r="A139" t="s">
        <v>165</v>
      </c>
      <c r="B139">
        <v>0.999984544473304</v>
      </c>
      <c r="C139">
        <v>0.8257940035567209</v>
      </c>
      <c r="D139">
        <v>0.563032192031946</v>
      </c>
      <c r="E139">
        <v>0.380373976147111</v>
      </c>
      <c r="F139">
        <v>0.269910436079835</v>
      </c>
      <c r="G139">
        <v>0.193959258381684</v>
      </c>
      <c r="H139">
        <v>0.173387302910464</v>
      </c>
      <c r="I139">
        <v>0.155980903854464</v>
      </c>
      <c r="J139">
        <v>0.10593400596344</v>
      </c>
      <c r="K139">
        <v>0.134224294193356</v>
      </c>
      <c r="L139">
        <v>648.006046686666</v>
      </c>
      <c r="M139">
        <v>14.9048734386406</v>
      </c>
      <c r="N139">
        <v>44.4382228136644</v>
      </c>
      <c r="O139">
        <v>42.7160207653356</v>
      </c>
      <c r="P139">
        <v>-0.07521052174065961</v>
      </c>
      <c r="Q139">
        <v>0.13790305243756</v>
      </c>
      <c r="R139">
        <v>0.990953042225284</v>
      </c>
      <c r="S139" t="s">
        <v>1807</v>
      </c>
      <c r="T139" t="s">
        <v>3312</v>
      </c>
      <c r="U139" t="s">
        <v>3312</v>
      </c>
      <c r="V139" t="s">
        <v>3312</v>
      </c>
      <c r="W139" t="s">
        <v>3451</v>
      </c>
      <c r="X139">
        <v>10</v>
      </c>
      <c r="Y139" t="s">
        <v>5090</v>
      </c>
      <c r="Z139" t="s">
        <v>6732</v>
      </c>
      <c r="AA139">
        <v>0.3463607301367803</v>
      </c>
      <c r="AB139">
        <f>HYPERLINK("Melting_Curves/meltCurve_P08997_aceB.pdf", "Melting_Curves/meltCurve_P08997_aceB.pdf")</f>
        <v>0</v>
      </c>
    </row>
    <row r="140" spans="1:28">
      <c r="A140" t="s">
        <v>166</v>
      </c>
      <c r="B140">
        <v>0.999984544473304</v>
      </c>
      <c r="C140">
        <v>0.7629873013115001</v>
      </c>
      <c r="D140">
        <v>0.9668838738289161</v>
      </c>
      <c r="E140">
        <v>0.584157399645464</v>
      </c>
      <c r="F140">
        <v>1.03680476573188</v>
      </c>
      <c r="G140">
        <v>0.828595496835613</v>
      </c>
      <c r="H140">
        <v>0.6982876707405981</v>
      </c>
      <c r="I140">
        <v>0.236018216627923</v>
      </c>
      <c r="J140">
        <v>0</v>
      </c>
      <c r="K140">
        <v>0.0305747057554807</v>
      </c>
      <c r="L140">
        <v>1765.88126887965</v>
      </c>
      <c r="M140">
        <v>30.1341794587708</v>
      </c>
      <c r="N140">
        <v>58.6006048228401</v>
      </c>
      <c r="O140">
        <v>58.3443372688326</v>
      </c>
      <c r="P140">
        <v>-0.129122912349427</v>
      </c>
      <c r="Q140">
        <v>0</v>
      </c>
      <c r="R140">
        <v>0.819697339638673</v>
      </c>
      <c r="S140" t="s">
        <v>1808</v>
      </c>
      <c r="T140" t="s">
        <v>3312</v>
      </c>
      <c r="U140" t="s">
        <v>3312</v>
      </c>
      <c r="V140" t="s">
        <v>3312</v>
      </c>
      <c r="W140" t="s">
        <v>3452</v>
      </c>
      <c r="X140">
        <v>2</v>
      </c>
      <c r="Y140" t="s">
        <v>5091</v>
      </c>
      <c r="Z140" t="s">
        <v>6733</v>
      </c>
      <c r="AA140">
        <v>0.7251262584452801</v>
      </c>
      <c r="AB140">
        <f>HYPERLINK("Melting_Curves/meltCurve_P09029_purK.pdf", "Melting_Curves/meltCurve_P09029_purK.pdf")</f>
        <v>0</v>
      </c>
    </row>
    <row r="141" spans="1:28">
      <c r="A141" t="s">
        <v>167</v>
      </c>
      <c r="B141">
        <v>0.999984544473304</v>
      </c>
      <c r="C141">
        <v>0.80772004376979</v>
      </c>
      <c r="D141">
        <v>0.305646195796279</v>
      </c>
      <c r="E141">
        <v>0.07100301630239179</v>
      </c>
      <c r="F141">
        <v>0.0378797856666658</v>
      </c>
      <c r="G141">
        <v>0.0256021651582093</v>
      </c>
      <c r="H141">
        <v>0.0223421290717717</v>
      </c>
      <c r="I141">
        <v>0.0205049745901927</v>
      </c>
      <c r="J141">
        <v>0.0145910319159782</v>
      </c>
      <c r="K141">
        <v>0.0158205114091266</v>
      </c>
      <c r="L141">
        <v>1276.09602655611</v>
      </c>
      <c r="M141">
        <v>30.5634698615182</v>
      </c>
      <c r="N141">
        <v>41.8162074947155</v>
      </c>
      <c r="O141">
        <v>41.5748070710536</v>
      </c>
      <c r="P141">
        <v>-0.179595956464567</v>
      </c>
      <c r="Q141">
        <v>0.0228044000194955</v>
      </c>
      <c r="R141">
        <v>0.999453845051252</v>
      </c>
      <c r="S141" t="s">
        <v>1809</v>
      </c>
      <c r="T141" t="s">
        <v>3312</v>
      </c>
      <c r="U141" t="s">
        <v>3312</v>
      </c>
      <c r="V141" t="s">
        <v>3312</v>
      </c>
      <c r="W141" t="s">
        <v>3453</v>
      </c>
      <c r="X141">
        <v>2</v>
      </c>
      <c r="Y141" t="s">
        <v>5092</v>
      </c>
      <c r="Z141" t="s">
        <v>6734</v>
      </c>
      <c r="AA141">
        <v>0.1831108084390833</v>
      </c>
      <c r="AB141">
        <f>HYPERLINK("Melting_Curves/meltCurve_P09030_xthA.pdf", "Melting_Curves/meltCurve_P09030_xthA.pdf")</f>
        <v>0</v>
      </c>
    </row>
    <row r="142" spans="1:28">
      <c r="A142" t="s">
        <v>168</v>
      </c>
      <c r="B142">
        <v>0.999984544473304</v>
      </c>
      <c r="C142">
        <v>0.8997430319505521</v>
      </c>
      <c r="D142">
        <v>1.0737685663912</v>
      </c>
      <c r="E142">
        <v>1.0538008364312</v>
      </c>
      <c r="F142">
        <v>1.10982129531683</v>
      </c>
      <c r="G142">
        <v>1.03610930504678</v>
      </c>
      <c r="H142">
        <v>0.959249013703778</v>
      </c>
      <c r="I142">
        <v>0.880771890151312</v>
      </c>
      <c r="J142">
        <v>0.693995607311752</v>
      </c>
      <c r="K142">
        <v>0.73112823799885</v>
      </c>
      <c r="L142">
        <v>15000</v>
      </c>
      <c r="M142">
        <v>245.557469018204</v>
      </c>
      <c r="O142">
        <v>61.0814450905237</v>
      </c>
      <c r="P142">
        <v>-0.288888251505807</v>
      </c>
      <c r="Q142">
        <v>0.71256077991497</v>
      </c>
      <c r="R142">
        <v>0.812640368550024</v>
      </c>
      <c r="S142" t="s">
        <v>1810</v>
      </c>
      <c r="T142" t="s">
        <v>3312</v>
      </c>
      <c r="U142" t="s">
        <v>3312</v>
      </c>
      <c r="V142" t="s">
        <v>3312</v>
      </c>
      <c r="W142" t="s">
        <v>3454</v>
      </c>
      <c r="X142">
        <v>10</v>
      </c>
      <c r="Y142" t="s">
        <v>5093</v>
      </c>
      <c r="Z142" t="s">
        <v>6735</v>
      </c>
      <c r="AA142">
        <v>0.9433632675496048</v>
      </c>
      <c r="AB142">
        <f>HYPERLINK("Melting_Curves/meltCurve_P09127_hemX.pdf", "Melting_Curves/meltCurve_P09127_hemX.pdf")</f>
        <v>0</v>
      </c>
    </row>
    <row r="143" spans="1:28">
      <c r="A143" t="s">
        <v>169</v>
      </c>
      <c r="B143">
        <v>0.999984544473304</v>
      </c>
      <c r="C143">
        <v>0.930844750659609</v>
      </c>
      <c r="D143">
        <v>0.892944074025155</v>
      </c>
      <c r="E143">
        <v>0.486689697258543</v>
      </c>
      <c r="F143">
        <v>0.0945352971604685</v>
      </c>
      <c r="G143">
        <v>0.0426802525589305</v>
      </c>
      <c r="H143">
        <v>0.0289476852623481</v>
      </c>
      <c r="I143">
        <v>0.0117874047637631</v>
      </c>
      <c r="J143">
        <v>0.0100566475459207</v>
      </c>
      <c r="K143">
        <v>0.00668748390672478</v>
      </c>
      <c r="L143">
        <v>1269.00095088536</v>
      </c>
      <c r="M143">
        <v>27.3608069143668</v>
      </c>
      <c r="N143">
        <v>46.4168548114119</v>
      </c>
      <c r="O143">
        <v>46.1346109572537</v>
      </c>
      <c r="P143">
        <v>-0.146684926463804</v>
      </c>
      <c r="Q143">
        <v>0.0106741431407603</v>
      </c>
      <c r="R143">
        <v>0.997345451610725</v>
      </c>
      <c r="S143" t="s">
        <v>1811</v>
      </c>
      <c r="T143" t="s">
        <v>3312</v>
      </c>
      <c r="U143" t="s">
        <v>3312</v>
      </c>
      <c r="V143" t="s">
        <v>3312</v>
      </c>
      <c r="W143" t="s">
        <v>3455</v>
      </c>
      <c r="X143">
        <v>3</v>
      </c>
      <c r="Y143" t="s">
        <v>5094</v>
      </c>
      <c r="Z143" t="s">
        <v>6736</v>
      </c>
      <c r="AA143">
        <v>0.3268664675760387</v>
      </c>
      <c r="AB143">
        <f>HYPERLINK("Melting_Curves/meltCurve_P09147_galE.pdf", "Melting_Curves/meltCurve_P09147_galE.pdf")</f>
        <v>0</v>
      </c>
    </row>
    <row r="144" spans="1:28">
      <c r="A144" t="s">
        <v>170</v>
      </c>
      <c r="B144">
        <v>0.999984544473304</v>
      </c>
      <c r="C144">
        <v>1.05458170767532</v>
      </c>
      <c r="D144">
        <v>0.900337400565131</v>
      </c>
      <c r="E144">
        <v>0.971183071692403</v>
      </c>
      <c r="F144">
        <v>1.05888206611567</v>
      </c>
      <c r="G144">
        <v>0.97339764744908</v>
      </c>
      <c r="H144">
        <v>0.917260579868125</v>
      </c>
      <c r="I144">
        <v>0.710800647009267</v>
      </c>
      <c r="J144">
        <v>0.258654807288673</v>
      </c>
      <c r="K144">
        <v>0.14784160362768</v>
      </c>
      <c r="L144">
        <v>2561.86152051409</v>
      </c>
      <c r="M144">
        <v>41.3478441258478</v>
      </c>
      <c r="N144">
        <v>62.2864843860508</v>
      </c>
      <c r="O144">
        <v>61.8143687938831</v>
      </c>
      <c r="P144">
        <v>-0.150878861658446</v>
      </c>
      <c r="Q144">
        <v>0.09775565196406399</v>
      </c>
      <c r="R144">
        <v>0.978286875186501</v>
      </c>
      <c r="S144" t="s">
        <v>1812</v>
      </c>
      <c r="T144" t="s">
        <v>3312</v>
      </c>
      <c r="U144" t="s">
        <v>3312</v>
      </c>
      <c r="V144" t="s">
        <v>3312</v>
      </c>
      <c r="W144" t="s">
        <v>3456</v>
      </c>
      <c r="X144">
        <v>8</v>
      </c>
      <c r="Y144" t="s">
        <v>5095</v>
      </c>
      <c r="Z144" t="s">
        <v>6737</v>
      </c>
      <c r="AA144">
        <v>0.8495719802765448</v>
      </c>
      <c r="AB144">
        <f>HYPERLINK("Melting_Curves/meltCurve_P09148_galT.pdf", "Melting_Curves/meltCurve_P09148_galT.pdf")</f>
        <v>0</v>
      </c>
    </row>
    <row r="145" spans="1:28">
      <c r="A145" t="s">
        <v>171</v>
      </c>
      <c r="B145">
        <v>0.999984544473304</v>
      </c>
      <c r="C145">
        <v>1.70263002124521</v>
      </c>
      <c r="D145">
        <v>0.774788858246838</v>
      </c>
      <c r="E145">
        <v>0.980225727298755</v>
      </c>
      <c r="F145">
        <v>0.540141580828191</v>
      </c>
      <c r="G145">
        <v>0.466568928048083</v>
      </c>
      <c r="H145">
        <v>0.378051449649487</v>
      </c>
      <c r="I145">
        <v>0.288371265039836</v>
      </c>
      <c r="J145">
        <v>0.219916679287187</v>
      </c>
      <c r="K145">
        <v>0.219186677476021</v>
      </c>
      <c r="L145">
        <v>996.609201287397</v>
      </c>
      <c r="M145">
        <v>19.7731799506593</v>
      </c>
      <c r="N145">
        <v>52.2431294466246</v>
      </c>
      <c r="O145">
        <v>49.8950430467286</v>
      </c>
      <c r="P145">
        <v>-0.0742173439482773</v>
      </c>
      <c r="Q145">
        <v>0.25091432235592</v>
      </c>
      <c r="R145">
        <v>0.711042402393262</v>
      </c>
      <c r="S145" t="s">
        <v>1813</v>
      </c>
      <c r="T145" t="s">
        <v>3312</v>
      </c>
      <c r="U145" t="s">
        <v>3312</v>
      </c>
      <c r="V145" t="s">
        <v>3312</v>
      </c>
      <c r="W145" t="s">
        <v>3457</v>
      </c>
      <c r="X145">
        <v>15</v>
      </c>
      <c r="Y145" t="s">
        <v>5096</v>
      </c>
      <c r="Z145" t="s">
        <v>6738</v>
      </c>
      <c r="AA145">
        <v>0.5956012205057729</v>
      </c>
      <c r="AB145">
        <f>HYPERLINK("Melting_Curves/meltCurve_P09152_narG.pdf", "Melting_Curves/meltCurve_P09152_narG.pdf")</f>
        <v>0</v>
      </c>
    </row>
    <row r="146" spans="1:28">
      <c r="A146" t="s">
        <v>172</v>
      </c>
      <c r="B146">
        <v>0.999984544473304</v>
      </c>
      <c r="C146">
        <v>0.7059925649809971</v>
      </c>
      <c r="D146">
        <v>0.609281532814132</v>
      </c>
      <c r="E146">
        <v>0.790487901387772</v>
      </c>
      <c r="F146">
        <v>0.733826233973218</v>
      </c>
      <c r="G146">
        <v>0.510485116211842</v>
      </c>
      <c r="H146">
        <v>0.572749350279144</v>
      </c>
      <c r="I146">
        <v>0.485992662303804</v>
      </c>
      <c r="J146">
        <v>0.361940754650593</v>
      </c>
      <c r="K146">
        <v>0.367447500636195</v>
      </c>
      <c r="L146">
        <v>195.557413124527</v>
      </c>
      <c r="M146">
        <v>3.3623147521166</v>
      </c>
      <c r="N146">
        <v>58.1615646816042</v>
      </c>
      <c r="O146">
        <v>44.9039695430457</v>
      </c>
      <c r="P146">
        <v>-0.0191326606386519</v>
      </c>
      <c r="Q146">
        <v>0</v>
      </c>
      <c r="R146">
        <v>0.758686128429786</v>
      </c>
      <c r="S146" t="s">
        <v>1814</v>
      </c>
      <c r="T146" t="s">
        <v>3312</v>
      </c>
      <c r="U146" t="s">
        <v>3312</v>
      </c>
      <c r="V146" t="s">
        <v>3312</v>
      </c>
      <c r="W146" t="s">
        <v>3458</v>
      </c>
      <c r="X146">
        <v>1</v>
      </c>
      <c r="Y146" t="s">
        <v>5097</v>
      </c>
      <c r="Z146" t="s">
        <v>6739</v>
      </c>
      <c r="AA146">
        <v>0.6112300355291441</v>
      </c>
      <c r="AB146">
        <f>HYPERLINK("Melting_Curves/meltCurve_P09153_tfaE.pdf", "Melting_Curves/meltCurve_P09153_tfaE.pdf")</f>
        <v>0</v>
      </c>
    </row>
    <row r="147" spans="1:28">
      <c r="A147" t="s">
        <v>173</v>
      </c>
      <c r="B147">
        <v>0.999984544473304</v>
      </c>
      <c r="C147">
        <v>0.705071553240634</v>
      </c>
      <c r="D147">
        <v>0.42100170548232</v>
      </c>
      <c r="E147">
        <v>0.109625138164825</v>
      </c>
      <c r="F147">
        <v>0.0585558204307468</v>
      </c>
      <c r="G147">
        <v>0.0496863707447376</v>
      </c>
      <c r="H147">
        <v>0.02526935491797</v>
      </c>
      <c r="I147">
        <v>0.0273439075022005</v>
      </c>
      <c r="J147">
        <v>0</v>
      </c>
      <c r="K147">
        <v>0</v>
      </c>
      <c r="L147">
        <v>854.505960315525</v>
      </c>
      <c r="M147">
        <v>20.3497842091468</v>
      </c>
      <c r="N147">
        <v>42.0593955165605</v>
      </c>
      <c r="O147">
        <v>41.5917244568982</v>
      </c>
      <c r="P147">
        <v>-0.120329026374218</v>
      </c>
      <c r="Q147">
        <v>0.0162963132854535</v>
      </c>
      <c r="R147">
        <v>0.992919452462351</v>
      </c>
      <c r="S147" t="s">
        <v>1815</v>
      </c>
      <c r="T147" t="s">
        <v>3312</v>
      </c>
      <c r="U147" t="s">
        <v>3312</v>
      </c>
      <c r="V147" t="s">
        <v>3312</v>
      </c>
      <c r="W147" t="s">
        <v>3459</v>
      </c>
      <c r="X147">
        <v>1</v>
      </c>
      <c r="Y147" t="s">
        <v>5098</v>
      </c>
      <c r="Z147" t="s">
        <v>6740</v>
      </c>
      <c r="AA147">
        <v>0.1941955430763881</v>
      </c>
      <c r="AB147">
        <f>HYPERLINK("Melting_Curves/meltCurve_P09155_rnd.pdf", "Melting_Curves/meltCurve_P09155_rnd.pdf")</f>
        <v>0</v>
      </c>
    </row>
    <row r="148" spans="1:28">
      <c r="A148" t="s">
        <v>174</v>
      </c>
      <c r="B148">
        <v>0.999984544473304</v>
      </c>
      <c r="C148">
        <v>0.756236868964847</v>
      </c>
      <c r="D148">
        <v>0.829818232317093</v>
      </c>
      <c r="E148">
        <v>0.711755252669423</v>
      </c>
      <c r="F148">
        <v>0.833673359912992</v>
      </c>
      <c r="G148">
        <v>0.734884305282272</v>
      </c>
      <c r="H148">
        <v>0.297963752432218</v>
      </c>
      <c r="I148">
        <v>0.0457768745750331</v>
      </c>
      <c r="J148">
        <v>0.0234306445524636</v>
      </c>
      <c r="K148">
        <v>0.0298047170727336</v>
      </c>
      <c r="L148">
        <v>1134.72997773737</v>
      </c>
      <c r="M148">
        <v>20.5601599027579</v>
      </c>
      <c r="N148">
        <v>55.1907227801944</v>
      </c>
      <c r="O148">
        <v>54.6765642338451</v>
      </c>
      <c r="P148">
        <v>-0.09401084578499</v>
      </c>
      <c r="Q148">
        <v>0</v>
      </c>
      <c r="R148">
        <v>0.864834825173202</v>
      </c>
      <c r="S148" t="s">
        <v>1816</v>
      </c>
      <c r="T148" t="s">
        <v>3312</v>
      </c>
      <c r="U148" t="s">
        <v>3312</v>
      </c>
      <c r="V148" t="s">
        <v>3312</v>
      </c>
      <c r="W148" t="s">
        <v>3460</v>
      </c>
      <c r="X148">
        <v>3</v>
      </c>
      <c r="Y148" t="s">
        <v>5099</v>
      </c>
      <c r="Z148" t="s">
        <v>6741</v>
      </c>
      <c r="AA148">
        <v>0.6172012502801624</v>
      </c>
      <c r="AB148">
        <f>HYPERLINK("Melting_Curves/meltCurve_P09158_speE.pdf", "Melting_Curves/meltCurve_P09158_speE.pdf")</f>
        <v>0</v>
      </c>
    </row>
    <row r="149" spans="1:28">
      <c r="A149" t="s">
        <v>175</v>
      </c>
      <c r="B149">
        <v>0.999984544473304</v>
      </c>
      <c r="C149">
        <v>1.1253004150174</v>
      </c>
      <c r="D149">
        <v>1.39406837588647</v>
      </c>
      <c r="E149">
        <v>1.33560912043311</v>
      </c>
      <c r="F149">
        <v>2.03636394303996</v>
      </c>
      <c r="G149">
        <v>1.76548002698124</v>
      </c>
      <c r="H149">
        <v>2.0083942650577</v>
      </c>
      <c r="I149">
        <v>2.01777477451964</v>
      </c>
      <c r="J149">
        <v>2.0577148530772</v>
      </c>
      <c r="K149">
        <v>1.15824563667122</v>
      </c>
      <c r="L149">
        <v>1321.51980463382</v>
      </c>
      <c r="M149">
        <v>31.9726525472032</v>
      </c>
      <c r="O149">
        <v>41.1721313371602</v>
      </c>
      <c r="P149">
        <v>0.0970705579300528</v>
      </c>
      <c r="Q149">
        <v>1.5</v>
      </c>
      <c r="R149">
        <v>0.194309999600794</v>
      </c>
      <c r="S149" t="s">
        <v>1817</v>
      </c>
      <c r="T149" t="s">
        <v>3312</v>
      </c>
      <c r="U149" t="s">
        <v>3312</v>
      </c>
      <c r="V149" t="s">
        <v>3312</v>
      </c>
      <c r="W149" t="s">
        <v>3461</v>
      </c>
      <c r="X149">
        <v>3</v>
      </c>
      <c r="Y149" t="s">
        <v>5100</v>
      </c>
      <c r="Z149" t="s">
        <v>6742</v>
      </c>
      <c r="AA149">
        <v>1.425156069291135</v>
      </c>
      <c r="AB149">
        <f>HYPERLINK("Melting_Curves/meltCurve_P09169_ompT.pdf", "Melting_Curves/meltCurve_P09169_ompT.pdf")</f>
        <v>0</v>
      </c>
    </row>
    <row r="150" spans="1:28">
      <c r="A150" t="s">
        <v>176</v>
      </c>
      <c r="B150">
        <v>0.999984544473304</v>
      </c>
      <c r="C150">
        <v>1.51343984594896</v>
      </c>
      <c r="D150">
        <v>0.824269789595262</v>
      </c>
      <c r="E150">
        <v>0.728711809715578</v>
      </c>
      <c r="F150">
        <v>0.345048366479074</v>
      </c>
      <c r="G150">
        <v>0.189610731667783</v>
      </c>
      <c r="H150">
        <v>0.08403822065698981</v>
      </c>
      <c r="I150">
        <v>0.0532776531775513</v>
      </c>
      <c r="J150">
        <v>0.0369023625887447</v>
      </c>
      <c r="K150">
        <v>0.0394318598548599</v>
      </c>
      <c r="L150">
        <v>1044.27352598756</v>
      </c>
      <c r="M150">
        <v>21.5170705889422</v>
      </c>
      <c r="N150">
        <v>48.7538955173589</v>
      </c>
      <c r="O150">
        <v>48.1189694406149</v>
      </c>
      <c r="P150">
        <v>-0.106586572676871</v>
      </c>
      <c r="Q150">
        <v>0.0465782483208333</v>
      </c>
      <c r="R150">
        <v>0.8768959133777</v>
      </c>
      <c r="S150" t="s">
        <v>1818</v>
      </c>
      <c r="T150" t="s">
        <v>3312</v>
      </c>
      <c r="U150" t="s">
        <v>3312</v>
      </c>
      <c r="V150" t="s">
        <v>3312</v>
      </c>
      <c r="W150" t="s">
        <v>3462</v>
      </c>
      <c r="X150">
        <v>7</v>
      </c>
      <c r="Y150" t="s">
        <v>5101</v>
      </c>
      <c r="Z150" t="s">
        <v>6743</v>
      </c>
      <c r="AA150">
        <v>0.4240226927589296</v>
      </c>
      <c r="AB150">
        <f>HYPERLINK("Melting_Curves/meltCurve_P09323_nagE.pdf", "Melting_Curves/meltCurve_P09323_nagE.pdf")</f>
        <v>0</v>
      </c>
    </row>
    <row r="151" spans="1:28">
      <c r="A151" t="s">
        <v>177</v>
      </c>
      <c r="B151">
        <v>0.999984544473304</v>
      </c>
      <c r="C151">
        <v>1.0214322225631</v>
      </c>
      <c r="D151">
        <v>0.872508773984196</v>
      </c>
      <c r="E151">
        <v>1.06266586791706</v>
      </c>
      <c r="F151">
        <v>1.16178201550321</v>
      </c>
      <c r="G151">
        <v>0.922071907173929</v>
      </c>
      <c r="H151">
        <v>0.8005313858843019</v>
      </c>
      <c r="I151">
        <v>0.672264762862486</v>
      </c>
      <c r="J151">
        <v>0.424583696886512</v>
      </c>
      <c r="K151">
        <v>0.462206031366132</v>
      </c>
      <c r="L151">
        <v>1422.72212432975</v>
      </c>
      <c r="M151">
        <v>23.8478570470291</v>
      </c>
      <c r="N151">
        <v>63.7236827329621</v>
      </c>
      <c r="O151">
        <v>59.2435337219667</v>
      </c>
      <c r="P151">
        <v>-0.0613076804623097</v>
      </c>
      <c r="Q151">
        <v>0.390800627364363</v>
      </c>
      <c r="R151">
        <v>0.895093983739944</v>
      </c>
      <c r="S151" t="s">
        <v>1819</v>
      </c>
      <c r="T151" t="s">
        <v>3312</v>
      </c>
      <c r="U151" t="s">
        <v>3312</v>
      </c>
      <c r="V151" t="s">
        <v>3312</v>
      </c>
      <c r="W151" t="s">
        <v>3463</v>
      </c>
      <c r="X151">
        <v>8</v>
      </c>
      <c r="Y151" t="s">
        <v>5102</v>
      </c>
      <c r="Z151" t="s">
        <v>6744</v>
      </c>
      <c r="AA151">
        <v>0.8530585162382418</v>
      </c>
      <c r="AB151">
        <f>HYPERLINK("Melting_Curves/meltCurve_P09372_grpE.pdf", "Melting_Curves/meltCurve_P09372_grpE.pdf")</f>
        <v>0</v>
      </c>
    </row>
    <row r="152" spans="1:28">
      <c r="A152" t="s">
        <v>178</v>
      </c>
      <c r="B152">
        <v>0.999984544473304</v>
      </c>
      <c r="C152">
        <v>1.45652363759754</v>
      </c>
      <c r="D152">
        <v>1.04118924124361</v>
      </c>
      <c r="E152">
        <v>1.43844744116935</v>
      </c>
      <c r="F152">
        <v>0.785102867137916</v>
      </c>
      <c r="G152">
        <v>0.346642259879419</v>
      </c>
      <c r="H152">
        <v>0.106064385520307</v>
      </c>
      <c r="I152">
        <v>0.0601567139546709</v>
      </c>
      <c r="J152">
        <v>0.0471784799555108</v>
      </c>
      <c r="K152">
        <v>0.0447754717932283</v>
      </c>
      <c r="L152">
        <v>1934.55172286214</v>
      </c>
      <c r="M152">
        <v>36.8644362507703</v>
      </c>
      <c r="N152">
        <v>52.6440337227961</v>
      </c>
      <c r="O152">
        <v>52.3237554254559</v>
      </c>
      <c r="P152">
        <v>-0.16643919832153</v>
      </c>
      <c r="Q152">
        <v>0.0550570415911422</v>
      </c>
      <c r="R152">
        <v>0.86285062686662</v>
      </c>
      <c r="S152" t="s">
        <v>1820</v>
      </c>
      <c r="T152" t="s">
        <v>3312</v>
      </c>
      <c r="U152" t="s">
        <v>3312</v>
      </c>
      <c r="V152" t="s">
        <v>3312</v>
      </c>
      <c r="W152" t="s">
        <v>3464</v>
      </c>
      <c r="X152">
        <v>30</v>
      </c>
      <c r="Y152" t="s">
        <v>5103</v>
      </c>
      <c r="Z152" t="s">
        <v>6745</v>
      </c>
      <c r="AA152">
        <v>0.5465838570656397</v>
      </c>
      <c r="AB152">
        <f>HYPERLINK("Melting_Curves/meltCurve_P09373_pflB.pdf", "Melting_Curves/meltCurve_P09373_pflB.pdf")</f>
        <v>0</v>
      </c>
    </row>
    <row r="153" spans="1:28">
      <c r="A153" t="s">
        <v>179</v>
      </c>
      <c r="B153">
        <v>0.999984544473304</v>
      </c>
      <c r="C153">
        <v>1.10407350412295</v>
      </c>
      <c r="D153">
        <v>0.881311317773124</v>
      </c>
      <c r="E153">
        <v>0.998856141340924</v>
      </c>
      <c r="F153">
        <v>0.853677120316842</v>
      </c>
      <c r="G153">
        <v>0.619453879908714</v>
      </c>
      <c r="H153">
        <v>0.432612994767291</v>
      </c>
      <c r="I153">
        <v>0.25554056077619</v>
      </c>
      <c r="J153">
        <v>0.177119810707051</v>
      </c>
      <c r="K153">
        <v>0.145270551538877</v>
      </c>
      <c r="L153">
        <v>880.016466956208</v>
      </c>
      <c r="M153">
        <v>15.925970353716</v>
      </c>
      <c r="N153">
        <v>55.9667689422222</v>
      </c>
      <c r="O153">
        <v>54.4074957894043</v>
      </c>
      <c r="P153">
        <v>-0.0664902330316418</v>
      </c>
      <c r="Q153">
        <v>0.0914768605853975</v>
      </c>
      <c r="R153">
        <v>0.9788465026515329</v>
      </c>
      <c r="S153" t="s">
        <v>1821</v>
      </c>
      <c r="T153" t="s">
        <v>3312</v>
      </c>
      <c r="U153" t="s">
        <v>3312</v>
      </c>
      <c r="V153" t="s">
        <v>3312</v>
      </c>
      <c r="W153" t="s">
        <v>3465</v>
      </c>
      <c r="X153">
        <v>2</v>
      </c>
      <c r="Y153" t="s">
        <v>5104</v>
      </c>
      <c r="Z153" t="s">
        <v>6746</v>
      </c>
      <c r="AA153">
        <v>0.6563433702399587</v>
      </c>
      <c r="AB153">
        <f>HYPERLINK("Melting_Curves/meltCurve_P09391_glpG.pdf", "Melting_Curves/meltCurve_P09391_glpG.pdf")</f>
        <v>0</v>
      </c>
    </row>
    <row r="154" spans="1:28">
      <c r="A154" t="s">
        <v>180</v>
      </c>
      <c r="B154">
        <v>0.999984544473304</v>
      </c>
      <c r="C154">
        <v>0.9337728423102341</v>
      </c>
      <c r="D154">
        <v>1.04554926931608</v>
      </c>
      <c r="E154">
        <v>0.969266590869295</v>
      </c>
      <c r="F154">
        <v>1.10915793183302</v>
      </c>
      <c r="G154">
        <v>0.970900342587285</v>
      </c>
      <c r="H154">
        <v>0.797022738396534</v>
      </c>
      <c r="I154">
        <v>0.730829473453397</v>
      </c>
      <c r="J154">
        <v>0.578272126182632</v>
      </c>
      <c r="K154">
        <v>0.616053322401373</v>
      </c>
      <c r="L154">
        <v>1619.63121273103</v>
      </c>
      <c r="M154">
        <v>27.8769642021</v>
      </c>
      <c r="O154">
        <v>57.8027482681683</v>
      </c>
      <c r="P154">
        <v>-0.0489327078554449</v>
      </c>
      <c r="Q154">
        <v>0.594156533164005</v>
      </c>
      <c r="R154">
        <v>0.912898884347108</v>
      </c>
      <c r="S154" t="s">
        <v>1822</v>
      </c>
      <c r="T154" t="s">
        <v>3312</v>
      </c>
      <c r="U154" t="s">
        <v>3312</v>
      </c>
      <c r="V154" t="s">
        <v>3312</v>
      </c>
      <c r="W154" t="s">
        <v>3466</v>
      </c>
      <c r="X154">
        <v>8</v>
      </c>
      <c r="Y154" t="s">
        <v>5105</v>
      </c>
      <c r="Z154" t="s">
        <v>6747</v>
      </c>
      <c r="AA154">
        <v>0.8819788031272023</v>
      </c>
      <c r="AB154">
        <f>HYPERLINK("Melting_Curves/meltCurve_P09394_glpQ.pdf", "Melting_Curves/meltCurve_P09394_glpQ.pdf")</f>
        <v>0</v>
      </c>
    </row>
    <row r="155" spans="1:28">
      <c r="A155" t="s">
        <v>181</v>
      </c>
      <c r="B155">
        <v>0.999984544473304</v>
      </c>
      <c r="C155">
        <v>0.878904626514078</v>
      </c>
      <c r="D155">
        <v>0.964243837605854</v>
      </c>
      <c r="E155">
        <v>0.78540850845973</v>
      </c>
      <c r="F155">
        <v>0.307642733226983</v>
      </c>
      <c r="G155">
        <v>0.0862245870678487</v>
      </c>
      <c r="H155">
        <v>0.0557142586937653</v>
      </c>
      <c r="I155">
        <v>0.0384302865624968</v>
      </c>
      <c r="J155">
        <v>0.0231752349470926</v>
      </c>
      <c r="K155">
        <v>0.0252183583715978</v>
      </c>
      <c r="L155">
        <v>1362.72621767078</v>
      </c>
      <c r="M155">
        <v>28.0356975281041</v>
      </c>
      <c r="N155">
        <v>48.7132086541018</v>
      </c>
      <c r="O155">
        <v>48.3615428844525</v>
      </c>
      <c r="P155">
        <v>-0.140625234211515</v>
      </c>
      <c r="Q155">
        <v>0.0296949465731219</v>
      </c>
      <c r="R155">
        <v>0.991327702478015</v>
      </c>
      <c r="S155" t="s">
        <v>1823</v>
      </c>
      <c r="T155" t="s">
        <v>3312</v>
      </c>
      <c r="U155" t="s">
        <v>3312</v>
      </c>
      <c r="V155" t="s">
        <v>3312</v>
      </c>
      <c r="W155" t="s">
        <v>3467</v>
      </c>
      <c r="X155">
        <v>7</v>
      </c>
      <c r="Y155" t="s">
        <v>5106</v>
      </c>
      <c r="Z155" t="s">
        <v>6748</v>
      </c>
      <c r="AA155">
        <v>0.41175176580907</v>
      </c>
      <c r="AB155">
        <f>HYPERLINK("Melting_Curves/meltCurve_P09424_mtlD.pdf", "Melting_Curves/meltCurve_P09424_mtlD.pdf")</f>
        <v>0</v>
      </c>
    </row>
    <row r="156" spans="1:28">
      <c r="A156" t="s">
        <v>182</v>
      </c>
      <c r="B156">
        <v>0.999984544473304</v>
      </c>
      <c r="C156">
        <v>0.820531049608733</v>
      </c>
      <c r="D156">
        <v>0.430665076915257</v>
      </c>
      <c r="E156">
        <v>0.334240857791462</v>
      </c>
      <c r="F156">
        <v>0.269234606131465</v>
      </c>
      <c r="G156">
        <v>0.207832581472172</v>
      </c>
      <c r="H156">
        <v>0.164109320814414</v>
      </c>
      <c r="I156">
        <v>0.123365556429574</v>
      </c>
      <c r="J156">
        <v>0.0750659775114705</v>
      </c>
      <c r="K156">
        <v>0.0711994884070716</v>
      </c>
      <c r="L156">
        <v>690.938652430018</v>
      </c>
      <c r="M156">
        <v>16.2267766426107</v>
      </c>
      <c r="N156">
        <v>43.3729533104744</v>
      </c>
      <c r="O156">
        <v>41.9492066850903</v>
      </c>
      <c r="P156">
        <v>-0.0843006841668346</v>
      </c>
      <c r="Q156">
        <v>0.128333228920231</v>
      </c>
      <c r="R156">
        <v>0.9644153888622951</v>
      </c>
      <c r="S156" t="s">
        <v>1824</v>
      </c>
      <c r="T156" t="s">
        <v>3312</v>
      </c>
      <c r="U156" t="s">
        <v>3312</v>
      </c>
      <c r="V156" t="s">
        <v>3312</v>
      </c>
      <c r="W156" t="s">
        <v>3468</v>
      </c>
      <c r="X156">
        <v>15</v>
      </c>
      <c r="Y156" t="s">
        <v>5107</v>
      </c>
      <c r="Z156" t="s">
        <v>6749</v>
      </c>
      <c r="AA156">
        <v>0.3105312261229709</v>
      </c>
      <c r="AB156">
        <f>HYPERLINK("Melting_Curves/meltCurve_P09546_putA.pdf", "Melting_Curves/meltCurve_P09546_putA.pdf")</f>
        <v>0</v>
      </c>
    </row>
    <row r="157" spans="1:28">
      <c r="A157" t="s">
        <v>183</v>
      </c>
      <c r="B157">
        <v>0.999984544473304</v>
      </c>
      <c r="C157">
        <v>1.128094119261</v>
      </c>
      <c r="D157">
        <v>0.894496140202094</v>
      </c>
      <c r="E157">
        <v>1.02489465384106</v>
      </c>
      <c r="F157">
        <v>0.762157348696803</v>
      </c>
      <c r="G157">
        <v>0.6121561435124</v>
      </c>
      <c r="H157">
        <v>0.407549540945764</v>
      </c>
      <c r="I157">
        <v>0.228233265856213</v>
      </c>
      <c r="J157">
        <v>0.137509895833254</v>
      </c>
      <c r="K157">
        <v>0.149415616428677</v>
      </c>
      <c r="L157">
        <v>828.702406579125</v>
      </c>
      <c r="M157">
        <v>15.1082389012281</v>
      </c>
      <c r="N157">
        <v>55.4141008959912</v>
      </c>
      <c r="O157">
        <v>53.9169805903387</v>
      </c>
      <c r="P157">
        <v>-0.06507483719664039</v>
      </c>
      <c r="Q157">
        <v>0.07115735566569301</v>
      </c>
      <c r="R157">
        <v>0.971362557657908</v>
      </c>
      <c r="S157" t="s">
        <v>1825</v>
      </c>
      <c r="T157" t="s">
        <v>3312</v>
      </c>
      <c r="U157" t="s">
        <v>3312</v>
      </c>
      <c r="V157" t="s">
        <v>3312</v>
      </c>
      <c r="W157" t="s">
        <v>3469</v>
      </c>
      <c r="X157">
        <v>1</v>
      </c>
      <c r="Y157" t="s">
        <v>5108</v>
      </c>
      <c r="Z157" t="s">
        <v>6750</v>
      </c>
      <c r="AA157">
        <v>0.6372240914620699</v>
      </c>
      <c r="AB157">
        <f>HYPERLINK("Melting_Curves/meltCurve_P09549_dedD.pdf", "Melting_Curves/meltCurve_P09549_dedD.pdf")</f>
        <v>0</v>
      </c>
    </row>
    <row r="158" spans="1:28">
      <c r="A158" t="s">
        <v>184</v>
      </c>
      <c r="B158">
        <v>0.999984544473304</v>
      </c>
      <c r="C158">
        <v>0.915946145227539</v>
      </c>
      <c r="D158">
        <v>0.962523901417629</v>
      </c>
      <c r="E158">
        <v>1.06096861382348</v>
      </c>
      <c r="F158">
        <v>1.12648215360283</v>
      </c>
      <c r="G158">
        <v>1.00638247090174</v>
      </c>
      <c r="H158">
        <v>1.04693549400275</v>
      </c>
      <c r="I158">
        <v>0.945210112379765</v>
      </c>
      <c r="J158">
        <v>0.800177400003429</v>
      </c>
      <c r="K158">
        <v>0.7639578177674849</v>
      </c>
      <c r="L158">
        <v>3871.63432578093</v>
      </c>
      <c r="M158">
        <v>62.1844058917556</v>
      </c>
      <c r="O158">
        <v>62.1962388506082</v>
      </c>
      <c r="P158">
        <v>-0.0592003884901675</v>
      </c>
      <c r="Q158">
        <v>0.763153460082274</v>
      </c>
      <c r="R158">
        <v>0.73482397779871</v>
      </c>
      <c r="S158" t="s">
        <v>1826</v>
      </c>
      <c r="T158" t="s">
        <v>3312</v>
      </c>
      <c r="U158" t="s">
        <v>3312</v>
      </c>
      <c r="V158" t="s">
        <v>3312</v>
      </c>
      <c r="W158" t="s">
        <v>3470</v>
      </c>
      <c r="X158">
        <v>17</v>
      </c>
      <c r="Y158" t="s">
        <v>5109</v>
      </c>
      <c r="Z158" t="s">
        <v>6751</v>
      </c>
      <c r="AA158">
        <v>0.9628862299464486</v>
      </c>
      <c r="AB158">
        <f>HYPERLINK("Melting_Curves/meltCurve_P09551_argT.pdf", "Melting_Curves/meltCurve_P09551_argT.pdf")</f>
        <v>0</v>
      </c>
    </row>
    <row r="159" spans="1:28">
      <c r="A159" t="s">
        <v>185</v>
      </c>
      <c r="B159">
        <v>0.999984544473304</v>
      </c>
      <c r="C159">
        <v>2.29812496290343</v>
      </c>
      <c r="D159">
        <v>1.00574404488838</v>
      </c>
      <c r="E159">
        <v>1.36855237128521</v>
      </c>
      <c r="F159">
        <v>0.805437633389261</v>
      </c>
      <c r="G159">
        <v>0.8002058658878139</v>
      </c>
      <c r="H159">
        <v>0.269080497342542</v>
      </c>
      <c r="I159">
        <v>0.0679899378067623</v>
      </c>
      <c r="J159">
        <v>0.0359874294247981</v>
      </c>
      <c r="K159">
        <v>0.0264536043787207</v>
      </c>
      <c r="L159">
        <v>1803.68260337664</v>
      </c>
      <c r="M159">
        <v>32.3973704899845</v>
      </c>
      <c r="N159">
        <v>55.7334660308271</v>
      </c>
      <c r="O159">
        <v>55.4629114502476</v>
      </c>
      <c r="P159">
        <v>-0.143540707058688</v>
      </c>
      <c r="Q159">
        <v>0.0170627516356976</v>
      </c>
      <c r="R159">
        <v>0.600787483269245</v>
      </c>
      <c r="S159" t="s">
        <v>1827</v>
      </c>
      <c r="T159" t="s">
        <v>3312</v>
      </c>
      <c r="U159" t="s">
        <v>3312</v>
      </c>
      <c r="V159" t="s">
        <v>3312</v>
      </c>
      <c r="W159" t="s">
        <v>3471</v>
      </c>
      <c r="X159">
        <v>2</v>
      </c>
      <c r="Y159" t="s">
        <v>5110</v>
      </c>
      <c r="Z159" t="s">
        <v>6752</v>
      </c>
      <c r="AA159">
        <v>0.6343259257926568</v>
      </c>
      <c r="AB159">
        <f>HYPERLINK("Melting_Curves/meltCurve_P09831_gltB.pdf", "Melting_Curves/meltCurve_P09831_gltB.pdf")</f>
        <v>0</v>
      </c>
    </row>
    <row r="160" spans="1:28">
      <c r="A160" t="s">
        <v>186</v>
      </c>
      <c r="B160">
        <v>0.999984544473304</v>
      </c>
      <c r="C160">
        <v>0.953308618715112</v>
      </c>
      <c r="D160">
        <v>0.560799745881662</v>
      </c>
      <c r="E160">
        <v>0.460759174554039</v>
      </c>
      <c r="F160">
        <v>0.300146408842305</v>
      </c>
      <c r="G160">
        <v>0.169765490880008</v>
      </c>
      <c r="H160">
        <v>0.0847527769948257</v>
      </c>
      <c r="I160">
        <v>0.0472820582699215</v>
      </c>
      <c r="J160">
        <v>0.0202929007894969</v>
      </c>
      <c r="K160">
        <v>0.04231600144701</v>
      </c>
      <c r="L160">
        <v>557.730457266536</v>
      </c>
      <c r="M160">
        <v>12.2193141795099</v>
      </c>
      <c r="N160">
        <v>45.7647229268548</v>
      </c>
      <c r="O160">
        <v>44.4725181187958</v>
      </c>
      <c r="P160">
        <v>-0.06761028285416951</v>
      </c>
      <c r="Q160">
        <v>0.0159434696241779</v>
      </c>
      <c r="R160">
        <v>0.975199571170943</v>
      </c>
      <c r="S160" t="s">
        <v>1828</v>
      </c>
      <c r="T160" t="s">
        <v>3312</v>
      </c>
      <c r="U160" t="s">
        <v>3312</v>
      </c>
      <c r="V160" t="s">
        <v>3312</v>
      </c>
      <c r="W160" t="s">
        <v>3472</v>
      </c>
      <c r="X160">
        <v>1</v>
      </c>
      <c r="Y160" t="s">
        <v>5111</v>
      </c>
      <c r="Z160" t="s">
        <v>6753</v>
      </c>
      <c r="AA160">
        <v>0.3329529186339604</v>
      </c>
      <c r="AB160">
        <f>HYPERLINK("Melting_Curves/meltCurve_P09832_gltD.pdf", "Melting_Curves/meltCurve_P09832_gltD.pdf")</f>
        <v>0</v>
      </c>
    </row>
    <row r="161" spans="1:28">
      <c r="A161" t="s">
        <v>187</v>
      </c>
      <c r="B161">
        <v>0.999984544473304</v>
      </c>
      <c r="C161">
        <v>1.45425676250836</v>
      </c>
      <c r="D161">
        <v>0.963294220695964</v>
      </c>
      <c r="E161">
        <v>1.09569449223994</v>
      </c>
      <c r="F161">
        <v>0.551661458867968</v>
      </c>
      <c r="G161">
        <v>0.5577079840571399</v>
      </c>
      <c r="H161">
        <v>0.255202729428758</v>
      </c>
      <c r="I161">
        <v>0.293941404503054</v>
      </c>
      <c r="J161">
        <v>0.164460852423765</v>
      </c>
      <c r="K161">
        <v>0.124347145075498</v>
      </c>
      <c r="L161">
        <v>990.815854943963</v>
      </c>
      <c r="M161">
        <v>19.0294863426072</v>
      </c>
      <c r="N161">
        <v>53.1863909092765</v>
      </c>
      <c r="O161">
        <v>51.5026439448505</v>
      </c>
      <c r="P161">
        <v>-0.07713676001128481</v>
      </c>
      <c r="Q161">
        <v>0.164961461534021</v>
      </c>
      <c r="R161">
        <v>0.845246639824939</v>
      </c>
      <c r="S161" t="s">
        <v>1829</v>
      </c>
      <c r="T161" t="s">
        <v>3312</v>
      </c>
      <c r="U161" t="s">
        <v>3312</v>
      </c>
      <c r="V161" t="s">
        <v>3312</v>
      </c>
      <c r="W161" t="s">
        <v>3473</v>
      </c>
      <c r="X161">
        <v>2</v>
      </c>
      <c r="Y161" t="s">
        <v>5112</v>
      </c>
      <c r="Z161" t="s">
        <v>6754</v>
      </c>
      <c r="AA161">
        <v>0.5959761101583927</v>
      </c>
      <c r="AB161">
        <f>HYPERLINK("Melting_Curves/meltCurve_P09833_modC.pdf", "Melting_Curves/meltCurve_P09833_modC.pdf")</f>
        <v>0</v>
      </c>
    </row>
    <row r="162" spans="1:28">
      <c r="A162" t="s">
        <v>188</v>
      </c>
      <c r="B162">
        <v>0.999984544473304</v>
      </c>
      <c r="C162">
        <v>1.00593719856606</v>
      </c>
      <c r="D162">
        <v>0.574328640607796</v>
      </c>
      <c r="E162">
        <v>0.434620250762718</v>
      </c>
      <c r="F162">
        <v>0.258534567705673</v>
      </c>
      <c r="G162">
        <v>0.171440246915252</v>
      </c>
      <c r="H162">
        <v>0.0925736628742323</v>
      </c>
      <c r="I162">
        <v>0.053321180961209</v>
      </c>
      <c r="J162">
        <v>0.0312596516808404</v>
      </c>
      <c r="K162">
        <v>0.0489030964059029</v>
      </c>
      <c r="L162">
        <v>655.075312798117</v>
      </c>
      <c r="M162">
        <v>14.4936711086842</v>
      </c>
      <c r="N162">
        <v>45.508176207026</v>
      </c>
      <c r="O162">
        <v>44.3630658339205</v>
      </c>
      <c r="P162">
        <v>-0.0778365024311138</v>
      </c>
      <c r="Q162">
        <v>0.0471244330893789</v>
      </c>
      <c r="R162">
        <v>0.97279740080208</v>
      </c>
      <c r="S162" t="s">
        <v>1830</v>
      </c>
      <c r="T162" t="s">
        <v>3312</v>
      </c>
      <c r="U162" t="s">
        <v>3312</v>
      </c>
      <c r="V162" t="s">
        <v>3312</v>
      </c>
      <c r="W162" t="s">
        <v>3474</v>
      </c>
      <c r="X162">
        <v>6</v>
      </c>
      <c r="Y162" t="s">
        <v>5113</v>
      </c>
      <c r="Z162" t="s">
        <v>6755</v>
      </c>
      <c r="AA162">
        <v>0.3315713520487646</v>
      </c>
      <c r="AB162">
        <f>HYPERLINK("Melting_Curves/meltCurve_P0A698_uvrA.pdf", "Melting_Curves/meltCurve_P0A698_uvrA.pdf")</f>
        <v>0</v>
      </c>
    </row>
    <row r="163" spans="1:28">
      <c r="A163" t="s">
        <v>189</v>
      </c>
      <c r="B163">
        <v>0.999984544473304</v>
      </c>
      <c r="C163">
        <v>1.1166427886993</v>
      </c>
      <c r="D163">
        <v>1.17542277072639</v>
      </c>
      <c r="E163">
        <v>0.903199589188948</v>
      </c>
      <c r="F163">
        <v>0.807068431704279</v>
      </c>
      <c r="G163">
        <v>0.40824756891875</v>
      </c>
      <c r="H163">
        <v>0.22552090695727</v>
      </c>
      <c r="I163">
        <v>0.0922139752429358</v>
      </c>
      <c r="J163">
        <v>0.0505050737422409</v>
      </c>
      <c r="K163">
        <v>0.0307250904847298</v>
      </c>
      <c r="L163">
        <v>1154.54502169937</v>
      </c>
      <c r="M163">
        <v>21.7729265791442</v>
      </c>
      <c r="N163">
        <v>53.2022202921623</v>
      </c>
      <c r="O163">
        <v>52.5854013898327</v>
      </c>
      <c r="P163">
        <v>-0.09992592446920159</v>
      </c>
      <c r="Q163">
        <v>0.0346685647603423</v>
      </c>
      <c r="R163">
        <v>0.972954252873974</v>
      </c>
      <c r="S163" t="s">
        <v>1831</v>
      </c>
      <c r="T163" t="s">
        <v>3312</v>
      </c>
      <c r="U163" t="s">
        <v>3312</v>
      </c>
      <c r="V163" t="s">
        <v>3312</v>
      </c>
      <c r="W163" t="s">
        <v>3475</v>
      </c>
      <c r="X163">
        <v>5</v>
      </c>
      <c r="Y163" t="s">
        <v>5114</v>
      </c>
      <c r="Z163" t="s">
        <v>6756</v>
      </c>
      <c r="AA163">
        <v>0.5610667456512178</v>
      </c>
      <c r="AB163">
        <f>HYPERLINK("Melting_Curves/meltCurve_P0A6A3_ackA.pdf", "Melting_Curves/meltCurve_P0A6A3_ackA.pdf")</f>
        <v>0</v>
      </c>
    </row>
    <row r="164" spans="1:28">
      <c r="A164" t="s">
        <v>190</v>
      </c>
      <c r="B164">
        <v>0.999984544473304</v>
      </c>
      <c r="C164">
        <v>1.15011383495644</v>
      </c>
      <c r="D164">
        <v>0.862301633576317</v>
      </c>
      <c r="E164">
        <v>1.21249791907024</v>
      </c>
      <c r="F164">
        <v>1.14030632409144</v>
      </c>
      <c r="G164">
        <v>0.922617594721167</v>
      </c>
      <c r="H164">
        <v>0.757904752739412</v>
      </c>
      <c r="I164">
        <v>0.728402180352676</v>
      </c>
      <c r="J164">
        <v>0.383673671480297</v>
      </c>
      <c r="K164">
        <v>0.720205012564051</v>
      </c>
      <c r="L164">
        <v>1822.69149358523</v>
      </c>
      <c r="M164">
        <v>31.9304080849234</v>
      </c>
      <c r="O164">
        <v>56.8607485692688</v>
      </c>
      <c r="P164">
        <v>-0.0583482955869497</v>
      </c>
      <c r="Q164">
        <v>0.584382264780271</v>
      </c>
      <c r="R164">
        <v>0.68628208060045</v>
      </c>
      <c r="S164" t="s">
        <v>1832</v>
      </c>
      <c r="T164" t="s">
        <v>3312</v>
      </c>
      <c r="U164" t="s">
        <v>3312</v>
      </c>
      <c r="V164" t="s">
        <v>3312</v>
      </c>
      <c r="W164" t="s">
        <v>3476</v>
      </c>
      <c r="X164">
        <v>2</v>
      </c>
      <c r="Y164" t="s">
        <v>5115</v>
      </c>
      <c r="Z164" t="s">
        <v>6757</v>
      </c>
      <c r="AA164">
        <v>0.8648755480405907</v>
      </c>
      <c r="AB164">
        <f>HYPERLINK("Melting_Curves/meltCurve_P0A6A8_acpP.pdf", "Melting_Curves/meltCurve_P0A6A8_acpP.pdf")</f>
        <v>0</v>
      </c>
    </row>
    <row r="165" spans="1:28">
      <c r="A165" t="s">
        <v>191</v>
      </c>
      <c r="B165">
        <v>0.999984544473304</v>
      </c>
      <c r="C165">
        <v>0.854281918488926</v>
      </c>
      <c r="D165">
        <v>0.733441299244732</v>
      </c>
      <c r="E165">
        <v>0.536058450181654</v>
      </c>
      <c r="F165">
        <v>0.196629677079403</v>
      </c>
      <c r="G165">
        <v>0.162480592421556</v>
      </c>
      <c r="H165">
        <v>0.103604688715238</v>
      </c>
      <c r="I165">
        <v>0.0813556110991444</v>
      </c>
      <c r="J165">
        <v>0.0609606410035886</v>
      </c>
      <c r="K165">
        <v>0.0661319481918138</v>
      </c>
      <c r="L165">
        <v>659.732289611889</v>
      </c>
      <c r="M165">
        <v>14.3669240519475</v>
      </c>
      <c r="N165">
        <v>46.2476342424261</v>
      </c>
      <c r="O165">
        <v>45.0580421133673</v>
      </c>
      <c r="P165">
        <v>-0.0758679309896577</v>
      </c>
      <c r="Q165">
        <v>0.0483553538144523</v>
      </c>
      <c r="R165">
        <v>0.9902046272624609</v>
      </c>
      <c r="S165" t="s">
        <v>1833</v>
      </c>
      <c r="T165" t="s">
        <v>3312</v>
      </c>
      <c r="U165" t="s">
        <v>3312</v>
      </c>
      <c r="V165" t="s">
        <v>3312</v>
      </c>
      <c r="W165" t="s">
        <v>3477</v>
      </c>
      <c r="X165">
        <v>2</v>
      </c>
      <c r="Y165" t="s">
        <v>5116</v>
      </c>
      <c r="Z165" t="s">
        <v>6758</v>
      </c>
      <c r="AA165">
        <v>0.3551771567670997</v>
      </c>
      <c r="AB165">
        <f>HYPERLINK("Melting_Curves/meltCurve_P0A6B4_alr.pdf", "Melting_Curves/meltCurve_P0A6B4_alr.pdf")</f>
        <v>0</v>
      </c>
    </row>
    <row r="166" spans="1:28">
      <c r="A166" t="s">
        <v>192</v>
      </c>
      <c r="B166">
        <v>0.999984544473304</v>
      </c>
      <c r="C166">
        <v>0.980943282236327</v>
      </c>
      <c r="D166">
        <v>0.821518312690573</v>
      </c>
      <c r="E166">
        <v>0.538144302417963</v>
      </c>
      <c r="F166">
        <v>0.259720582507385</v>
      </c>
      <c r="G166">
        <v>0.0932000200491316</v>
      </c>
      <c r="H166">
        <v>0.0602949838103768</v>
      </c>
      <c r="I166">
        <v>0.0348709316631331</v>
      </c>
      <c r="J166">
        <v>0.024415467111494</v>
      </c>
      <c r="K166">
        <v>0.0210119213700815</v>
      </c>
      <c r="L166">
        <v>832.580621825048</v>
      </c>
      <c r="M166">
        <v>17.7514443929918</v>
      </c>
      <c r="N166">
        <v>46.9924894209193</v>
      </c>
      <c r="O166">
        <v>46.3190586443206</v>
      </c>
      <c r="P166">
        <v>-0.09420820185499069</v>
      </c>
      <c r="Q166">
        <v>0.0167767513108015</v>
      </c>
      <c r="R166">
        <v>0.99923589967152</v>
      </c>
      <c r="S166" t="s">
        <v>1834</v>
      </c>
      <c r="T166" t="s">
        <v>3312</v>
      </c>
      <c r="U166" t="s">
        <v>3312</v>
      </c>
      <c r="V166" t="s">
        <v>3312</v>
      </c>
      <c r="W166" t="s">
        <v>3478</v>
      </c>
      <c r="X166">
        <v>14</v>
      </c>
      <c r="Y166" t="s">
        <v>5117</v>
      </c>
      <c r="Z166" t="s">
        <v>6759</v>
      </c>
      <c r="AA166">
        <v>0.3575281543036308</v>
      </c>
      <c r="AB166">
        <f>HYPERLINK("Melting_Curves/meltCurve_P0A6B7_iscS.pdf", "Melting_Curves/meltCurve_P0A6B7_iscS.pdf")</f>
        <v>0</v>
      </c>
    </row>
    <row r="167" spans="1:28">
      <c r="A167" t="s">
        <v>193</v>
      </c>
      <c r="B167">
        <v>0.999984544473304</v>
      </c>
      <c r="C167">
        <v>1.12793429353653</v>
      </c>
      <c r="D167">
        <v>1.22758676269941</v>
      </c>
      <c r="E167">
        <v>0.954905919021939</v>
      </c>
      <c r="F167">
        <v>1.60180526090996</v>
      </c>
      <c r="G167">
        <v>1.20786631817777</v>
      </c>
      <c r="H167">
        <v>1.52519309496267</v>
      </c>
      <c r="I167">
        <v>1.13451505161764</v>
      </c>
      <c r="J167">
        <v>1.07124879627352</v>
      </c>
      <c r="K167">
        <v>0.554350174422004</v>
      </c>
      <c r="L167">
        <v>15000</v>
      </c>
      <c r="M167">
        <v>223.662296469745</v>
      </c>
      <c r="Q167">
        <v>0</v>
      </c>
      <c r="R167">
        <v>0.00140141495320611</v>
      </c>
      <c r="S167" t="s">
        <v>1835</v>
      </c>
      <c r="T167" t="s">
        <v>3312</v>
      </c>
      <c r="U167" t="s">
        <v>3312</v>
      </c>
      <c r="V167" t="s">
        <v>3312</v>
      </c>
      <c r="W167" t="s">
        <v>3479</v>
      </c>
      <c r="X167">
        <v>1</v>
      </c>
      <c r="Y167" t="s">
        <v>5118</v>
      </c>
      <c r="Z167" t="s">
        <v>6760</v>
      </c>
      <c r="AA167">
        <v>0.9941749687309628</v>
      </c>
      <c r="AB167">
        <f>HYPERLINK("Melting_Curves/meltCurve_P0A6C1_nfo.pdf", "Melting_Curves/meltCurve_P0A6C1_nfo.pdf")</f>
        <v>0</v>
      </c>
    </row>
    <row r="168" spans="1:28">
      <c r="A168" t="s">
        <v>194</v>
      </c>
      <c r="B168">
        <v>0.999984544473304</v>
      </c>
      <c r="C168">
        <v>0.9971697690721441</v>
      </c>
      <c r="D168">
        <v>1.08389137773698</v>
      </c>
      <c r="E168">
        <v>1.02072460864278</v>
      </c>
      <c r="F168">
        <v>0.833344091828208</v>
      </c>
      <c r="G168">
        <v>0.391460111942445</v>
      </c>
      <c r="H168">
        <v>0.167210758025787</v>
      </c>
      <c r="I168">
        <v>0.07324012039215901</v>
      </c>
      <c r="J168">
        <v>0.041146827110779</v>
      </c>
      <c r="K168">
        <v>0.0364702133729193</v>
      </c>
      <c r="L168">
        <v>1530.36278663799</v>
      </c>
      <c r="M168">
        <v>28.9445625438728</v>
      </c>
      <c r="N168">
        <v>53.0556592545586</v>
      </c>
      <c r="O168">
        <v>52.6217600413345</v>
      </c>
      <c r="P168">
        <v>-0.130965034657432</v>
      </c>
      <c r="Q168">
        <v>0.0476196206164012</v>
      </c>
      <c r="R168">
        <v>0.994530239435213</v>
      </c>
      <c r="S168" t="s">
        <v>1836</v>
      </c>
      <c r="T168" t="s">
        <v>3312</v>
      </c>
      <c r="U168" t="s">
        <v>3312</v>
      </c>
      <c r="V168" t="s">
        <v>3312</v>
      </c>
      <c r="W168" t="s">
        <v>3480</v>
      </c>
      <c r="X168">
        <v>3</v>
      </c>
      <c r="Y168" t="s">
        <v>5119</v>
      </c>
      <c r="Z168" t="s">
        <v>6761</v>
      </c>
      <c r="AA168">
        <v>0.5579740153640528</v>
      </c>
      <c r="AB168">
        <f>HYPERLINK("Melting_Curves/meltCurve_P0A6D0_argR.pdf", "Melting_Curves/meltCurve_P0A6D0_argR.pdf")</f>
        <v>0</v>
      </c>
    </row>
    <row r="169" spans="1:28">
      <c r="A169" t="s">
        <v>195</v>
      </c>
      <c r="B169">
        <v>0.999984544473304</v>
      </c>
      <c r="C169">
        <v>1.0316865855997</v>
      </c>
      <c r="D169">
        <v>0.981856166186848</v>
      </c>
      <c r="E169">
        <v>0.986664756718956</v>
      </c>
      <c r="F169">
        <v>1.04474116610919</v>
      </c>
      <c r="G169">
        <v>0.747183407772118</v>
      </c>
      <c r="H169">
        <v>0.152886938235735</v>
      </c>
      <c r="I169">
        <v>0.0551392330492556</v>
      </c>
      <c r="J169">
        <v>0.040519844894837</v>
      </c>
      <c r="K169">
        <v>0.0445270381817494</v>
      </c>
      <c r="L169">
        <v>2723.10331504368</v>
      </c>
      <c r="M169">
        <v>49.565410861223</v>
      </c>
      <c r="N169">
        <v>55.0454973640315</v>
      </c>
      <c r="O169">
        <v>54.8503797935174</v>
      </c>
      <c r="P169">
        <v>-0.215640069188163</v>
      </c>
      <c r="Q169">
        <v>0.045469083861691</v>
      </c>
      <c r="R169">
        <v>0.997739385134025</v>
      </c>
      <c r="S169" t="s">
        <v>1837</v>
      </c>
      <c r="T169" t="s">
        <v>3312</v>
      </c>
      <c r="U169" t="s">
        <v>3312</v>
      </c>
      <c r="V169" t="s">
        <v>3312</v>
      </c>
      <c r="W169" t="s">
        <v>3481</v>
      </c>
      <c r="X169">
        <v>4</v>
      </c>
      <c r="Y169" t="s">
        <v>5120</v>
      </c>
      <c r="Z169" t="s">
        <v>6762</v>
      </c>
      <c r="AA169">
        <v>0.6186123296551818</v>
      </c>
      <c r="AB169">
        <f>HYPERLINK("Melting_Curves/meltCurve_P0A6D3_aroA.pdf", "Melting_Curves/meltCurve_P0A6D3_aroA.pdf")</f>
        <v>0</v>
      </c>
    </row>
    <row r="170" spans="1:28">
      <c r="A170" t="s">
        <v>196</v>
      </c>
      <c r="B170">
        <v>0.999984544473304</v>
      </c>
      <c r="C170">
        <v>0.966011901092458</v>
      </c>
      <c r="D170">
        <v>0.956896209957865</v>
      </c>
      <c r="E170">
        <v>0.847220967369342</v>
      </c>
      <c r="F170">
        <v>0.752888090038497</v>
      </c>
      <c r="G170">
        <v>0.440355234583402</v>
      </c>
      <c r="H170">
        <v>0.477261622914321</v>
      </c>
      <c r="I170">
        <v>0.386183304154979</v>
      </c>
      <c r="J170">
        <v>0.410279352128044</v>
      </c>
      <c r="K170">
        <v>0.431934324699233</v>
      </c>
      <c r="L170">
        <v>985.085677415388</v>
      </c>
      <c r="M170">
        <v>19.7219595972577</v>
      </c>
      <c r="N170">
        <v>54.3763105189279</v>
      </c>
      <c r="O170">
        <v>49.4436395811285</v>
      </c>
      <c r="P170">
        <v>-0.0598692230727058</v>
      </c>
      <c r="Q170">
        <v>0.399643790739792</v>
      </c>
      <c r="R170">
        <v>0.97391030220707</v>
      </c>
      <c r="S170" t="s">
        <v>1838</v>
      </c>
      <c r="T170" t="s">
        <v>3312</v>
      </c>
      <c r="U170" t="s">
        <v>3312</v>
      </c>
      <c r="V170" t="s">
        <v>3312</v>
      </c>
      <c r="W170" t="s">
        <v>3482</v>
      </c>
      <c r="X170">
        <v>4</v>
      </c>
      <c r="Y170" t="s">
        <v>5121</v>
      </c>
      <c r="Z170" t="s">
        <v>6763</v>
      </c>
      <c r="AA170">
        <v>0.666874012888255</v>
      </c>
      <c r="AB170">
        <f>HYPERLINK("Melting_Curves/meltCurve_P0A6D7_aroK.pdf", "Melting_Curves/meltCurve_P0A6D7_aroK.pdf")</f>
        <v>0</v>
      </c>
    </row>
    <row r="171" spans="1:28">
      <c r="A171" t="s">
        <v>197</v>
      </c>
      <c r="B171">
        <v>0.999984544473304</v>
      </c>
      <c r="C171">
        <v>1.49020672364712</v>
      </c>
      <c r="D171">
        <v>1.10460012304249</v>
      </c>
      <c r="E171">
        <v>1.11823757772099</v>
      </c>
      <c r="F171">
        <v>0.73072459615288</v>
      </c>
      <c r="G171">
        <v>0.385994365955707</v>
      </c>
      <c r="H171">
        <v>0.163371430622769</v>
      </c>
      <c r="I171">
        <v>0.0577202879295632</v>
      </c>
      <c r="J171">
        <v>0</v>
      </c>
      <c r="K171">
        <v>0</v>
      </c>
      <c r="L171">
        <v>1337.36841833033</v>
      </c>
      <c r="M171">
        <v>25.3559504289475</v>
      </c>
      <c r="N171">
        <v>52.798661032451</v>
      </c>
      <c r="O171">
        <v>52.4189838732888</v>
      </c>
      <c r="P171">
        <v>-0.119357683134597</v>
      </c>
      <c r="Q171">
        <v>0.013008187462013</v>
      </c>
      <c r="R171">
        <v>0.89759981860904</v>
      </c>
      <c r="S171" t="s">
        <v>1839</v>
      </c>
      <c r="T171" t="s">
        <v>3312</v>
      </c>
      <c r="U171" t="s">
        <v>3312</v>
      </c>
      <c r="V171" t="s">
        <v>3312</v>
      </c>
      <c r="W171" t="s">
        <v>3483</v>
      </c>
      <c r="X171">
        <v>1</v>
      </c>
      <c r="Y171" t="s">
        <v>5122</v>
      </c>
      <c r="Z171" t="s">
        <v>6764</v>
      </c>
      <c r="AA171">
        <v>0.5394952181590941</v>
      </c>
      <c r="AB171">
        <f>HYPERLINK("Melting_Curves/meltCurve_P0A6E1_aroL.pdf", "Melting_Curves/meltCurve_P0A6E1_aroL.pdf")</f>
        <v>0</v>
      </c>
    </row>
    <row r="172" spans="1:28">
      <c r="A172" t="s">
        <v>198</v>
      </c>
      <c r="B172">
        <v>0.999984544473304</v>
      </c>
      <c r="C172">
        <v>0.643344956250361</v>
      </c>
      <c r="D172">
        <v>0.175774640567209</v>
      </c>
      <c r="E172">
        <v>0.128069068380994</v>
      </c>
      <c r="F172">
        <v>0.0800330590721218</v>
      </c>
      <c r="G172">
        <v>0.05177699051627</v>
      </c>
      <c r="H172">
        <v>0.0273056472113295</v>
      </c>
      <c r="I172">
        <v>0.0260573034188485</v>
      </c>
      <c r="J172">
        <v>0.0132876563280406</v>
      </c>
      <c r="K172">
        <v>0.0165245211903693</v>
      </c>
      <c r="L172">
        <v>1311.14152464058</v>
      </c>
      <c r="M172">
        <v>32.3019206637297</v>
      </c>
      <c r="N172">
        <v>40.7109182668562</v>
      </c>
      <c r="O172">
        <v>40.4355947703042</v>
      </c>
      <c r="P172">
        <v>-0.190592607049968</v>
      </c>
      <c r="Q172">
        <v>0.0456683734487214</v>
      </c>
      <c r="R172">
        <v>0.990050720479319</v>
      </c>
      <c r="S172" t="s">
        <v>1840</v>
      </c>
      <c r="T172" t="s">
        <v>3312</v>
      </c>
      <c r="U172" t="s">
        <v>3312</v>
      </c>
      <c r="V172" t="s">
        <v>3312</v>
      </c>
      <c r="W172" t="s">
        <v>3484</v>
      </c>
      <c r="X172">
        <v>2</v>
      </c>
      <c r="Y172" t="s">
        <v>5123</v>
      </c>
      <c r="Z172" t="s">
        <v>6765</v>
      </c>
      <c r="AA172">
        <v>0.1653436437098776</v>
      </c>
      <c r="AB172">
        <f>HYPERLINK("Melting_Curves/meltCurve_P0A6E4_argG.pdf", "Melting_Curves/meltCurve_P0A6E4_argG.pdf")</f>
        <v>0</v>
      </c>
    </row>
    <row r="173" spans="1:28">
      <c r="A173" t="s">
        <v>199</v>
      </c>
      <c r="B173">
        <v>0.999984544473304</v>
      </c>
      <c r="C173">
        <v>0.884211630519934</v>
      </c>
      <c r="D173">
        <v>0.904288470765646</v>
      </c>
      <c r="E173">
        <v>0.926794688126535</v>
      </c>
      <c r="F173">
        <v>0.736230166221843</v>
      </c>
      <c r="G173">
        <v>0.420473343459643</v>
      </c>
      <c r="H173">
        <v>0.219396492997979</v>
      </c>
      <c r="I173">
        <v>0.142683405338677</v>
      </c>
      <c r="J173">
        <v>0.102460297792241</v>
      </c>
      <c r="K173">
        <v>0.099333511883197</v>
      </c>
      <c r="L173">
        <v>974.670741827627</v>
      </c>
      <c r="M173">
        <v>18.5951363889988</v>
      </c>
      <c r="N173">
        <v>52.8814200715087</v>
      </c>
      <c r="O173">
        <v>51.8204504391939</v>
      </c>
      <c r="P173">
        <v>-0.0829327896407205</v>
      </c>
      <c r="Q173">
        <v>0.07558021425235251</v>
      </c>
      <c r="R173">
        <v>0.984806043132384</v>
      </c>
      <c r="S173" t="s">
        <v>1841</v>
      </c>
      <c r="T173" t="s">
        <v>3312</v>
      </c>
      <c r="U173" t="s">
        <v>3312</v>
      </c>
      <c r="V173" t="s">
        <v>3312</v>
      </c>
      <c r="W173" t="s">
        <v>3485</v>
      </c>
      <c r="X173">
        <v>4</v>
      </c>
      <c r="Y173" t="s">
        <v>5124</v>
      </c>
      <c r="Z173" t="s">
        <v>6766</v>
      </c>
      <c r="AA173">
        <v>0.5637580554898236</v>
      </c>
      <c r="AB173">
        <f>HYPERLINK("Melting_Curves/meltCurve_P0A6E9_bioD2.pdf", "Melting_Curves/meltCurve_P0A6E9_bioD2.pdf")</f>
        <v>0</v>
      </c>
    </row>
    <row r="174" spans="1:28">
      <c r="A174" t="s">
        <v>200</v>
      </c>
      <c r="B174">
        <v>0.999984544473304</v>
      </c>
      <c r="C174">
        <v>0.991707676362076</v>
      </c>
      <c r="D174">
        <v>0.338758131709541</v>
      </c>
      <c r="E174">
        <v>0.244108999154707</v>
      </c>
      <c r="F174">
        <v>0.191336625742755</v>
      </c>
      <c r="G174">
        <v>0.162092384048445</v>
      </c>
      <c r="H174">
        <v>0.148594554090645</v>
      </c>
      <c r="I174">
        <v>0.0569602173093073</v>
      </c>
      <c r="J174">
        <v>0.0353139761614063</v>
      </c>
      <c r="K174">
        <v>0.0451740591399995</v>
      </c>
      <c r="L174">
        <v>2636.71618224925</v>
      </c>
      <c r="M174">
        <v>62.4281459881888</v>
      </c>
      <c r="N174">
        <v>42.4324093477659</v>
      </c>
      <c r="O174">
        <v>42.1927408746851</v>
      </c>
      <c r="P174">
        <v>-0.32348692960283</v>
      </c>
      <c r="Q174">
        <v>0.125471679748483</v>
      </c>
      <c r="R174">
        <v>0.96780109800887</v>
      </c>
      <c r="S174" t="s">
        <v>1842</v>
      </c>
      <c r="T174" t="s">
        <v>3312</v>
      </c>
      <c r="U174" t="s">
        <v>3312</v>
      </c>
      <c r="V174" t="s">
        <v>3312</v>
      </c>
      <c r="W174" t="s">
        <v>3486</v>
      </c>
      <c r="X174">
        <v>3</v>
      </c>
      <c r="Y174" t="s">
        <v>5125</v>
      </c>
      <c r="Z174" t="s">
        <v>6767</v>
      </c>
      <c r="AA174">
        <v>0.279151682128272</v>
      </c>
      <c r="AB174">
        <f>HYPERLINK("Melting_Curves/meltCurve_P0A6F1_carA.pdf", "Melting_Curves/meltCurve_P0A6F1_carA.pdf")</f>
        <v>0</v>
      </c>
    </row>
    <row r="175" spans="1:28">
      <c r="A175" t="s">
        <v>201</v>
      </c>
      <c r="B175">
        <v>0.999984544473304</v>
      </c>
      <c r="C175">
        <v>0.700333952490249</v>
      </c>
      <c r="D175">
        <v>0.435986079470729</v>
      </c>
      <c r="E175">
        <v>0.265460546569192</v>
      </c>
      <c r="F175">
        <v>0.168645259690998</v>
      </c>
      <c r="G175">
        <v>0.0966478235124352</v>
      </c>
      <c r="H175">
        <v>0.06313530163882169</v>
      </c>
      <c r="I175">
        <v>0.0396555588826216</v>
      </c>
      <c r="J175">
        <v>0.0333644032655118</v>
      </c>
      <c r="K175">
        <v>0.0399749148617869</v>
      </c>
      <c r="L175">
        <v>650.480077514541</v>
      </c>
      <c r="M175">
        <v>15.350515180603</v>
      </c>
      <c r="N175">
        <v>42.6583233310775</v>
      </c>
      <c r="O175">
        <v>41.6755152747206</v>
      </c>
      <c r="P175">
        <v>-0.08763080260654681</v>
      </c>
      <c r="Q175">
        <v>0.0484431792167954</v>
      </c>
      <c r="R175">
        <v>0.985413590531692</v>
      </c>
      <c r="S175" t="s">
        <v>1843</v>
      </c>
      <c r="T175" t="s">
        <v>3312</v>
      </c>
      <c r="U175" t="s">
        <v>3312</v>
      </c>
      <c r="V175" t="s">
        <v>3312</v>
      </c>
      <c r="W175" t="s">
        <v>3487</v>
      </c>
      <c r="X175">
        <v>6</v>
      </c>
      <c r="Y175" t="s">
        <v>5126</v>
      </c>
      <c r="Z175" t="s">
        <v>6768</v>
      </c>
      <c r="AA175">
        <v>0.2441100295302057</v>
      </c>
      <c r="AB175">
        <f>HYPERLINK("Melting_Curves/meltCurve_P0A6F3_glpK.pdf", "Melting_Curves/meltCurve_P0A6F3_glpK.pdf")</f>
        <v>0</v>
      </c>
    </row>
    <row r="176" spans="1:28">
      <c r="A176" t="s">
        <v>202</v>
      </c>
      <c r="B176">
        <v>0.999984544473304</v>
      </c>
      <c r="C176">
        <v>3.17013655626716</v>
      </c>
      <c r="D176">
        <v>3.16134777538694</v>
      </c>
      <c r="E176">
        <v>3.69185993607364</v>
      </c>
      <c r="F176">
        <v>1.9538066126168</v>
      </c>
      <c r="G176">
        <v>2.46250268968641</v>
      </c>
      <c r="H176">
        <v>1.42510173077112</v>
      </c>
      <c r="I176">
        <v>1.40518972521191</v>
      </c>
      <c r="J176">
        <v>1.05689736077075</v>
      </c>
      <c r="K176">
        <v>1.90238705015378</v>
      </c>
      <c r="L176">
        <v>9465.39095647569</v>
      </c>
      <c r="M176">
        <v>250</v>
      </c>
      <c r="O176">
        <v>37.8591405975716</v>
      </c>
      <c r="P176">
        <v>0.825428133423131</v>
      </c>
      <c r="Q176">
        <v>1.5</v>
      </c>
      <c r="R176">
        <v>-0.441181391565997</v>
      </c>
      <c r="S176" t="s">
        <v>1844</v>
      </c>
      <c r="T176" t="s">
        <v>3312</v>
      </c>
      <c r="U176" t="s">
        <v>3312</v>
      </c>
      <c r="V176" t="s">
        <v>3312</v>
      </c>
      <c r="W176" t="s">
        <v>3488</v>
      </c>
      <c r="X176">
        <v>28</v>
      </c>
      <c r="Y176" t="s">
        <v>5127</v>
      </c>
      <c r="Z176" t="s">
        <v>6769</v>
      </c>
      <c r="AA176">
        <v>1.485600301726997</v>
      </c>
      <c r="AB176">
        <f>HYPERLINK("Melting_Curves/meltCurve_P0A6F5_groL.pdf", "Melting_Curves/meltCurve_P0A6F5_groL.pdf")</f>
        <v>0</v>
      </c>
    </row>
    <row r="177" spans="1:28">
      <c r="A177" t="s">
        <v>203</v>
      </c>
      <c r="B177">
        <v>0.999984544473304</v>
      </c>
      <c r="C177">
        <v>1.06173918833191</v>
      </c>
      <c r="D177">
        <v>1.0865492344475</v>
      </c>
      <c r="E177">
        <v>1.1603320866896</v>
      </c>
      <c r="F177">
        <v>1.23578322016963</v>
      </c>
      <c r="G177">
        <v>0.932384544748055</v>
      </c>
      <c r="H177">
        <v>1.07027089955145</v>
      </c>
      <c r="I177">
        <v>0.870795377003805</v>
      </c>
      <c r="J177">
        <v>0.809742155064441</v>
      </c>
      <c r="K177">
        <v>0.899364856718609</v>
      </c>
      <c r="L177">
        <v>15000</v>
      </c>
      <c r="M177">
        <v>247.975373342971</v>
      </c>
      <c r="O177">
        <v>60.4859430388023</v>
      </c>
      <c r="P177">
        <v>-0.14907276471028</v>
      </c>
      <c r="Q177">
        <v>0.854553189602875</v>
      </c>
      <c r="R177">
        <v>0.350975675026735</v>
      </c>
      <c r="S177" t="s">
        <v>1845</v>
      </c>
      <c r="T177" t="s">
        <v>3312</v>
      </c>
      <c r="U177" t="s">
        <v>3312</v>
      </c>
      <c r="V177" t="s">
        <v>3312</v>
      </c>
      <c r="W177" t="s">
        <v>3489</v>
      </c>
      <c r="X177">
        <v>5</v>
      </c>
      <c r="Y177" t="s">
        <v>5128</v>
      </c>
      <c r="Z177" t="s">
        <v>6770</v>
      </c>
      <c r="AA177">
        <v>0.9684531427409004</v>
      </c>
      <c r="AB177">
        <f>HYPERLINK("Melting_Curves/meltCurve_P0A6F9_groS.pdf", "Melting_Curves/meltCurve_P0A6F9_groS.pdf")</f>
        <v>0</v>
      </c>
    </row>
    <row r="178" spans="1:28">
      <c r="A178" t="s">
        <v>204</v>
      </c>
      <c r="B178">
        <v>0.999984544473304</v>
      </c>
      <c r="C178">
        <v>0.849692442606923</v>
      </c>
      <c r="D178">
        <v>1.03770834270134</v>
      </c>
      <c r="E178">
        <v>0.979752149779331</v>
      </c>
      <c r="F178">
        <v>1.14096098547013</v>
      </c>
      <c r="G178">
        <v>0.960843948734151</v>
      </c>
      <c r="H178">
        <v>0.960635933099226</v>
      </c>
      <c r="I178">
        <v>0.887278636400339</v>
      </c>
      <c r="J178">
        <v>0.812867902385891</v>
      </c>
      <c r="K178">
        <v>0.787493025961773</v>
      </c>
      <c r="L178">
        <v>1584.80642137567</v>
      </c>
      <c r="M178">
        <v>25.9734534019311</v>
      </c>
      <c r="O178">
        <v>60.6581451157532</v>
      </c>
      <c r="P178">
        <v>-0.0251940901701993</v>
      </c>
      <c r="Q178">
        <v>0.764650607517588</v>
      </c>
      <c r="R178">
        <v>0.570885659614644</v>
      </c>
      <c r="S178" t="s">
        <v>1846</v>
      </c>
      <c r="T178" t="s">
        <v>3312</v>
      </c>
      <c r="U178" t="s">
        <v>3312</v>
      </c>
      <c r="V178" t="s">
        <v>3312</v>
      </c>
      <c r="W178" t="s">
        <v>3490</v>
      </c>
      <c r="X178">
        <v>2</v>
      </c>
      <c r="Y178" t="s">
        <v>5129</v>
      </c>
      <c r="Z178" t="s">
        <v>6771</v>
      </c>
      <c r="AA178">
        <v>0.9531509377249999</v>
      </c>
      <c r="AB178">
        <f>HYPERLINK("Melting_Curves/meltCurve_P0A6G3_pncC.pdf", "Melting_Curves/meltCurve_P0A6G3_pncC.pdf")</f>
        <v>0</v>
      </c>
    </row>
    <row r="179" spans="1:28">
      <c r="A179" t="s">
        <v>205</v>
      </c>
      <c r="B179">
        <v>0.999984544473304</v>
      </c>
      <c r="C179">
        <v>0.926130543100247</v>
      </c>
      <c r="D179">
        <v>0.9515554749910869</v>
      </c>
      <c r="E179">
        <v>1.08417415229096</v>
      </c>
      <c r="F179">
        <v>0.774792482742493</v>
      </c>
      <c r="G179">
        <v>0.346880761076552</v>
      </c>
      <c r="H179">
        <v>0.0736945003475748</v>
      </c>
      <c r="I179">
        <v>0.0547042883614783</v>
      </c>
      <c r="J179">
        <v>0.0353227542868682</v>
      </c>
      <c r="K179">
        <v>0.0344131111759636</v>
      </c>
      <c r="L179">
        <v>1646.22610690918</v>
      </c>
      <c r="M179">
        <v>31.4192804618655</v>
      </c>
      <c r="N179">
        <v>52.5107897954228</v>
      </c>
      <c r="O179">
        <v>52.1845275485462</v>
      </c>
      <c r="P179">
        <v>-0.145500530306744</v>
      </c>
      <c r="Q179">
        <v>0.0333533720540017</v>
      </c>
      <c r="R179">
        <v>0.989357666137931</v>
      </c>
      <c r="S179" t="s">
        <v>1847</v>
      </c>
      <c r="T179" t="s">
        <v>3312</v>
      </c>
      <c r="U179" t="s">
        <v>3312</v>
      </c>
      <c r="V179" t="s">
        <v>3312</v>
      </c>
      <c r="W179" t="s">
        <v>3491</v>
      </c>
      <c r="X179">
        <v>4</v>
      </c>
      <c r="Y179" t="s">
        <v>5130</v>
      </c>
      <c r="Z179" t="s">
        <v>6772</v>
      </c>
      <c r="AA179">
        <v>0.535023370309207</v>
      </c>
      <c r="AB179">
        <f>HYPERLINK("Melting_Curves/meltCurve_P0A6G7_clpP.pdf", "Melting_Curves/meltCurve_P0A6G7_clpP.pdf")</f>
        <v>0</v>
      </c>
    </row>
    <row r="180" spans="1:28">
      <c r="A180" t="s">
        <v>206</v>
      </c>
      <c r="B180">
        <v>0.999984544473304</v>
      </c>
      <c r="C180">
        <v>0.862575423160503</v>
      </c>
      <c r="D180">
        <v>0.712967994897557</v>
      </c>
      <c r="E180">
        <v>0.638151425206407</v>
      </c>
      <c r="F180">
        <v>0.595118295556082</v>
      </c>
      <c r="G180">
        <v>0.460254789954394</v>
      </c>
      <c r="H180">
        <v>0.447792048965842</v>
      </c>
      <c r="I180">
        <v>0.384008789171273</v>
      </c>
      <c r="J180">
        <v>0.329656562488009</v>
      </c>
      <c r="K180">
        <v>0.340138111518229</v>
      </c>
      <c r="L180">
        <v>381.32425965208</v>
      </c>
      <c r="M180">
        <v>8.11519223399991</v>
      </c>
      <c r="N180">
        <v>52.4109375205301</v>
      </c>
      <c r="O180">
        <v>44.3938527406638</v>
      </c>
      <c r="P180">
        <v>-0.0327542817298493</v>
      </c>
      <c r="Q180">
        <v>0.28404334124213</v>
      </c>
      <c r="R180">
        <v>0.973117803588147</v>
      </c>
      <c r="S180" t="s">
        <v>1848</v>
      </c>
      <c r="T180" t="s">
        <v>3312</v>
      </c>
      <c r="U180" t="s">
        <v>3312</v>
      </c>
      <c r="V180" t="s">
        <v>3312</v>
      </c>
      <c r="W180" t="s">
        <v>3492</v>
      </c>
      <c r="X180">
        <v>10</v>
      </c>
      <c r="Y180" t="s">
        <v>5131</v>
      </c>
      <c r="Z180" t="s">
        <v>6773</v>
      </c>
      <c r="AA180">
        <v>0.5628674791475911</v>
      </c>
      <c r="AB180">
        <f>HYPERLINK("Melting_Curves/meltCurve_P0A6H1_clpX.pdf", "Melting_Curves/meltCurve_P0A6H1_clpX.pdf")</f>
        <v>0</v>
      </c>
    </row>
    <row r="181" spans="1:28">
      <c r="A181" t="s">
        <v>207</v>
      </c>
      <c r="B181">
        <v>0.999984544473304</v>
      </c>
      <c r="C181">
        <v>0.976980719516691</v>
      </c>
      <c r="D181">
        <v>0.745062561992457</v>
      </c>
      <c r="E181">
        <v>0.294541337428789</v>
      </c>
      <c r="F181">
        <v>0.114386036343252</v>
      </c>
      <c r="G181">
        <v>0.0616947979937923</v>
      </c>
      <c r="H181">
        <v>0.0537224752976548</v>
      </c>
      <c r="I181">
        <v>0.0452079914739215</v>
      </c>
      <c r="J181">
        <v>0.0378742986785166</v>
      </c>
      <c r="K181">
        <v>0.0321052306399826</v>
      </c>
      <c r="L181">
        <v>1140.56533763497</v>
      </c>
      <c r="M181">
        <v>25.4907942031373</v>
      </c>
      <c r="N181">
        <v>44.9080721003473</v>
      </c>
      <c r="O181">
        <v>44.4715580663718</v>
      </c>
      <c r="P181">
        <v>-0.136936219169324</v>
      </c>
      <c r="Q181">
        <v>0.0444093682216599</v>
      </c>
      <c r="R181">
        <v>0.999437849677461</v>
      </c>
      <c r="S181" t="s">
        <v>1849</v>
      </c>
      <c r="T181" t="s">
        <v>3312</v>
      </c>
      <c r="U181" t="s">
        <v>3312</v>
      </c>
      <c r="V181" t="s">
        <v>3312</v>
      </c>
      <c r="W181" t="s">
        <v>3493</v>
      </c>
      <c r="X181">
        <v>12</v>
      </c>
      <c r="Y181" t="s">
        <v>5132</v>
      </c>
      <c r="Z181" t="s">
        <v>6774</v>
      </c>
      <c r="AA181">
        <v>0.2986060294001144</v>
      </c>
      <c r="AB181">
        <f>HYPERLINK("Melting_Curves/meltCurve_P0A6H5_hslU.pdf", "Melting_Curves/meltCurve_P0A6H5_hslU.pdf")</f>
        <v>0</v>
      </c>
    </row>
    <row r="182" spans="1:28">
      <c r="A182" t="s">
        <v>208</v>
      </c>
      <c r="B182">
        <v>0.999984544473304</v>
      </c>
      <c r="C182">
        <v>0.802508892955445</v>
      </c>
      <c r="D182">
        <v>0.952770087050625</v>
      </c>
      <c r="E182">
        <v>0.621008626130468</v>
      </c>
      <c r="F182">
        <v>0.302501690547828</v>
      </c>
      <c r="G182">
        <v>0.08649661708206161</v>
      </c>
      <c r="H182">
        <v>0.0461666919782397</v>
      </c>
      <c r="I182">
        <v>0.0262157298238813</v>
      </c>
      <c r="J182">
        <v>0.0180081502108252</v>
      </c>
      <c r="K182">
        <v>0.0173729237286347</v>
      </c>
      <c r="L182">
        <v>908.026033119363</v>
      </c>
      <c r="M182">
        <v>18.9826110356853</v>
      </c>
      <c r="N182">
        <v>47.8617238396807</v>
      </c>
      <c r="O182">
        <v>47.313253986711</v>
      </c>
      <c r="P182">
        <v>-0.0997706490869288</v>
      </c>
      <c r="Q182">
        <v>0.00534557991279215</v>
      </c>
      <c r="R182">
        <v>0.977278818751359</v>
      </c>
      <c r="S182" t="s">
        <v>1850</v>
      </c>
      <c r="T182" t="s">
        <v>3312</v>
      </c>
      <c r="U182" t="s">
        <v>3312</v>
      </c>
      <c r="V182" t="s">
        <v>3312</v>
      </c>
      <c r="W182" t="s">
        <v>3494</v>
      </c>
      <c r="X182">
        <v>7</v>
      </c>
      <c r="Y182" t="s">
        <v>5133</v>
      </c>
      <c r="Z182" t="s">
        <v>6775</v>
      </c>
      <c r="AA182">
        <v>0.3789827773273749</v>
      </c>
      <c r="AB182">
        <f>HYPERLINK("Melting_Curves/meltCurve_P0A6I0_cmk.pdf", "Melting_Curves/meltCurve_P0A6I0_cmk.pdf")</f>
        <v>0</v>
      </c>
    </row>
    <row r="183" spans="1:28">
      <c r="A183" t="s">
        <v>209</v>
      </c>
      <c r="B183">
        <v>0.999984544473304</v>
      </c>
      <c r="C183">
        <v>0.59021104551799</v>
      </c>
      <c r="D183">
        <v>0.513945440272067</v>
      </c>
      <c r="E183">
        <v>0.166114873927635</v>
      </c>
      <c r="F183">
        <v>0.125722444304564</v>
      </c>
      <c r="G183">
        <v>0.08914993417446319</v>
      </c>
      <c r="H183">
        <v>0.08643871332463619</v>
      </c>
      <c r="I183">
        <v>0.069883503082919</v>
      </c>
      <c r="J183">
        <v>0.0371086808326457</v>
      </c>
      <c r="K183">
        <v>0.0342929978662617</v>
      </c>
      <c r="L183">
        <v>664.869132885323</v>
      </c>
      <c r="M183">
        <v>15.8668813305623</v>
      </c>
      <c r="N183">
        <v>42.1943403197577</v>
      </c>
      <c r="O183">
        <v>41.254293091327</v>
      </c>
      <c r="P183">
        <v>-0.0911708991400023</v>
      </c>
      <c r="Q183">
        <v>0.0518902611887719</v>
      </c>
      <c r="R183">
        <v>0.963603841193123</v>
      </c>
      <c r="S183" t="s">
        <v>1851</v>
      </c>
      <c r="T183" t="s">
        <v>3312</v>
      </c>
      <c r="U183" t="s">
        <v>3312</v>
      </c>
      <c r="V183" t="s">
        <v>3312</v>
      </c>
      <c r="W183" t="s">
        <v>3495</v>
      </c>
      <c r="X183">
        <v>1</v>
      </c>
      <c r="Y183" t="s">
        <v>5134</v>
      </c>
      <c r="Z183" t="s">
        <v>6776</v>
      </c>
      <c r="AA183">
        <v>0.2312814953229181</v>
      </c>
      <c r="AB183">
        <f>HYPERLINK("Melting_Curves/meltCurve_P0A6I3_coaA.pdf", "Melting_Curves/meltCurve_P0A6I3_coaA.pdf")</f>
        <v>0</v>
      </c>
    </row>
    <row r="184" spans="1:28">
      <c r="A184" t="s">
        <v>210</v>
      </c>
      <c r="B184">
        <v>0.999984544473304</v>
      </c>
      <c r="C184">
        <v>1.27410324155962</v>
      </c>
      <c r="D184">
        <v>0.969453713426203</v>
      </c>
      <c r="E184">
        <v>1.5389403845092</v>
      </c>
      <c r="F184">
        <v>1.1928776242344</v>
      </c>
      <c r="G184">
        <v>1.06294606950712</v>
      </c>
      <c r="H184">
        <v>1.09895328583042</v>
      </c>
      <c r="I184">
        <v>0.931908076335845</v>
      </c>
      <c r="J184">
        <v>0.8508745754384049</v>
      </c>
      <c r="K184">
        <v>0.673841631340085</v>
      </c>
      <c r="L184">
        <v>2279.4755969742</v>
      </c>
      <c r="M184">
        <v>34.9066692891811</v>
      </c>
      <c r="O184">
        <v>65.08880094121371</v>
      </c>
      <c r="P184">
        <v>-0.0615122722231369</v>
      </c>
      <c r="Q184">
        <v>0.541205638755222</v>
      </c>
      <c r="R184">
        <v>0.186446328717482</v>
      </c>
      <c r="S184" t="s">
        <v>1852</v>
      </c>
      <c r="T184" t="s">
        <v>3312</v>
      </c>
      <c r="U184" t="s">
        <v>3312</v>
      </c>
      <c r="V184" t="s">
        <v>3312</v>
      </c>
      <c r="W184" t="s">
        <v>3496</v>
      </c>
      <c r="X184">
        <v>2</v>
      </c>
      <c r="Y184" t="s">
        <v>5135</v>
      </c>
      <c r="Z184" t="s">
        <v>6777</v>
      </c>
      <c r="AA184">
        <v>0.9656142309664737</v>
      </c>
      <c r="AB184">
        <f>HYPERLINK("Melting_Curves/meltCurve_P0A6I6_coaD.pdf", "Melting_Curves/meltCurve_P0A6I6_coaD.pdf")</f>
        <v>0</v>
      </c>
    </row>
    <row r="185" spans="1:28">
      <c r="A185" t="s">
        <v>211</v>
      </c>
      <c r="B185">
        <v>0.999984544473304</v>
      </c>
      <c r="C185">
        <v>1.03307742661342</v>
      </c>
      <c r="D185">
        <v>0.924219942132382</v>
      </c>
      <c r="E185">
        <v>0.574200861452932</v>
      </c>
      <c r="F185">
        <v>0.344871461470826</v>
      </c>
      <c r="G185">
        <v>0.201152810834543</v>
      </c>
      <c r="H185">
        <v>0.117326121436614</v>
      </c>
      <c r="I185">
        <v>0.208294714674734</v>
      </c>
      <c r="J185">
        <v>0.121769266636596</v>
      </c>
      <c r="K185">
        <v>0.104637912958696</v>
      </c>
      <c r="L185">
        <v>1013.84558936719</v>
      </c>
      <c r="M185">
        <v>21.5585566696737</v>
      </c>
      <c r="N185">
        <v>47.7361566575538</v>
      </c>
      <c r="O185">
        <v>46.6285005530295</v>
      </c>
      <c r="P185">
        <v>-0.0997608565619869</v>
      </c>
      <c r="Q185">
        <v>0.136939134748448</v>
      </c>
      <c r="R185">
        <v>0.990512591066172</v>
      </c>
      <c r="S185" t="s">
        <v>1853</v>
      </c>
      <c r="T185" t="s">
        <v>3312</v>
      </c>
      <c r="U185" t="s">
        <v>3312</v>
      </c>
      <c r="V185" t="s">
        <v>3312</v>
      </c>
      <c r="W185" t="s">
        <v>3497</v>
      </c>
      <c r="X185">
        <v>1</v>
      </c>
      <c r="Y185" t="s">
        <v>5136</v>
      </c>
      <c r="Z185" t="s">
        <v>6778</v>
      </c>
      <c r="AA185">
        <v>0.4351656649728936</v>
      </c>
      <c r="AB185">
        <f>HYPERLINK("Melting_Curves/meltCurve_P0A6I9_coaE.pdf", "Melting_Curves/meltCurve_P0A6I9_coaE.pdf")</f>
        <v>0</v>
      </c>
    </row>
    <row r="186" spans="1:28">
      <c r="A186" t="s">
        <v>212</v>
      </c>
      <c r="B186">
        <v>0.999984544473304</v>
      </c>
      <c r="C186">
        <v>0.875506563699205</v>
      </c>
      <c r="D186">
        <v>0.7342636091850669</v>
      </c>
      <c r="E186">
        <v>0.571989785252116</v>
      </c>
      <c r="F186">
        <v>0.432535936993082</v>
      </c>
      <c r="G186">
        <v>0.331833130094634</v>
      </c>
      <c r="H186">
        <v>0.321813871184157</v>
      </c>
      <c r="I186">
        <v>0.25692155039575</v>
      </c>
      <c r="J186">
        <v>0.174556907149684</v>
      </c>
      <c r="K186">
        <v>0.133084751000024</v>
      </c>
      <c r="L186">
        <v>448.011279635228</v>
      </c>
      <c r="M186">
        <v>9.49503993405764</v>
      </c>
      <c r="N186">
        <v>48.718397042906</v>
      </c>
      <c r="O186">
        <v>45.232999608575</v>
      </c>
      <c r="P186">
        <v>-0.0457222845682885</v>
      </c>
      <c r="Q186">
        <v>0.129258633699029</v>
      </c>
      <c r="R186">
        <v>0.9858544183490791</v>
      </c>
      <c r="S186" t="s">
        <v>1854</v>
      </c>
      <c r="T186" t="s">
        <v>3312</v>
      </c>
      <c r="U186" t="s">
        <v>3312</v>
      </c>
      <c r="V186" t="s">
        <v>3312</v>
      </c>
      <c r="W186" t="s">
        <v>3498</v>
      </c>
      <c r="X186">
        <v>3</v>
      </c>
      <c r="Y186" t="s">
        <v>5137</v>
      </c>
      <c r="Z186" t="s">
        <v>6779</v>
      </c>
      <c r="AA186">
        <v>0.4646153372784467</v>
      </c>
      <c r="AB186">
        <f>HYPERLINK("Melting_Curves/meltCurve_P0A6J3_cysZ.pdf", "Melting_Curves/meltCurve_P0A6J3_cysZ.pdf")</f>
        <v>0</v>
      </c>
    </row>
    <row r="187" spans="1:28">
      <c r="A187" t="s">
        <v>213</v>
      </c>
      <c r="B187">
        <v>0.999984544473304</v>
      </c>
      <c r="C187">
        <v>0.9529632291851849</v>
      </c>
      <c r="D187">
        <v>0.561973880275535</v>
      </c>
      <c r="E187">
        <v>0.414987079950208</v>
      </c>
      <c r="F187">
        <v>0.288342052457323</v>
      </c>
      <c r="G187">
        <v>0.237912387004038</v>
      </c>
      <c r="H187">
        <v>0.102146954306145</v>
      </c>
      <c r="I187">
        <v>0.0663397951750635</v>
      </c>
      <c r="J187">
        <v>0.0549634589545067</v>
      </c>
      <c r="K187">
        <v>0.0660784963691258</v>
      </c>
      <c r="L187">
        <v>593.036655993909</v>
      </c>
      <c r="M187">
        <v>13.1881986519363</v>
      </c>
      <c r="N187">
        <v>45.4371077868827</v>
      </c>
      <c r="O187">
        <v>43.9710374398449</v>
      </c>
      <c r="P187">
        <v>-0.0702140311508524</v>
      </c>
      <c r="Q187">
        <v>0.063748405123135</v>
      </c>
      <c r="R187">
        <v>0.9711572996422601</v>
      </c>
      <c r="S187" t="s">
        <v>1855</v>
      </c>
      <c r="T187" t="s">
        <v>3312</v>
      </c>
      <c r="U187" t="s">
        <v>3312</v>
      </c>
      <c r="V187" t="s">
        <v>3312</v>
      </c>
      <c r="W187" t="s">
        <v>3499</v>
      </c>
      <c r="X187">
        <v>5</v>
      </c>
      <c r="Y187" t="s">
        <v>5138</v>
      </c>
      <c r="Z187" t="s">
        <v>6780</v>
      </c>
      <c r="AA187">
        <v>0.3410403462523194</v>
      </c>
      <c r="AB187">
        <f>HYPERLINK("Melting_Curves/meltCurve_P0A6J5_dadA.pdf", "Melting_Curves/meltCurve_P0A6J5_dadA.pdf")</f>
        <v>0</v>
      </c>
    </row>
    <row r="188" spans="1:28">
      <c r="A188" t="s">
        <v>214</v>
      </c>
      <c r="B188">
        <v>0.999984544473304</v>
      </c>
      <c r="C188">
        <v>0.991587765498912</v>
      </c>
      <c r="D188">
        <v>0.939069832815374</v>
      </c>
      <c r="E188">
        <v>0.650403436252699</v>
      </c>
      <c r="F188">
        <v>0.249504166159185</v>
      </c>
      <c r="G188">
        <v>0.0644707787123488</v>
      </c>
      <c r="H188">
        <v>0.0367159075513061</v>
      </c>
      <c r="I188">
        <v>0.0224938824097738</v>
      </c>
      <c r="J188">
        <v>0.0205163464190706</v>
      </c>
      <c r="K188">
        <v>0.0148176577717343</v>
      </c>
      <c r="L188">
        <v>1170.15842972609</v>
      </c>
      <c r="M188">
        <v>24.5066360942033</v>
      </c>
      <c r="N188">
        <v>47.8127237254713</v>
      </c>
      <c r="O188">
        <v>47.4341147555684</v>
      </c>
      <c r="P188">
        <v>-0.127076432799532</v>
      </c>
      <c r="Q188">
        <v>0.0161573092065605</v>
      </c>
      <c r="R188">
        <v>0.999900227048111</v>
      </c>
      <c r="S188" t="s">
        <v>1856</v>
      </c>
      <c r="T188" t="s">
        <v>3312</v>
      </c>
      <c r="U188" t="s">
        <v>3312</v>
      </c>
      <c r="V188" t="s">
        <v>3312</v>
      </c>
      <c r="W188" t="s">
        <v>3500</v>
      </c>
      <c r="X188">
        <v>5</v>
      </c>
      <c r="Y188" t="s">
        <v>5139</v>
      </c>
      <c r="Z188" t="s">
        <v>6781</v>
      </c>
      <c r="AA188">
        <v>0.3773465174629159</v>
      </c>
      <c r="AB188">
        <f>HYPERLINK("Melting_Curves/meltCurve_P0A6J8_ddlA.pdf", "Melting_Curves/meltCurve_P0A6J8_ddlA.pdf")</f>
        <v>0</v>
      </c>
    </row>
    <row r="189" spans="1:28">
      <c r="A189" t="s">
        <v>215</v>
      </c>
      <c r="B189">
        <v>0.999984544473304</v>
      </c>
      <c r="C189">
        <v>0.916723967206009</v>
      </c>
      <c r="D189">
        <v>1.25406551469983</v>
      </c>
      <c r="E189">
        <v>0.930509725547536</v>
      </c>
      <c r="F189">
        <v>0.817705442411514</v>
      </c>
      <c r="G189">
        <v>0.146109492044463</v>
      </c>
      <c r="H189">
        <v>0.111570232569233</v>
      </c>
      <c r="I189">
        <v>0.0312253022674365</v>
      </c>
      <c r="J189">
        <v>0</v>
      </c>
      <c r="K189">
        <v>0</v>
      </c>
      <c r="L189">
        <v>2468.75223586882</v>
      </c>
      <c r="M189">
        <v>47.7671584847168</v>
      </c>
      <c r="N189">
        <v>51.7518581104992</v>
      </c>
      <c r="O189">
        <v>51.592699065293</v>
      </c>
      <c r="P189">
        <v>-0.224342562277837</v>
      </c>
      <c r="Q189">
        <v>0.0307627055305962</v>
      </c>
      <c r="R189">
        <v>0.963422373904242</v>
      </c>
      <c r="S189" t="s">
        <v>1857</v>
      </c>
      <c r="T189" t="s">
        <v>3312</v>
      </c>
      <c r="U189" t="s">
        <v>3312</v>
      </c>
      <c r="V189" t="s">
        <v>3312</v>
      </c>
      <c r="W189" t="s">
        <v>3501</v>
      </c>
      <c r="X189">
        <v>1</v>
      </c>
      <c r="Y189" t="s">
        <v>5140</v>
      </c>
      <c r="Z189" t="s">
        <v>6782</v>
      </c>
      <c r="AA189">
        <v>0.5075624384103156</v>
      </c>
      <c r="AB189">
        <f>HYPERLINK("Melting_Curves/meltCurve_P0A6K1_dapF.pdf", "Melting_Curves/meltCurve_P0A6K1_dapF.pdf")</f>
        <v>0</v>
      </c>
    </row>
    <row r="190" spans="1:28">
      <c r="A190" t="s">
        <v>216</v>
      </c>
      <c r="B190">
        <v>0.999984544473304</v>
      </c>
      <c r="C190">
        <v>0.898845181311015</v>
      </c>
      <c r="D190">
        <v>0.971776094249038</v>
      </c>
      <c r="E190">
        <v>1.04226440766786</v>
      </c>
      <c r="F190">
        <v>1.01992471427035</v>
      </c>
      <c r="G190">
        <v>0.869451212605569</v>
      </c>
      <c r="H190">
        <v>0.748556329192601</v>
      </c>
      <c r="I190">
        <v>0.652507114603923</v>
      </c>
      <c r="J190">
        <v>0.538561736457894</v>
      </c>
      <c r="K190">
        <v>0.615413992621284</v>
      </c>
      <c r="L190">
        <v>1386.26765525388</v>
      </c>
      <c r="M190">
        <v>24.6190907993143</v>
      </c>
      <c r="O190">
        <v>55.941081932529</v>
      </c>
      <c r="P190">
        <v>-0.0468302626179665</v>
      </c>
      <c r="Q190">
        <v>0.5743632418647669</v>
      </c>
      <c r="R190">
        <v>0.93362554976421</v>
      </c>
      <c r="S190" t="s">
        <v>1858</v>
      </c>
      <c r="T190" t="s">
        <v>3312</v>
      </c>
      <c r="U190" t="s">
        <v>3312</v>
      </c>
      <c r="V190" t="s">
        <v>3312</v>
      </c>
      <c r="W190" t="s">
        <v>3502</v>
      </c>
      <c r="X190">
        <v>3</v>
      </c>
      <c r="Y190" t="s">
        <v>5141</v>
      </c>
      <c r="Z190" t="s">
        <v>6783</v>
      </c>
      <c r="AA190">
        <v>0.8517552216485861</v>
      </c>
      <c r="AB190">
        <f>HYPERLINK("Melting_Curves/meltCurve_P0A6K3_def.pdf", "Melting_Curves/meltCurve_P0A6K3_def.pdf")</f>
        <v>0</v>
      </c>
    </row>
    <row r="191" spans="1:28">
      <c r="A191" t="s">
        <v>217</v>
      </c>
      <c r="B191">
        <v>0.999984544473304</v>
      </c>
      <c r="C191">
        <v>1.01338160443666</v>
      </c>
      <c r="D191">
        <v>0.957278618878716</v>
      </c>
      <c r="E191">
        <v>1.06905046822167</v>
      </c>
      <c r="F191">
        <v>0.9556415759081029</v>
      </c>
      <c r="G191">
        <v>0.494406377813374</v>
      </c>
      <c r="H191">
        <v>0.32529611688361</v>
      </c>
      <c r="I191">
        <v>0.176352228713937</v>
      </c>
      <c r="J191">
        <v>0.0766466823862193</v>
      </c>
      <c r="K191">
        <v>0.0527311272644952</v>
      </c>
      <c r="L191">
        <v>1354.14893221273</v>
      </c>
      <c r="M191">
        <v>25.0199386479788</v>
      </c>
      <c r="N191">
        <v>54.5221412546184</v>
      </c>
      <c r="O191">
        <v>53.7805967376772</v>
      </c>
      <c r="P191">
        <v>-0.106569389388929</v>
      </c>
      <c r="Q191">
        <v>0.08372461423525381</v>
      </c>
      <c r="R191">
        <v>0.982628547391193</v>
      </c>
      <c r="S191" t="s">
        <v>1859</v>
      </c>
      <c r="T191" t="s">
        <v>3312</v>
      </c>
      <c r="U191" t="s">
        <v>3312</v>
      </c>
      <c r="V191" t="s">
        <v>3312</v>
      </c>
      <c r="W191" t="s">
        <v>3503</v>
      </c>
      <c r="X191">
        <v>12</v>
      </c>
      <c r="Y191" t="s">
        <v>5142</v>
      </c>
      <c r="Z191" t="s">
        <v>6784</v>
      </c>
      <c r="AA191">
        <v>0.6146681524670075</v>
      </c>
      <c r="AB191">
        <f>HYPERLINK("Melting_Curves/meltCurve_P0A6K6_deoB.pdf", "Melting_Curves/meltCurve_P0A6K6_deoB.pdf")</f>
        <v>0</v>
      </c>
    </row>
    <row r="192" spans="1:28">
      <c r="A192" t="s">
        <v>218</v>
      </c>
      <c r="B192">
        <v>0.999984544473304</v>
      </c>
      <c r="C192">
        <v>0.830495156019557</v>
      </c>
      <c r="D192">
        <v>0.999889814642831</v>
      </c>
      <c r="E192">
        <v>0.965083007240286</v>
      </c>
      <c r="F192">
        <v>1.06576008954355</v>
      </c>
      <c r="G192">
        <v>0.881478611201892</v>
      </c>
      <c r="H192">
        <v>0.541488989818076</v>
      </c>
      <c r="I192">
        <v>0.14848709363295</v>
      </c>
      <c r="J192">
        <v>0.0647112472250444</v>
      </c>
      <c r="K192">
        <v>0.0485160939072489</v>
      </c>
      <c r="L192">
        <v>1889.52649295966</v>
      </c>
      <c r="M192">
        <v>32.8648007163158</v>
      </c>
      <c r="N192">
        <v>57.6140910115437</v>
      </c>
      <c r="O192">
        <v>57.2823288774375</v>
      </c>
      <c r="P192">
        <v>-0.138682986172439</v>
      </c>
      <c r="Q192">
        <v>0.0331240922250478</v>
      </c>
      <c r="R192">
        <v>0.97681557242941</v>
      </c>
      <c r="S192" t="s">
        <v>1860</v>
      </c>
      <c r="T192" t="s">
        <v>3312</v>
      </c>
      <c r="U192" t="s">
        <v>3312</v>
      </c>
      <c r="V192" t="s">
        <v>3312</v>
      </c>
      <c r="W192" t="s">
        <v>3504</v>
      </c>
      <c r="X192">
        <v>11</v>
      </c>
      <c r="Y192" t="s">
        <v>5143</v>
      </c>
      <c r="Z192" t="s">
        <v>6785</v>
      </c>
      <c r="AA192">
        <v>0.6985685062512172</v>
      </c>
      <c r="AB192">
        <f>HYPERLINK("Melting_Curves/meltCurve_P0A6L0_deoC.pdf", "Melting_Curves/meltCurve_P0A6L0_deoC.pdf")</f>
        <v>0</v>
      </c>
    </row>
    <row r="193" spans="1:28">
      <c r="A193" t="s">
        <v>219</v>
      </c>
      <c r="B193">
        <v>0.999984544473304</v>
      </c>
      <c r="C193">
        <v>0.988864024554316</v>
      </c>
      <c r="D193">
        <v>1.03100282002565</v>
      </c>
      <c r="E193">
        <v>0.970482515964988</v>
      </c>
      <c r="F193">
        <v>1.11269432123542</v>
      </c>
      <c r="G193">
        <v>1.02800553879504</v>
      </c>
      <c r="H193">
        <v>0.892924870481698</v>
      </c>
      <c r="I193">
        <v>0.523532829478487</v>
      </c>
      <c r="J193">
        <v>0.16691323398093</v>
      </c>
      <c r="K193">
        <v>0.042712585259408</v>
      </c>
      <c r="L193">
        <v>2124.25163397827</v>
      </c>
      <c r="M193">
        <v>34.7442964961682</v>
      </c>
      <c r="N193">
        <v>61.1395782423339</v>
      </c>
      <c r="O193">
        <v>60.9381115563623</v>
      </c>
      <c r="P193">
        <v>-0.142539814851652</v>
      </c>
      <c r="Q193">
        <v>0</v>
      </c>
      <c r="R193">
        <v>0.988022620831691</v>
      </c>
      <c r="S193" t="s">
        <v>1861</v>
      </c>
      <c r="T193" t="s">
        <v>3312</v>
      </c>
      <c r="U193" t="s">
        <v>3312</v>
      </c>
      <c r="V193" t="s">
        <v>3312</v>
      </c>
      <c r="W193" t="s">
        <v>3505</v>
      </c>
      <c r="X193">
        <v>7</v>
      </c>
      <c r="Y193" t="s">
        <v>5144</v>
      </c>
      <c r="Z193" t="s">
        <v>6786</v>
      </c>
      <c r="AA193">
        <v>0.8067442249851304</v>
      </c>
      <c r="AB193">
        <f>HYPERLINK("Melting_Curves/meltCurve_P0A6L2_dapA.pdf", "Melting_Curves/meltCurve_P0A6L2_dapA.pdf")</f>
        <v>0</v>
      </c>
    </row>
    <row r="194" spans="1:28">
      <c r="A194" t="s">
        <v>220</v>
      </c>
      <c r="B194">
        <v>0.999984544473304</v>
      </c>
      <c r="C194">
        <v>1.01193512838305</v>
      </c>
      <c r="D194">
        <v>0.9863719250931769</v>
      </c>
      <c r="E194">
        <v>0.933041027372101</v>
      </c>
      <c r="F194">
        <v>0.705095481676722</v>
      </c>
      <c r="G194">
        <v>0.161036810796826</v>
      </c>
      <c r="H194">
        <v>0.08427222443521359</v>
      </c>
      <c r="I194">
        <v>0.06850314335497849</v>
      </c>
      <c r="J194">
        <v>0.0484097674238156</v>
      </c>
      <c r="K194">
        <v>0.0491478816991562</v>
      </c>
      <c r="L194">
        <v>2004.6200517166</v>
      </c>
      <c r="M194">
        <v>39.1963145013612</v>
      </c>
      <c r="N194">
        <v>51.2992965636182</v>
      </c>
      <c r="O194">
        <v>51.0104943745629</v>
      </c>
      <c r="P194">
        <v>-0.18129264642359</v>
      </c>
      <c r="Q194">
        <v>0.0562575046769284</v>
      </c>
      <c r="R194">
        <v>0.9982403913732411</v>
      </c>
      <c r="S194" t="s">
        <v>1862</v>
      </c>
      <c r="T194" t="s">
        <v>3312</v>
      </c>
      <c r="U194" t="s">
        <v>3312</v>
      </c>
      <c r="V194" t="s">
        <v>3312</v>
      </c>
      <c r="W194" t="s">
        <v>3506</v>
      </c>
      <c r="X194">
        <v>5</v>
      </c>
      <c r="Y194" t="s">
        <v>5145</v>
      </c>
      <c r="Z194" t="s">
        <v>6787</v>
      </c>
      <c r="AA194">
        <v>0.5046412366640927</v>
      </c>
      <c r="AB194">
        <f>HYPERLINK("Melting_Curves/meltCurve_P0A6L7_uxaB.pdf", "Melting_Curves/meltCurve_P0A6L7_uxaB.pdf")</f>
        <v>0</v>
      </c>
    </row>
    <row r="195" spans="1:28">
      <c r="A195" t="s">
        <v>221</v>
      </c>
      <c r="B195">
        <v>0.999984544473304</v>
      </c>
      <c r="C195">
        <v>0.91201480832079</v>
      </c>
      <c r="D195">
        <v>1.11854393903557</v>
      </c>
      <c r="E195">
        <v>1.18827579005791</v>
      </c>
      <c r="F195">
        <v>1.17550204284647</v>
      </c>
      <c r="G195">
        <v>1.00109707747154</v>
      </c>
      <c r="H195">
        <v>0.761130755629304</v>
      </c>
      <c r="I195">
        <v>0.554099523281116</v>
      </c>
      <c r="J195">
        <v>0.279738251528915</v>
      </c>
      <c r="K195">
        <v>0.398846270178461</v>
      </c>
      <c r="L195">
        <v>1924.17368766416</v>
      </c>
      <c r="M195">
        <v>32.6748666025967</v>
      </c>
      <c r="N195">
        <v>60.9157297660998</v>
      </c>
      <c r="O195">
        <v>58.6692329897561</v>
      </c>
      <c r="P195">
        <v>-0.0930843998043682</v>
      </c>
      <c r="Q195">
        <v>0.331453736243022</v>
      </c>
      <c r="R195">
        <v>0.889102527099309</v>
      </c>
      <c r="S195" t="s">
        <v>1863</v>
      </c>
      <c r="T195" t="s">
        <v>3312</v>
      </c>
      <c r="U195" t="s">
        <v>3312</v>
      </c>
      <c r="V195" t="s">
        <v>3312</v>
      </c>
      <c r="W195" t="s">
        <v>3507</v>
      </c>
      <c r="X195">
        <v>2</v>
      </c>
      <c r="Y195" t="s">
        <v>5146</v>
      </c>
      <c r="Z195" t="s">
        <v>6788</v>
      </c>
      <c r="AA195">
        <v>0.8222706489398567</v>
      </c>
      <c r="AB195">
        <f>HYPERLINK("Melting_Curves/meltCurve_P0A6L9_hscB.pdf", "Melting_Curves/meltCurve_P0A6L9_hscB.pdf")</f>
        <v>0</v>
      </c>
    </row>
    <row r="196" spans="1:28">
      <c r="A196" t="s">
        <v>222</v>
      </c>
      <c r="B196">
        <v>0.999984544473304</v>
      </c>
      <c r="C196">
        <v>0.995423796105135</v>
      </c>
      <c r="D196">
        <v>1.33277837915132</v>
      </c>
      <c r="E196">
        <v>1.00204784484073</v>
      </c>
      <c r="F196">
        <v>0.568027197982217</v>
      </c>
      <c r="G196">
        <v>0.25097478501077</v>
      </c>
      <c r="H196">
        <v>0.08438789160193561</v>
      </c>
      <c r="I196">
        <v>0.0713164361762731</v>
      </c>
      <c r="J196">
        <v>0.0597742459154504</v>
      </c>
      <c r="K196">
        <v>0.0476270382607262</v>
      </c>
      <c r="L196">
        <v>1611.26301646514</v>
      </c>
      <c r="M196">
        <v>31.7630090451153</v>
      </c>
      <c r="N196">
        <v>50.9574521138936</v>
      </c>
      <c r="O196">
        <v>50.5278577485953</v>
      </c>
      <c r="P196">
        <v>-0.146670204265821</v>
      </c>
      <c r="Q196">
        <v>0.0667267069067049</v>
      </c>
      <c r="R196">
        <v>0.946129013141997</v>
      </c>
      <c r="S196" t="s">
        <v>1864</v>
      </c>
      <c r="T196" t="s">
        <v>3312</v>
      </c>
      <c r="U196" t="s">
        <v>3312</v>
      </c>
      <c r="V196" t="s">
        <v>3312</v>
      </c>
      <c r="W196" t="s">
        <v>3508</v>
      </c>
      <c r="X196">
        <v>2</v>
      </c>
      <c r="Y196" t="s">
        <v>5147</v>
      </c>
      <c r="Z196" t="s">
        <v>6789</v>
      </c>
      <c r="AA196">
        <v>0.4989584598617635</v>
      </c>
      <c r="AB196">
        <f>HYPERLINK("Melting_Curves/meltCurve_P0A6M4_dtd.pdf", "Melting_Curves/meltCurve_P0A6M4_dtd.pdf")</f>
        <v>0</v>
      </c>
    </row>
    <row r="197" spans="1:28">
      <c r="A197" t="s">
        <v>223</v>
      </c>
      <c r="B197">
        <v>0.999984544473304</v>
      </c>
      <c r="C197">
        <v>1.30335507846215</v>
      </c>
      <c r="D197">
        <v>1.02183221880426</v>
      </c>
      <c r="E197">
        <v>1.46936315081437</v>
      </c>
      <c r="F197">
        <v>1.05530490478801</v>
      </c>
      <c r="G197">
        <v>0.9258404994191241</v>
      </c>
      <c r="H197">
        <v>0.734496193272608</v>
      </c>
      <c r="I197">
        <v>0.203729075289729</v>
      </c>
      <c r="J197">
        <v>0.0402683733933075</v>
      </c>
      <c r="K197">
        <v>0.0283975407266308</v>
      </c>
      <c r="L197">
        <v>2264.25450885706</v>
      </c>
      <c r="M197">
        <v>38.4966337085728</v>
      </c>
      <c r="N197">
        <v>58.8448697702064</v>
      </c>
      <c r="O197">
        <v>58.658901223862</v>
      </c>
      <c r="P197">
        <v>-0.162585361594718</v>
      </c>
      <c r="Q197">
        <v>0.009050325126133961</v>
      </c>
      <c r="R197">
        <v>0.8671973691629</v>
      </c>
      <c r="S197" t="s">
        <v>1865</v>
      </c>
      <c r="T197" t="s">
        <v>3312</v>
      </c>
      <c r="U197" t="s">
        <v>3312</v>
      </c>
      <c r="V197" t="s">
        <v>3312</v>
      </c>
      <c r="W197" t="s">
        <v>3509</v>
      </c>
      <c r="X197">
        <v>24</v>
      </c>
      <c r="Y197" t="s">
        <v>5148</v>
      </c>
      <c r="Z197" t="s">
        <v>6790</v>
      </c>
      <c r="AA197">
        <v>0.7334236681876535</v>
      </c>
      <c r="AB197">
        <f>HYPERLINK("Melting_Curves/meltCurve_P0A6M8_fusA.pdf", "Melting_Curves/meltCurve_P0A6M8_fusA.pdf")</f>
        <v>0</v>
      </c>
    </row>
    <row r="198" spans="1:28">
      <c r="A198" t="s">
        <v>224</v>
      </c>
      <c r="B198">
        <v>0.999984544473304</v>
      </c>
      <c r="C198">
        <v>0.839292107801514</v>
      </c>
      <c r="D198">
        <v>0.995757681337003</v>
      </c>
      <c r="E198">
        <v>0.945698668122245</v>
      </c>
      <c r="F198">
        <v>0.879445749423167</v>
      </c>
      <c r="G198">
        <v>0.721447253759015</v>
      </c>
      <c r="H198">
        <v>0.6310623795172901</v>
      </c>
      <c r="I198">
        <v>0.526584140465892</v>
      </c>
      <c r="J198">
        <v>0.380075515310673</v>
      </c>
      <c r="K198">
        <v>0.341184682307758</v>
      </c>
      <c r="L198">
        <v>491.381105750406</v>
      </c>
      <c r="M198">
        <v>8.03636557587909</v>
      </c>
      <c r="N198">
        <v>61.1446893575672</v>
      </c>
      <c r="O198">
        <v>57.7073211140391</v>
      </c>
      <c r="P198">
        <v>-0.0348539089763922</v>
      </c>
      <c r="Q198">
        <v>0</v>
      </c>
      <c r="R198">
        <v>0.952977014556895</v>
      </c>
      <c r="S198" t="s">
        <v>1866</v>
      </c>
      <c r="T198" t="s">
        <v>3312</v>
      </c>
      <c r="U198" t="s">
        <v>3312</v>
      </c>
      <c r="V198" t="s">
        <v>3312</v>
      </c>
      <c r="W198" t="s">
        <v>3510</v>
      </c>
      <c r="X198">
        <v>3</v>
      </c>
      <c r="Y198" t="s">
        <v>5149</v>
      </c>
      <c r="Z198" t="s">
        <v>6791</v>
      </c>
      <c r="AA198">
        <v>0.7473752507813202</v>
      </c>
      <c r="AB198">
        <f>HYPERLINK("Melting_Curves/meltCurve_P0A6N4_efp.pdf", "Melting_Curves/meltCurve_P0A6N4_efp.pdf")</f>
        <v>0</v>
      </c>
    </row>
    <row r="199" spans="1:28">
      <c r="A199" t="s">
        <v>225</v>
      </c>
      <c r="B199">
        <v>0.999984544473304</v>
      </c>
      <c r="C199">
        <v>0.815753654249961</v>
      </c>
      <c r="D199">
        <v>1.0832090440105</v>
      </c>
      <c r="E199">
        <v>0.947841159291701</v>
      </c>
      <c r="F199">
        <v>0.796119086263321</v>
      </c>
      <c r="G199">
        <v>0.275594634463571</v>
      </c>
      <c r="H199">
        <v>0.0596019985271272</v>
      </c>
      <c r="I199">
        <v>0.0294167064638221</v>
      </c>
      <c r="J199">
        <v>0.0192725155711737</v>
      </c>
      <c r="K199">
        <v>0.020953581309945</v>
      </c>
      <c r="L199">
        <v>1745.54652405432</v>
      </c>
      <c r="M199">
        <v>33.471244768792</v>
      </c>
      <c r="N199">
        <v>52.2099830370557</v>
      </c>
      <c r="O199">
        <v>51.9655384141036</v>
      </c>
      <c r="P199">
        <v>-0.15802084006913</v>
      </c>
      <c r="Q199">
        <v>0.0186678021193279</v>
      </c>
      <c r="R199">
        <v>0.977821963330739</v>
      </c>
      <c r="S199" t="s">
        <v>1867</v>
      </c>
      <c r="T199" t="s">
        <v>3312</v>
      </c>
      <c r="U199" t="s">
        <v>3312</v>
      </c>
      <c r="V199" t="s">
        <v>3312</v>
      </c>
      <c r="W199" t="s">
        <v>3511</v>
      </c>
      <c r="X199">
        <v>5</v>
      </c>
      <c r="Y199" t="s">
        <v>5150</v>
      </c>
      <c r="Z199" t="s">
        <v>6792</v>
      </c>
      <c r="AA199">
        <v>0.5192793797790459</v>
      </c>
      <c r="AB199">
        <f>HYPERLINK("Melting_Curves/meltCurve_P0A6N8_yeiP.pdf", "Melting_Curves/meltCurve_P0A6N8_yeiP.pdf")</f>
        <v>0</v>
      </c>
    </row>
    <row r="200" spans="1:28">
      <c r="A200" t="s">
        <v>226</v>
      </c>
      <c r="B200">
        <v>0.999984544473304</v>
      </c>
      <c r="C200">
        <v>0.781391542991539</v>
      </c>
      <c r="D200">
        <v>1.00501278936043</v>
      </c>
      <c r="E200">
        <v>0.902874305713918</v>
      </c>
      <c r="F200">
        <v>1.19039585155115</v>
      </c>
      <c r="G200">
        <v>1.02080387015578</v>
      </c>
      <c r="H200">
        <v>1.17064969445849</v>
      </c>
      <c r="I200">
        <v>1.08789414921222</v>
      </c>
      <c r="J200">
        <v>1.01445175022538</v>
      </c>
      <c r="K200">
        <v>0.780314666411055</v>
      </c>
      <c r="L200">
        <v>15000</v>
      </c>
      <c r="M200">
        <v>222.613090447962</v>
      </c>
      <c r="Q200">
        <v>0</v>
      </c>
      <c r="R200">
        <v>0.268369921761748</v>
      </c>
      <c r="S200" t="s">
        <v>1868</v>
      </c>
      <c r="T200" t="s">
        <v>3312</v>
      </c>
      <c r="U200" t="s">
        <v>3312</v>
      </c>
      <c r="V200" t="s">
        <v>3312</v>
      </c>
      <c r="W200" t="s">
        <v>3512</v>
      </c>
      <c r="X200">
        <v>18</v>
      </c>
      <c r="Y200" t="s">
        <v>5151</v>
      </c>
      <c r="Z200" t="s">
        <v>6793</v>
      </c>
      <c r="AA200">
        <v>0.9975486902661999</v>
      </c>
      <c r="AB200">
        <f>HYPERLINK("Melting_Curves/meltCurve_P0A6P1_tsf.pdf", "Melting_Curves/meltCurve_P0A6P1_tsf.pdf")</f>
        <v>0</v>
      </c>
    </row>
    <row r="201" spans="1:28">
      <c r="A201" t="s">
        <v>227</v>
      </c>
      <c r="B201">
        <v>0.999984544473304</v>
      </c>
      <c r="C201">
        <v>0.656792458765405</v>
      </c>
      <c r="D201">
        <v>0.196063871416232</v>
      </c>
      <c r="E201">
        <v>0.101565490313282</v>
      </c>
      <c r="F201">
        <v>0.09495108359832589</v>
      </c>
      <c r="G201">
        <v>0.0598218840859121</v>
      </c>
      <c r="H201">
        <v>0.0608886715579685</v>
      </c>
      <c r="I201">
        <v>0.0444042760046342</v>
      </c>
      <c r="J201">
        <v>0.0420317880118287</v>
      </c>
      <c r="K201">
        <v>0.0411896700714481</v>
      </c>
      <c r="L201">
        <v>1340.13571141814</v>
      </c>
      <c r="M201">
        <v>32.9911060372767</v>
      </c>
      <c r="N201">
        <v>40.7833483347317</v>
      </c>
      <c r="O201">
        <v>40.4727512435642</v>
      </c>
      <c r="P201">
        <v>-0.191255510429837</v>
      </c>
      <c r="Q201">
        <v>0.0614924355903525</v>
      </c>
      <c r="R201">
        <v>0.995689824819232</v>
      </c>
      <c r="S201" t="s">
        <v>1869</v>
      </c>
      <c r="T201" t="s">
        <v>3312</v>
      </c>
      <c r="U201" t="s">
        <v>3312</v>
      </c>
      <c r="V201" t="s">
        <v>3312</v>
      </c>
      <c r="W201" t="s">
        <v>3513</v>
      </c>
      <c r="X201">
        <v>5</v>
      </c>
      <c r="Y201" t="s">
        <v>5152</v>
      </c>
      <c r="Z201" t="s">
        <v>6794</v>
      </c>
      <c r="AA201">
        <v>0.1798424032787768</v>
      </c>
      <c r="AB201">
        <f>HYPERLINK("Melting_Curves/meltCurve_P0A6P5_der.pdf", "Melting_Curves/meltCurve_P0A6P5_der.pdf")</f>
        <v>0</v>
      </c>
    </row>
    <row r="202" spans="1:28">
      <c r="A202" t="s">
        <v>228</v>
      </c>
      <c r="B202">
        <v>0.999984544473304</v>
      </c>
      <c r="C202">
        <v>0.804289345339633</v>
      </c>
      <c r="D202">
        <v>0.585822892824617</v>
      </c>
      <c r="E202">
        <v>0.260274782455211</v>
      </c>
      <c r="F202">
        <v>0.116162689627645</v>
      </c>
      <c r="G202">
        <v>0.0546208247235136</v>
      </c>
      <c r="H202">
        <v>0.033351602611858</v>
      </c>
      <c r="I202">
        <v>0.0210232373158</v>
      </c>
      <c r="J202">
        <v>0.0185663406614594</v>
      </c>
      <c r="K202">
        <v>0.0170155933049042</v>
      </c>
      <c r="L202">
        <v>743.179090926479</v>
      </c>
      <c r="M202">
        <v>17.0188076552358</v>
      </c>
      <c r="N202">
        <v>43.7478194504365</v>
      </c>
      <c r="O202">
        <v>43.0785685998731</v>
      </c>
      <c r="P202">
        <v>-0.0972642115831613</v>
      </c>
      <c r="Q202">
        <v>0.0152672159875501</v>
      </c>
      <c r="R202">
        <v>0.997442668316728</v>
      </c>
      <c r="S202" t="s">
        <v>1870</v>
      </c>
      <c r="T202" t="s">
        <v>3312</v>
      </c>
      <c r="U202" t="s">
        <v>3312</v>
      </c>
      <c r="V202" t="s">
        <v>3312</v>
      </c>
      <c r="W202" t="s">
        <v>3514</v>
      </c>
      <c r="X202">
        <v>6</v>
      </c>
      <c r="Y202" t="s">
        <v>5153</v>
      </c>
      <c r="Z202" t="s">
        <v>6795</v>
      </c>
      <c r="AA202">
        <v>0.2531517061400007</v>
      </c>
      <c r="AB202">
        <f>HYPERLINK("Melting_Curves/meltCurve_P0A6P7_engB.pdf", "Melting_Curves/meltCurve_P0A6P7_engB.pdf")</f>
        <v>0</v>
      </c>
    </row>
    <row r="203" spans="1:28">
      <c r="A203" t="s">
        <v>229</v>
      </c>
      <c r="B203">
        <v>0.999984544473304</v>
      </c>
      <c r="C203">
        <v>0.961949362356836</v>
      </c>
      <c r="D203">
        <v>1.12794363602753</v>
      </c>
      <c r="E203">
        <v>1.11568319687673</v>
      </c>
      <c r="F203">
        <v>1.40492255316229</v>
      </c>
      <c r="G203">
        <v>1.12940526781574</v>
      </c>
      <c r="H203">
        <v>1.28999946044833</v>
      </c>
      <c r="I203">
        <v>1.0835253953695</v>
      </c>
      <c r="J203">
        <v>0.978608631612357</v>
      </c>
      <c r="K203">
        <v>0.765209485539188</v>
      </c>
      <c r="L203">
        <v>15000</v>
      </c>
      <c r="M203">
        <v>231.708709710489</v>
      </c>
      <c r="O203">
        <v>64.7316246284423</v>
      </c>
      <c r="P203">
        <v>-0.210193536389276</v>
      </c>
      <c r="Q203">
        <v>0.765115945226605</v>
      </c>
      <c r="R203">
        <v>-0.0627901040761019</v>
      </c>
      <c r="S203" t="s">
        <v>1871</v>
      </c>
      <c r="T203" t="s">
        <v>3312</v>
      </c>
      <c r="U203" t="s">
        <v>3312</v>
      </c>
      <c r="V203" t="s">
        <v>3312</v>
      </c>
      <c r="W203" t="s">
        <v>3515</v>
      </c>
      <c r="X203">
        <v>16</v>
      </c>
      <c r="Y203" t="s">
        <v>5154</v>
      </c>
      <c r="Z203" t="s">
        <v>6796</v>
      </c>
      <c r="AA203">
        <v>0.9823077546232947</v>
      </c>
      <c r="AB203">
        <f>HYPERLINK("Melting_Curves/meltCurve_P0A6P9_eno.pdf", "Melting_Curves/meltCurve_P0A6P9_eno.pdf")</f>
        <v>0</v>
      </c>
    </row>
    <row r="204" spans="1:28">
      <c r="A204" t="s">
        <v>230</v>
      </c>
      <c r="B204">
        <v>0.999984544473304</v>
      </c>
      <c r="C204">
        <v>0.9398252861619329</v>
      </c>
      <c r="D204">
        <v>1.37284577353998</v>
      </c>
      <c r="E204">
        <v>1.13165469286735</v>
      </c>
      <c r="F204">
        <v>1.47454283858429</v>
      </c>
      <c r="G204">
        <v>1.2561655326301</v>
      </c>
      <c r="H204">
        <v>1.21543124631997</v>
      </c>
      <c r="I204">
        <v>1.08196307668806</v>
      </c>
      <c r="J204">
        <v>0.634815039978579</v>
      </c>
      <c r="K204">
        <v>0.2416796016021</v>
      </c>
      <c r="L204">
        <v>15000</v>
      </c>
      <c r="M204">
        <v>233.935515016415</v>
      </c>
      <c r="N204">
        <v>64.3017251844953</v>
      </c>
      <c r="O204">
        <v>64.1155445930882</v>
      </c>
      <c r="P204">
        <v>-0.69174254679781</v>
      </c>
      <c r="Q204">
        <v>0.241646529248165</v>
      </c>
      <c r="R204">
        <v>0.580126386282132</v>
      </c>
      <c r="S204" t="s">
        <v>1872</v>
      </c>
      <c r="T204" t="s">
        <v>3312</v>
      </c>
      <c r="U204" t="s">
        <v>3312</v>
      </c>
      <c r="V204" t="s">
        <v>3312</v>
      </c>
      <c r="W204" t="s">
        <v>3516</v>
      </c>
      <c r="X204">
        <v>10</v>
      </c>
      <c r="Y204" t="s">
        <v>5155</v>
      </c>
      <c r="Z204" t="s">
        <v>6797</v>
      </c>
      <c r="AA204">
        <v>0.9273011212104212</v>
      </c>
      <c r="AB204">
        <f>HYPERLINK("Melting_Curves/meltCurve_P0A6Q3_fabA.pdf", "Melting_Curves/meltCurve_P0A6Q3_fabA.pdf")</f>
        <v>0</v>
      </c>
    </row>
    <row r="205" spans="1:28">
      <c r="A205" t="s">
        <v>231</v>
      </c>
      <c r="B205">
        <v>0.999984544473304</v>
      </c>
      <c r="C205">
        <v>0.8961404228583</v>
      </c>
      <c r="D205">
        <v>1.40080206762348</v>
      </c>
      <c r="E205">
        <v>1.02449528381579</v>
      </c>
      <c r="F205">
        <v>1.33480714640088</v>
      </c>
      <c r="G205">
        <v>1.31636067137507</v>
      </c>
      <c r="H205">
        <v>1.55146676016943</v>
      </c>
      <c r="I205">
        <v>1.2019819112356</v>
      </c>
      <c r="J205">
        <v>1.10424968859049</v>
      </c>
      <c r="K205">
        <v>0.61826370777885</v>
      </c>
      <c r="L205">
        <v>15000</v>
      </c>
      <c r="M205">
        <v>223.398365841169</v>
      </c>
      <c r="Q205">
        <v>0</v>
      </c>
      <c r="R205">
        <v>-0.09485817531813211</v>
      </c>
      <c r="S205" t="s">
        <v>1873</v>
      </c>
      <c r="T205" t="s">
        <v>3312</v>
      </c>
      <c r="U205" t="s">
        <v>3312</v>
      </c>
      <c r="V205" t="s">
        <v>3312</v>
      </c>
      <c r="W205" t="s">
        <v>3517</v>
      </c>
      <c r="X205">
        <v>5</v>
      </c>
      <c r="Y205" t="s">
        <v>5156</v>
      </c>
      <c r="Z205" t="s">
        <v>6798</v>
      </c>
      <c r="AA205">
        <v>0.9952511249182654</v>
      </c>
      <c r="AB205">
        <f>HYPERLINK("Melting_Curves/meltCurve_P0A6Q6_fabZ.pdf", "Melting_Curves/meltCurve_P0A6Q6_fabZ.pdf")</f>
        <v>0</v>
      </c>
    </row>
    <row r="206" spans="1:28">
      <c r="A206" t="s">
        <v>232</v>
      </c>
      <c r="B206">
        <v>0.999984544473304</v>
      </c>
      <c r="C206">
        <v>0.937286668491579</v>
      </c>
      <c r="D206">
        <v>0.876044207785304</v>
      </c>
      <c r="E206">
        <v>0.755445420121079</v>
      </c>
      <c r="F206">
        <v>0.281590157176343</v>
      </c>
      <c r="G206">
        <v>0.0923486311315402</v>
      </c>
      <c r="H206">
        <v>0.0658886862383575</v>
      </c>
      <c r="I206">
        <v>0.0544851923829167</v>
      </c>
      <c r="J206">
        <v>0.0314421869875788</v>
      </c>
      <c r="K206">
        <v>0.0291051934828912</v>
      </c>
      <c r="L206">
        <v>1182.25823487629</v>
      </c>
      <c r="M206">
        <v>24.5031894757971</v>
      </c>
      <c r="N206">
        <v>48.3860254713222</v>
      </c>
      <c r="O206">
        <v>47.9312378247949</v>
      </c>
      <c r="P206">
        <v>-0.123526692081924</v>
      </c>
      <c r="Q206">
        <v>0.0334807585474585</v>
      </c>
      <c r="R206">
        <v>0.992521560381778</v>
      </c>
      <c r="S206" t="s">
        <v>1874</v>
      </c>
      <c r="T206" t="s">
        <v>3312</v>
      </c>
      <c r="U206" t="s">
        <v>3312</v>
      </c>
      <c r="V206" t="s">
        <v>3312</v>
      </c>
      <c r="W206" t="s">
        <v>3518</v>
      </c>
      <c r="X206">
        <v>8</v>
      </c>
      <c r="Y206" t="s">
        <v>5157</v>
      </c>
      <c r="Z206" t="s">
        <v>6799</v>
      </c>
      <c r="AA206">
        <v>0.404497193944373</v>
      </c>
      <c r="AB206">
        <f>HYPERLINK("Melting_Curves/meltCurve_P0A6R0_fabH.pdf", "Melting_Curves/meltCurve_P0A6R0_fabH.pdf")</f>
        <v>0</v>
      </c>
    </row>
    <row r="207" spans="1:28">
      <c r="A207" t="s">
        <v>233</v>
      </c>
      <c r="B207">
        <v>0.999984544473304</v>
      </c>
      <c r="C207">
        <v>0.815616849268641</v>
      </c>
      <c r="D207">
        <v>1.00090490003928</v>
      </c>
      <c r="E207">
        <v>1.00493812141185</v>
      </c>
      <c r="F207">
        <v>0.973568285621062</v>
      </c>
      <c r="G207">
        <v>0.769213227933519</v>
      </c>
      <c r="H207">
        <v>0.548045097039376</v>
      </c>
      <c r="I207">
        <v>0.415415157990037</v>
      </c>
      <c r="J207">
        <v>0.306303605374722</v>
      </c>
      <c r="K207">
        <v>0.30890064328815</v>
      </c>
      <c r="L207">
        <v>1201.90916168064</v>
      </c>
      <c r="M207">
        <v>21.4742057207086</v>
      </c>
      <c r="N207">
        <v>58.2636538901563</v>
      </c>
      <c r="O207">
        <v>55.4913143581764</v>
      </c>
      <c r="P207">
        <v>-0.06914516285920271</v>
      </c>
      <c r="Q207">
        <v>0.285307822136914</v>
      </c>
      <c r="R207">
        <v>0.952840116617844</v>
      </c>
      <c r="S207" t="s">
        <v>1875</v>
      </c>
      <c r="T207" t="s">
        <v>3312</v>
      </c>
      <c r="U207" t="s">
        <v>3312</v>
      </c>
      <c r="V207" t="s">
        <v>3312</v>
      </c>
      <c r="W207" t="s">
        <v>3519</v>
      </c>
      <c r="X207">
        <v>7</v>
      </c>
      <c r="Y207" t="s">
        <v>5158</v>
      </c>
      <c r="Z207" t="s">
        <v>6800</v>
      </c>
      <c r="AA207">
        <v>0.7441419773051577</v>
      </c>
      <c r="AB207">
        <f>HYPERLINK("Melting_Curves/meltCurve_P0A6S0_flgH.pdf", "Melting_Curves/meltCurve_P0A6S0_flgH.pdf")</f>
        <v>0</v>
      </c>
    </row>
    <row r="208" spans="1:28">
      <c r="A208" t="s">
        <v>234</v>
      </c>
      <c r="B208">
        <v>0.999984544473304</v>
      </c>
      <c r="C208">
        <v>0.883295507186223</v>
      </c>
      <c r="D208">
        <v>0.879153729568263</v>
      </c>
      <c r="E208">
        <v>0.764324494266359</v>
      </c>
      <c r="F208">
        <v>0.369082619759868</v>
      </c>
      <c r="G208">
        <v>0.07725143321395191</v>
      </c>
      <c r="H208">
        <v>0.0282631413608125</v>
      </c>
      <c r="I208">
        <v>0.0189195849585387</v>
      </c>
      <c r="J208">
        <v>0.0123452479387231</v>
      </c>
      <c r="K208">
        <v>0.00768011551511132</v>
      </c>
      <c r="L208">
        <v>1044.14773821878</v>
      </c>
      <c r="M208">
        <v>21.394879801949</v>
      </c>
      <c r="N208">
        <v>48.8036273471499</v>
      </c>
      <c r="O208">
        <v>48.3832611771261</v>
      </c>
      <c r="P208">
        <v>-0.110551728938418</v>
      </c>
      <c r="Q208">
        <v>0</v>
      </c>
      <c r="R208">
        <v>0.988111069854957</v>
      </c>
      <c r="S208" t="s">
        <v>1876</v>
      </c>
      <c r="T208" t="s">
        <v>3312</v>
      </c>
      <c r="U208" t="s">
        <v>3312</v>
      </c>
      <c r="V208" t="s">
        <v>3312</v>
      </c>
      <c r="W208" t="s">
        <v>3520</v>
      </c>
      <c r="X208">
        <v>3</v>
      </c>
      <c r="Y208" t="s">
        <v>5159</v>
      </c>
      <c r="Z208" t="s">
        <v>6801</v>
      </c>
      <c r="AA208">
        <v>0.4050729223341081</v>
      </c>
      <c r="AB208">
        <f>HYPERLINK("Melting_Curves/meltCurve_P0A6S7_gpsA.pdf", "Melting_Curves/meltCurve_P0A6S7_gpsA.pdf")</f>
        <v>0</v>
      </c>
    </row>
    <row r="209" spans="1:28">
      <c r="A209" t="s">
        <v>235</v>
      </c>
      <c r="B209">
        <v>0.999984544473304</v>
      </c>
      <c r="C209">
        <v>1.28705166897795</v>
      </c>
      <c r="D209">
        <v>1.13069627738621</v>
      </c>
      <c r="E209">
        <v>1.01029788188228</v>
      </c>
      <c r="F209">
        <v>0.973283829001711</v>
      </c>
      <c r="G209">
        <v>0.99350152505161</v>
      </c>
      <c r="H209">
        <v>0.426871099202069</v>
      </c>
      <c r="I209">
        <v>0.0416251453562028</v>
      </c>
      <c r="J209">
        <v>0.0205402291940535</v>
      </c>
      <c r="K209">
        <v>0.0167857321311243</v>
      </c>
      <c r="L209">
        <v>3998.32591101813</v>
      </c>
      <c r="M209">
        <v>70.0024506009982</v>
      </c>
      <c r="N209">
        <v>57.154135611256</v>
      </c>
      <c r="O209">
        <v>57.0703649231593</v>
      </c>
      <c r="P209">
        <v>-0.299821815016984</v>
      </c>
      <c r="Q209">
        <v>0.0222661216416573</v>
      </c>
      <c r="R209">
        <v>0.95657141078059</v>
      </c>
      <c r="S209" t="s">
        <v>1877</v>
      </c>
      <c r="T209" t="s">
        <v>3312</v>
      </c>
      <c r="U209" t="s">
        <v>3312</v>
      </c>
      <c r="V209" t="s">
        <v>3312</v>
      </c>
      <c r="W209" t="s">
        <v>3521</v>
      </c>
      <c r="X209">
        <v>8</v>
      </c>
      <c r="Y209" t="s">
        <v>5160</v>
      </c>
      <c r="Z209" t="s">
        <v>6802</v>
      </c>
      <c r="AA209">
        <v>0.6791520147019932</v>
      </c>
      <c r="AB209">
        <f>HYPERLINK("Melting_Curves/meltCurve_P0A6T1_pgi.pdf", "Melting_Curves/meltCurve_P0A6T1_pgi.pdf")</f>
        <v>0</v>
      </c>
    </row>
    <row r="210" spans="1:28">
      <c r="A210" t="s">
        <v>236</v>
      </c>
      <c r="B210">
        <v>0.999984544473304</v>
      </c>
      <c r="C210">
        <v>0.928414230973684</v>
      </c>
      <c r="D210">
        <v>0.9786857724444989</v>
      </c>
      <c r="E210">
        <v>0.8086514948556111</v>
      </c>
      <c r="F210">
        <v>0.605463930569352</v>
      </c>
      <c r="G210">
        <v>0.316481404399632</v>
      </c>
      <c r="H210">
        <v>0.200603316397561</v>
      </c>
      <c r="I210">
        <v>0.114496398049645</v>
      </c>
      <c r="J210">
        <v>0.08371572117830629</v>
      </c>
      <c r="K210">
        <v>0.0785413487914087</v>
      </c>
      <c r="L210">
        <v>810.3104282063071</v>
      </c>
      <c r="M210">
        <v>15.9005263487725</v>
      </c>
      <c r="N210">
        <v>51.3217331888438</v>
      </c>
      <c r="O210">
        <v>50.1756013694889</v>
      </c>
      <c r="P210">
        <v>-0.0750443718721336</v>
      </c>
      <c r="Q210">
        <v>0.0528378787469748</v>
      </c>
      <c r="R210">
        <v>0.995856912438744</v>
      </c>
      <c r="S210" t="s">
        <v>1878</v>
      </c>
      <c r="T210" t="s">
        <v>3312</v>
      </c>
      <c r="U210" t="s">
        <v>3312</v>
      </c>
      <c r="V210" t="s">
        <v>3312</v>
      </c>
      <c r="W210" t="s">
        <v>3522</v>
      </c>
      <c r="X210">
        <v>6</v>
      </c>
      <c r="Y210" t="s">
        <v>5161</v>
      </c>
      <c r="Z210" t="s">
        <v>6803</v>
      </c>
      <c r="AA210">
        <v>0.5112722775735273</v>
      </c>
      <c r="AB210">
        <f>HYPERLINK("Melting_Curves/meltCurve_P0A6T3_galK.pdf", "Melting_Curves/meltCurve_P0A6T3_galK.pdf")</f>
        <v>0</v>
      </c>
    </row>
    <row r="211" spans="1:28">
      <c r="A211" t="s">
        <v>237</v>
      </c>
      <c r="B211">
        <v>0.999984544473304</v>
      </c>
      <c r="C211">
        <v>0.91107746454598</v>
      </c>
      <c r="D211">
        <v>1.26143479708907</v>
      </c>
      <c r="E211">
        <v>1.09888735208714</v>
      </c>
      <c r="F211">
        <v>0.989382957883345</v>
      </c>
      <c r="G211">
        <v>1.14491171112868</v>
      </c>
      <c r="H211">
        <v>0.710151287572905</v>
      </c>
      <c r="I211">
        <v>0.706944782654819</v>
      </c>
      <c r="J211">
        <v>0.582888021684388</v>
      </c>
      <c r="K211">
        <v>0.530891004446264</v>
      </c>
      <c r="L211">
        <v>14290.7478759757</v>
      </c>
      <c r="M211">
        <v>250</v>
      </c>
      <c r="O211">
        <v>57.1593322734036</v>
      </c>
      <c r="P211">
        <v>-0.429820585286672</v>
      </c>
      <c r="Q211">
        <v>0.606907869917893</v>
      </c>
      <c r="R211">
        <v>0.778655020329847</v>
      </c>
      <c r="S211" t="s">
        <v>1879</v>
      </c>
      <c r="T211" t="s">
        <v>3312</v>
      </c>
      <c r="U211" t="s">
        <v>3312</v>
      </c>
      <c r="V211" t="s">
        <v>3312</v>
      </c>
      <c r="W211" t="s">
        <v>3523</v>
      </c>
      <c r="X211">
        <v>6</v>
      </c>
      <c r="Y211" t="s">
        <v>5162</v>
      </c>
      <c r="Z211" t="s">
        <v>6804</v>
      </c>
      <c r="AA211">
        <v>0.8711444142866679</v>
      </c>
      <c r="AB211">
        <f>HYPERLINK("Melting_Curves/meltCurve_P0A6T5_folE.pdf", "Melting_Curves/meltCurve_P0A6T5_folE.pdf")</f>
        <v>0</v>
      </c>
    </row>
    <row r="212" spans="1:28">
      <c r="A212" t="s">
        <v>238</v>
      </c>
      <c r="B212">
        <v>0.999984544473304</v>
      </c>
      <c r="C212">
        <v>1.09257283499221</v>
      </c>
      <c r="D212">
        <v>0.876899555069542</v>
      </c>
      <c r="E212">
        <v>1.1539246035594</v>
      </c>
      <c r="F212">
        <v>1.02896540156447</v>
      </c>
      <c r="G212">
        <v>0.860846512195756</v>
      </c>
      <c r="H212">
        <v>0.791169037030491</v>
      </c>
      <c r="I212">
        <v>0.694185905117694</v>
      </c>
      <c r="J212">
        <v>0.487143713708273</v>
      </c>
      <c r="K212">
        <v>0.737504355274495</v>
      </c>
      <c r="L212">
        <v>1473.23324465817</v>
      </c>
      <c r="M212">
        <v>26.2359496293845</v>
      </c>
      <c r="O212">
        <v>55.8300585602519</v>
      </c>
      <c r="P212">
        <v>-0.044255996024499</v>
      </c>
      <c r="Q212">
        <v>0.623297588340875</v>
      </c>
      <c r="R212">
        <v>0.762965494904147</v>
      </c>
      <c r="S212" t="s">
        <v>1880</v>
      </c>
      <c r="T212" t="s">
        <v>3312</v>
      </c>
      <c r="U212" t="s">
        <v>3312</v>
      </c>
      <c r="V212" t="s">
        <v>3312</v>
      </c>
      <c r="W212" t="s">
        <v>3524</v>
      </c>
      <c r="X212">
        <v>2</v>
      </c>
      <c r="Y212" t="s">
        <v>5163</v>
      </c>
      <c r="Z212" t="s">
        <v>6805</v>
      </c>
      <c r="AA212">
        <v>0.8666395859093179</v>
      </c>
      <c r="AB212">
        <f>HYPERLINK("Melting_Curves/meltCurve_P0A6T9_gcvH.pdf", "Melting_Curves/meltCurve_P0A6T9_gcvH.pdf")</f>
        <v>0</v>
      </c>
    </row>
    <row r="213" spans="1:28">
      <c r="A213" t="s">
        <v>239</v>
      </c>
      <c r="B213">
        <v>0.999984544473304</v>
      </c>
      <c r="C213">
        <v>0.935200757091743</v>
      </c>
      <c r="D213">
        <v>0.705983710854449</v>
      </c>
      <c r="E213">
        <v>0.7979670488689879</v>
      </c>
      <c r="F213">
        <v>0.60026963926803</v>
      </c>
      <c r="G213">
        <v>0.569630003746792</v>
      </c>
      <c r="H213">
        <v>0.339830633774797</v>
      </c>
      <c r="I213">
        <v>0.414576480020679</v>
      </c>
      <c r="J213">
        <v>0.240643623892782</v>
      </c>
      <c r="K213">
        <v>0.327864989705046</v>
      </c>
      <c r="L213">
        <v>365.059723152474</v>
      </c>
      <c r="M213">
        <v>7.07218361135039</v>
      </c>
      <c r="N213">
        <v>54.1453222785384</v>
      </c>
      <c r="O213">
        <v>47.9684892673431</v>
      </c>
      <c r="P213">
        <v>-0.0317355180286489</v>
      </c>
      <c r="Q213">
        <v>0.14052477105972</v>
      </c>
      <c r="R213">
        <v>0.926760428514017</v>
      </c>
      <c r="S213" t="s">
        <v>1881</v>
      </c>
      <c r="T213" t="s">
        <v>3312</v>
      </c>
      <c r="U213" t="s">
        <v>3312</v>
      </c>
      <c r="V213" t="s">
        <v>3312</v>
      </c>
      <c r="W213" t="s">
        <v>3525</v>
      </c>
      <c r="X213">
        <v>1</v>
      </c>
      <c r="Y213" t="s">
        <v>5164</v>
      </c>
      <c r="Z213" t="s">
        <v>6806</v>
      </c>
      <c r="AA213">
        <v>0.5866538889013008</v>
      </c>
      <c r="AB213">
        <f>HYPERLINK("Melting_Curves/meltCurve_P0A6U5_rsmG.pdf", "Melting_Curves/meltCurve_P0A6U5_rsmG.pdf")</f>
        <v>0</v>
      </c>
    </row>
    <row r="214" spans="1:28">
      <c r="A214" t="s">
        <v>240</v>
      </c>
      <c r="B214">
        <v>0.999984544473304</v>
      </c>
      <c r="C214">
        <v>0.854159282423373</v>
      </c>
      <c r="D214">
        <v>0.300867099617248</v>
      </c>
      <c r="E214">
        <v>0.209070353904596</v>
      </c>
      <c r="F214">
        <v>0.0884336931263897</v>
      </c>
      <c r="G214">
        <v>0.106219396739992</v>
      </c>
      <c r="H214">
        <v>0.08897311089628319</v>
      </c>
      <c r="I214">
        <v>0</v>
      </c>
      <c r="J214">
        <v>0</v>
      </c>
      <c r="K214">
        <v>0</v>
      </c>
      <c r="L214">
        <v>1289.55451068281</v>
      </c>
      <c r="M214">
        <v>30.8306163311717</v>
      </c>
      <c r="N214">
        <v>42.0006353183246</v>
      </c>
      <c r="O214">
        <v>41.6522827179267</v>
      </c>
      <c r="P214">
        <v>-0.1739808734102</v>
      </c>
      <c r="Q214">
        <v>0.0598101258150659</v>
      </c>
      <c r="R214">
        <v>0.975389691575877</v>
      </c>
      <c r="S214" t="s">
        <v>1882</v>
      </c>
      <c r="T214" t="s">
        <v>3312</v>
      </c>
      <c r="U214" t="s">
        <v>3312</v>
      </c>
      <c r="V214" t="s">
        <v>3312</v>
      </c>
      <c r="W214" t="s">
        <v>3526</v>
      </c>
      <c r="X214">
        <v>1</v>
      </c>
      <c r="Y214" t="s">
        <v>5165</v>
      </c>
      <c r="Z214" t="s">
        <v>6807</v>
      </c>
      <c r="AA214">
        <v>0.2162524272749251</v>
      </c>
      <c r="AB214">
        <f>HYPERLINK("Melting_Curves/meltCurve_P0A6U8_glgA.pdf", "Melting_Curves/meltCurve_P0A6U8_glgA.pdf")</f>
        <v>0</v>
      </c>
    </row>
    <row r="215" spans="1:28">
      <c r="A215" t="s">
        <v>241</v>
      </c>
      <c r="B215">
        <v>0.999984544473304</v>
      </c>
      <c r="C215">
        <v>1.28564866280696</v>
      </c>
      <c r="D215">
        <v>1.0801663260404</v>
      </c>
      <c r="E215">
        <v>1.09167258851738</v>
      </c>
      <c r="F215">
        <v>0.946092474836062</v>
      </c>
      <c r="G215">
        <v>1.01220024349416</v>
      </c>
      <c r="H215">
        <v>0.669674939895531</v>
      </c>
      <c r="I215">
        <v>0.616618474083231</v>
      </c>
      <c r="J215">
        <v>0.55832062404204</v>
      </c>
      <c r="K215">
        <v>0.438889540055907</v>
      </c>
      <c r="L215">
        <v>3902.34891571531</v>
      </c>
      <c r="M215">
        <v>68.8292808121943</v>
      </c>
      <c r="O215">
        <v>56.6482576994928</v>
      </c>
      <c r="P215">
        <v>-0.141123262539135</v>
      </c>
      <c r="Q215">
        <v>0.535407919378292</v>
      </c>
      <c r="R215">
        <v>0.833751411659295</v>
      </c>
      <c r="S215" t="s">
        <v>1883</v>
      </c>
      <c r="T215" t="s">
        <v>3312</v>
      </c>
      <c r="U215" t="s">
        <v>3312</v>
      </c>
      <c r="V215" t="s">
        <v>3312</v>
      </c>
      <c r="W215" t="s">
        <v>3527</v>
      </c>
      <c r="X215">
        <v>8</v>
      </c>
      <c r="Y215" t="s">
        <v>5166</v>
      </c>
      <c r="Z215" t="s">
        <v>6808</v>
      </c>
      <c r="AA215">
        <v>0.8410400595825638</v>
      </c>
      <c r="AB215">
        <f>HYPERLINK("Melting_Curves/meltCurve_P0A6V1_glgC.pdf", "Melting_Curves/meltCurve_P0A6V1_glgC.pdf")</f>
        <v>0</v>
      </c>
    </row>
    <row r="216" spans="1:28">
      <c r="A216" t="s">
        <v>242</v>
      </c>
      <c r="B216">
        <v>0.999984544473304</v>
      </c>
      <c r="C216">
        <v>0.81082142593045</v>
      </c>
      <c r="D216">
        <v>0.587532682735515</v>
      </c>
      <c r="E216">
        <v>0.149936734256012</v>
      </c>
      <c r="F216">
        <v>0.0587289217072053</v>
      </c>
      <c r="G216">
        <v>0.0319065476320083</v>
      </c>
      <c r="H216">
        <v>0.0204564311779751</v>
      </c>
      <c r="I216">
        <v>0.0132811088009789</v>
      </c>
      <c r="J216">
        <v>0.00589756180343315</v>
      </c>
      <c r="K216">
        <v>0.0134165824707908</v>
      </c>
      <c r="L216">
        <v>930.881773382404</v>
      </c>
      <c r="M216">
        <v>21.4924150572005</v>
      </c>
      <c r="N216">
        <v>43.3487999761328</v>
      </c>
      <c r="O216">
        <v>42.9423939539725</v>
      </c>
      <c r="P216">
        <v>-0.123998772963024</v>
      </c>
      <c r="Q216">
        <v>0.009013896404137901</v>
      </c>
      <c r="R216">
        <v>0.99467428105858</v>
      </c>
      <c r="S216" t="s">
        <v>1884</v>
      </c>
      <c r="T216" t="s">
        <v>3312</v>
      </c>
      <c r="U216" t="s">
        <v>3312</v>
      </c>
      <c r="V216" t="s">
        <v>3312</v>
      </c>
      <c r="W216" t="s">
        <v>3528</v>
      </c>
      <c r="X216">
        <v>4</v>
      </c>
      <c r="Y216" t="s">
        <v>5167</v>
      </c>
      <c r="Z216" t="s">
        <v>6809</v>
      </c>
      <c r="AA216">
        <v>0.2290826919973842</v>
      </c>
      <c r="AB216">
        <f>HYPERLINK("Melting_Curves/meltCurve_P0A6V8_glk.pdf", "Melting_Curves/meltCurve_P0A6V8_glk.pdf")</f>
        <v>0</v>
      </c>
    </row>
    <row r="217" spans="1:28">
      <c r="A217" t="s">
        <v>243</v>
      </c>
      <c r="B217">
        <v>0.999984544473304</v>
      </c>
      <c r="C217">
        <v>1.06665136754734</v>
      </c>
      <c r="D217">
        <v>0.429751150024506</v>
      </c>
      <c r="E217">
        <v>0.202604915494606</v>
      </c>
      <c r="F217">
        <v>0.105897524398239</v>
      </c>
      <c r="G217">
        <v>0.0736325718221191</v>
      </c>
      <c r="H217">
        <v>0.0663198916361446</v>
      </c>
      <c r="I217">
        <v>0.0479361463848467</v>
      </c>
      <c r="J217">
        <v>0.0294935393986087</v>
      </c>
      <c r="K217">
        <v>0.0312196099876501</v>
      </c>
      <c r="L217">
        <v>10729.0302405272</v>
      </c>
      <c r="M217">
        <v>250</v>
      </c>
      <c r="N217">
        <v>42.9459012438397</v>
      </c>
      <c r="O217">
        <v>42.9133603449275</v>
      </c>
      <c r="P217">
        <v>-1.34051110843238</v>
      </c>
      <c r="Q217">
        <v>0.0795863135383833</v>
      </c>
      <c r="R217">
        <v>0.981919206589307</v>
      </c>
      <c r="S217" t="s">
        <v>1885</v>
      </c>
      <c r="T217" t="s">
        <v>3312</v>
      </c>
      <c r="U217" t="s">
        <v>3312</v>
      </c>
      <c r="V217" t="s">
        <v>3312</v>
      </c>
      <c r="W217" t="s">
        <v>3529</v>
      </c>
      <c r="X217">
        <v>1</v>
      </c>
      <c r="Y217" t="s">
        <v>5168</v>
      </c>
      <c r="Z217" t="s">
        <v>6810</v>
      </c>
      <c r="AA217">
        <v>0.2611649265933883</v>
      </c>
      <c r="AB217">
        <f>HYPERLINK("Melting_Curves/meltCurve_P0A6W3_mraY.pdf", "Melting_Curves/meltCurve_P0A6W3_mraY.pdf")</f>
        <v>0</v>
      </c>
    </row>
    <row r="218" spans="1:28">
      <c r="A218" t="s">
        <v>244</v>
      </c>
      <c r="B218">
        <v>0.999984544473304</v>
      </c>
      <c r="C218">
        <v>1.12295038643293</v>
      </c>
      <c r="D218">
        <v>0.95869283855257</v>
      </c>
      <c r="E218">
        <v>1.25301926484591</v>
      </c>
      <c r="F218">
        <v>0.991329252478929</v>
      </c>
      <c r="G218">
        <v>0.87283424317475</v>
      </c>
      <c r="H218">
        <v>0.810577866869261</v>
      </c>
      <c r="I218">
        <v>0.733684434439087</v>
      </c>
      <c r="J218">
        <v>0.527154584470353</v>
      </c>
      <c r="K218">
        <v>0.760429014714637</v>
      </c>
      <c r="L218">
        <v>1417.64348740582</v>
      </c>
      <c r="M218">
        <v>25.2393709494117</v>
      </c>
      <c r="O218">
        <v>55.818877168588</v>
      </c>
      <c r="P218">
        <v>-0.0388443947715444</v>
      </c>
      <c r="Q218">
        <v>0.656374434933676</v>
      </c>
      <c r="R218">
        <v>0.703126977323742</v>
      </c>
      <c r="S218" t="s">
        <v>1886</v>
      </c>
      <c r="T218" t="s">
        <v>3312</v>
      </c>
      <c r="U218" t="s">
        <v>3312</v>
      </c>
      <c r="V218" t="s">
        <v>3312</v>
      </c>
      <c r="W218" t="s">
        <v>3530</v>
      </c>
      <c r="X218">
        <v>7</v>
      </c>
      <c r="Y218" t="s">
        <v>5169</v>
      </c>
      <c r="Z218" t="s">
        <v>6811</v>
      </c>
      <c r="AA218">
        <v>0.8786503792960236</v>
      </c>
      <c r="AB218">
        <f>HYPERLINK("Melting_Curves/meltCurve_P0A6W5_greA.pdf", "Melting_Curves/meltCurve_P0A6W5_greA.pdf")</f>
        <v>0</v>
      </c>
    </row>
    <row r="219" spans="1:28">
      <c r="A219" t="s">
        <v>245</v>
      </c>
      <c r="B219">
        <v>0.999984544473304</v>
      </c>
      <c r="C219">
        <v>1.07983797116283</v>
      </c>
      <c r="D219">
        <v>1.19521503270133</v>
      </c>
      <c r="E219">
        <v>0.906222110277336</v>
      </c>
      <c r="F219">
        <v>0.348161895991623</v>
      </c>
      <c r="G219">
        <v>0.07747083633045999</v>
      </c>
      <c r="H219">
        <v>0.0448365783997168</v>
      </c>
      <c r="I219">
        <v>0.0257036800441861</v>
      </c>
      <c r="J219">
        <v>0.0177690696118071</v>
      </c>
      <c r="K219">
        <v>0.0199307892985447</v>
      </c>
      <c r="L219">
        <v>1981.77030956184</v>
      </c>
      <c r="M219">
        <v>40.1847050892062</v>
      </c>
      <c r="N219">
        <v>49.3909654100982</v>
      </c>
      <c r="O219">
        <v>49.1948740170161</v>
      </c>
      <c r="P219">
        <v>-0.198211903190493</v>
      </c>
      <c r="Q219">
        <v>0.0293829742432681</v>
      </c>
      <c r="R219">
        <v>0.980099466801483</v>
      </c>
      <c r="S219" t="s">
        <v>1887</v>
      </c>
      <c r="T219" t="s">
        <v>3312</v>
      </c>
      <c r="U219" t="s">
        <v>3312</v>
      </c>
      <c r="V219" t="s">
        <v>3312</v>
      </c>
      <c r="W219" t="s">
        <v>3531</v>
      </c>
      <c r="X219">
        <v>11</v>
      </c>
      <c r="Y219" t="s">
        <v>5170</v>
      </c>
      <c r="Z219" t="s">
        <v>6812</v>
      </c>
      <c r="AA219">
        <v>0.4311479899849007</v>
      </c>
      <c r="AB219">
        <f>HYPERLINK("Melting_Curves/meltCurve_P0A6W9_gshA.pdf", "Melting_Curves/meltCurve_P0A6W9_gshA.pdf")</f>
        <v>0</v>
      </c>
    </row>
    <row r="220" spans="1:28">
      <c r="A220" t="s">
        <v>246</v>
      </c>
      <c r="B220">
        <v>0.999984544473304</v>
      </c>
      <c r="C220">
        <v>1.31567742232618</v>
      </c>
      <c r="D220">
        <v>2.54082838983965</v>
      </c>
      <c r="E220">
        <v>2.12891152447315</v>
      </c>
      <c r="F220">
        <v>2.10806202485484</v>
      </c>
      <c r="G220">
        <v>2.2769682082206</v>
      </c>
      <c r="H220">
        <v>2.1939510287862</v>
      </c>
      <c r="I220">
        <v>1.41513222583767</v>
      </c>
      <c r="J220">
        <v>1.22705218055089</v>
      </c>
      <c r="K220">
        <v>0.661236651887378</v>
      </c>
      <c r="L220">
        <v>15000</v>
      </c>
      <c r="M220">
        <v>223.211694459994</v>
      </c>
      <c r="Q220">
        <v>0</v>
      </c>
      <c r="R220">
        <v>-1.25935542578731</v>
      </c>
      <c r="S220" t="s">
        <v>1888</v>
      </c>
      <c r="T220" t="s">
        <v>3312</v>
      </c>
      <c r="U220" t="s">
        <v>3312</v>
      </c>
      <c r="V220" t="s">
        <v>3312</v>
      </c>
      <c r="W220" t="s">
        <v>3532</v>
      </c>
      <c r="X220">
        <v>3</v>
      </c>
      <c r="Y220" t="s">
        <v>5171</v>
      </c>
      <c r="Z220" t="s">
        <v>6813</v>
      </c>
      <c r="AA220">
        <v>0.9959142672836616</v>
      </c>
      <c r="AB220">
        <f>HYPERLINK("Melting_Curves/meltCurve_P0A6X3_hfq.pdf", "Melting_Curves/meltCurve_P0A6X3_hfq.pdf")</f>
        <v>0</v>
      </c>
    </row>
    <row r="221" spans="1:28">
      <c r="A221" t="s">
        <v>247</v>
      </c>
      <c r="B221">
        <v>0.999984544473304</v>
      </c>
      <c r="C221">
        <v>1.15569253816953</v>
      </c>
      <c r="D221">
        <v>0.751191243107181</v>
      </c>
      <c r="E221">
        <v>1.03422866954166</v>
      </c>
      <c r="F221">
        <v>0.9672098757042</v>
      </c>
      <c r="G221">
        <v>0.770498456274174</v>
      </c>
      <c r="H221">
        <v>0.610309343491382</v>
      </c>
      <c r="I221">
        <v>0.782965700351998</v>
      </c>
      <c r="J221">
        <v>0.5521208641393009</v>
      </c>
      <c r="K221">
        <v>0.794197188654824</v>
      </c>
      <c r="L221">
        <v>2855.76463638461</v>
      </c>
      <c r="M221">
        <v>54.2166679794882</v>
      </c>
      <c r="O221">
        <v>52.6016705720688</v>
      </c>
      <c r="P221">
        <v>-0.08102074830375421</v>
      </c>
      <c r="Q221">
        <v>0.685570933142079</v>
      </c>
      <c r="R221">
        <v>0.600880284476176</v>
      </c>
      <c r="S221" t="s">
        <v>1889</v>
      </c>
      <c r="T221" t="s">
        <v>3312</v>
      </c>
      <c r="U221" t="s">
        <v>3312</v>
      </c>
      <c r="V221" t="s">
        <v>3312</v>
      </c>
      <c r="W221" t="s">
        <v>3533</v>
      </c>
      <c r="X221">
        <v>3</v>
      </c>
      <c r="Y221" t="s">
        <v>5172</v>
      </c>
      <c r="Z221" t="s">
        <v>6814</v>
      </c>
      <c r="AA221">
        <v>0.8504617638434286</v>
      </c>
      <c r="AB221">
        <f>HYPERLINK("Melting_Curves/meltCurve_P0A6X7_ihfA.pdf", "Melting_Curves/meltCurve_P0A6X7_ihfA.pdf")</f>
        <v>0</v>
      </c>
    </row>
    <row r="222" spans="1:28">
      <c r="A222" t="s">
        <v>248</v>
      </c>
      <c r="B222">
        <v>0.999984544473304</v>
      </c>
      <c r="C222">
        <v>1.46345439965848</v>
      </c>
      <c r="D222">
        <v>1.11386879154526</v>
      </c>
      <c r="E222">
        <v>0.9388554580755319</v>
      </c>
      <c r="F222">
        <v>0.498819706447736</v>
      </c>
      <c r="G222">
        <v>0.194018964944894</v>
      </c>
      <c r="H222">
        <v>0.09883442034017539</v>
      </c>
      <c r="I222">
        <v>0.0616516638562408</v>
      </c>
      <c r="J222">
        <v>0.0480569411756116</v>
      </c>
      <c r="K222">
        <v>0.0547079286669491</v>
      </c>
      <c r="L222">
        <v>1598.13098900675</v>
      </c>
      <c r="M222">
        <v>31.8915133058433</v>
      </c>
      <c r="N222">
        <v>50.3350991784576</v>
      </c>
      <c r="O222">
        <v>49.915656970616</v>
      </c>
      <c r="P222">
        <v>-0.149177526247079</v>
      </c>
      <c r="Q222">
        <v>0.0660512278679436</v>
      </c>
      <c r="R222">
        <v>0.909972983487542</v>
      </c>
      <c r="S222" t="s">
        <v>1890</v>
      </c>
      <c r="T222" t="s">
        <v>3312</v>
      </c>
      <c r="U222" t="s">
        <v>3312</v>
      </c>
      <c r="V222" t="s">
        <v>3312</v>
      </c>
      <c r="W222" t="s">
        <v>3534</v>
      </c>
      <c r="X222">
        <v>3</v>
      </c>
      <c r="Y222" t="s">
        <v>5173</v>
      </c>
      <c r="Z222" t="s">
        <v>6815</v>
      </c>
      <c r="AA222">
        <v>0.479319368957506</v>
      </c>
      <c r="AB222">
        <f>HYPERLINK("Melting_Curves/meltCurve_P0A6Y1_ihfB.pdf", "Melting_Curves/meltCurve_P0A6Y1_ihfB.pdf")</f>
        <v>0</v>
      </c>
    </row>
    <row r="223" spans="1:28">
      <c r="A223" t="s">
        <v>249</v>
      </c>
      <c r="B223">
        <v>0.999984544473304</v>
      </c>
      <c r="C223">
        <v>0.884844741025149</v>
      </c>
      <c r="D223">
        <v>0.946691864823025</v>
      </c>
      <c r="E223">
        <v>0.851793190660183</v>
      </c>
      <c r="F223">
        <v>1.07371917207767</v>
      </c>
      <c r="G223">
        <v>0.960807156489444</v>
      </c>
      <c r="H223">
        <v>0.859059415293553</v>
      </c>
      <c r="I223">
        <v>0.687273247297982</v>
      </c>
      <c r="J223">
        <v>0.545348932585578</v>
      </c>
      <c r="K223">
        <v>0.532079222845545</v>
      </c>
      <c r="L223">
        <v>1567.57301839076</v>
      </c>
      <c r="M223">
        <v>26.3028656327124</v>
      </c>
      <c r="O223">
        <v>59.2557776292189</v>
      </c>
      <c r="P223">
        <v>-0.055952257268702</v>
      </c>
      <c r="Q223">
        <v>0.495802940365236</v>
      </c>
      <c r="R223">
        <v>0.8571447246860771</v>
      </c>
      <c r="S223" t="s">
        <v>1891</v>
      </c>
      <c r="T223" t="s">
        <v>3312</v>
      </c>
      <c r="U223" t="s">
        <v>3312</v>
      </c>
      <c r="V223" t="s">
        <v>3312</v>
      </c>
      <c r="W223" t="s">
        <v>3535</v>
      </c>
      <c r="X223">
        <v>2</v>
      </c>
      <c r="Y223" t="s">
        <v>5174</v>
      </c>
      <c r="Z223" t="s">
        <v>6816</v>
      </c>
      <c r="AA223">
        <v>0.8776252650683044</v>
      </c>
      <c r="AB223">
        <f>HYPERLINK("Melting_Curves/meltCurve_P0A6Y5_hslO.pdf", "Melting_Curves/meltCurve_P0A6Y5_hslO.pdf")</f>
        <v>0</v>
      </c>
    </row>
    <row r="224" spans="1:28">
      <c r="A224" t="s">
        <v>250</v>
      </c>
      <c r="B224">
        <v>0.999984544473304</v>
      </c>
      <c r="C224">
        <v>1.1722444447818</v>
      </c>
      <c r="D224">
        <v>1.02627277811053</v>
      </c>
      <c r="E224">
        <v>1.23584846393196</v>
      </c>
      <c r="F224">
        <v>1.1748731500875</v>
      </c>
      <c r="G224">
        <v>0.973908101427827</v>
      </c>
      <c r="H224">
        <v>1.16552634765774</v>
      </c>
      <c r="I224">
        <v>0.91010365269063</v>
      </c>
      <c r="J224">
        <v>0.889115428626985</v>
      </c>
      <c r="K224">
        <v>0.75042075764195</v>
      </c>
      <c r="L224">
        <v>2149.94338312269</v>
      </c>
      <c r="M224">
        <v>32.9897525922589</v>
      </c>
      <c r="O224">
        <v>64.93197014621011</v>
      </c>
      <c r="P224">
        <v>-0.0440032043764991</v>
      </c>
      <c r="Q224">
        <v>0.653564912820041</v>
      </c>
      <c r="R224">
        <v>0.315679140658705</v>
      </c>
      <c r="S224" t="s">
        <v>1892</v>
      </c>
      <c r="T224" t="s">
        <v>3312</v>
      </c>
      <c r="U224" t="s">
        <v>3312</v>
      </c>
      <c r="V224" t="s">
        <v>3312</v>
      </c>
      <c r="W224" t="s">
        <v>3536</v>
      </c>
      <c r="X224">
        <v>27</v>
      </c>
      <c r="Y224" t="s">
        <v>5175</v>
      </c>
      <c r="Z224" t="s">
        <v>6817</v>
      </c>
      <c r="AA224">
        <v>0.9723338424934027</v>
      </c>
      <c r="AB224">
        <f>HYPERLINK("Melting_Curves/meltCurve_P0A6Y8_dnaK.pdf", "Melting_Curves/meltCurve_P0A6Y8_dnaK.pdf")</f>
        <v>0</v>
      </c>
    </row>
    <row r="225" spans="1:28">
      <c r="A225" t="s">
        <v>251</v>
      </c>
      <c r="B225">
        <v>0.999984544473304</v>
      </c>
      <c r="C225">
        <v>1.11048216112649</v>
      </c>
      <c r="D225">
        <v>0.905896773199403</v>
      </c>
      <c r="E225">
        <v>0.714480097810733</v>
      </c>
      <c r="F225">
        <v>0.481969168695624</v>
      </c>
      <c r="G225">
        <v>0.245111616879081</v>
      </c>
      <c r="H225">
        <v>0.151129211150947</v>
      </c>
      <c r="I225">
        <v>0.09087142587056241</v>
      </c>
      <c r="J225">
        <v>0.0550339436341589</v>
      </c>
      <c r="K225">
        <v>0.0474686862339755</v>
      </c>
      <c r="L225">
        <v>791.962841535315</v>
      </c>
      <c r="M225">
        <v>15.9951883642362</v>
      </c>
      <c r="N225">
        <v>49.774170916263</v>
      </c>
      <c r="O225">
        <v>48.7580545829579</v>
      </c>
      <c r="P225">
        <v>-0.0787128353091489</v>
      </c>
      <c r="Q225">
        <v>0.0403155990235338</v>
      </c>
      <c r="R225">
        <v>0.988242525530327</v>
      </c>
      <c r="S225" t="s">
        <v>1893</v>
      </c>
      <c r="T225" t="s">
        <v>3312</v>
      </c>
      <c r="U225" t="s">
        <v>3312</v>
      </c>
      <c r="V225" t="s">
        <v>3312</v>
      </c>
      <c r="W225" t="s">
        <v>3537</v>
      </c>
      <c r="X225">
        <v>9</v>
      </c>
      <c r="Y225" t="s">
        <v>5176</v>
      </c>
      <c r="Z225" t="s">
        <v>6818</v>
      </c>
      <c r="AA225">
        <v>0.4590259173786579</v>
      </c>
      <c r="AB225">
        <f>HYPERLINK("Melting_Curves/meltCurve_P0A6Z1_hscA.pdf", "Melting_Curves/meltCurve_P0A6Z1_hscA.pdf")</f>
        <v>0</v>
      </c>
    </row>
    <row r="226" spans="1:28">
      <c r="A226" t="s">
        <v>252</v>
      </c>
      <c r="B226">
        <v>0.999984544473304</v>
      </c>
      <c r="C226">
        <v>1.28068222911608</v>
      </c>
      <c r="D226">
        <v>1.17937017788186</v>
      </c>
      <c r="E226">
        <v>1.26943595564307</v>
      </c>
      <c r="F226">
        <v>1.26334965377699</v>
      </c>
      <c r="G226">
        <v>1.22143533311678</v>
      </c>
      <c r="H226">
        <v>0.862599125715562</v>
      </c>
      <c r="I226">
        <v>0.06946173943446809</v>
      </c>
      <c r="J226">
        <v>0.0324676304247148</v>
      </c>
      <c r="K226">
        <v>0.0276648352922844</v>
      </c>
      <c r="L226">
        <v>4975.43934770045</v>
      </c>
      <c r="M226">
        <v>84.8635723283075</v>
      </c>
      <c r="N226">
        <v>58.6734736976719</v>
      </c>
      <c r="O226">
        <v>58.5961484375829</v>
      </c>
      <c r="P226">
        <v>-0.350713000822252</v>
      </c>
      <c r="Q226">
        <v>0.0313663052904765</v>
      </c>
      <c r="R226">
        <v>0.889979666314011</v>
      </c>
      <c r="S226" t="s">
        <v>1894</v>
      </c>
      <c r="T226" t="s">
        <v>3312</v>
      </c>
      <c r="U226" t="s">
        <v>3312</v>
      </c>
      <c r="V226" t="s">
        <v>3312</v>
      </c>
      <c r="W226" t="s">
        <v>3538</v>
      </c>
      <c r="X226">
        <v>21</v>
      </c>
      <c r="Y226" t="s">
        <v>5177</v>
      </c>
      <c r="Z226" t="s">
        <v>6819</v>
      </c>
      <c r="AA226">
        <v>0.730574285839161</v>
      </c>
      <c r="AB226">
        <f>HYPERLINK("Melting_Curves/meltCurve_P0A6Z3_htpG.pdf", "Melting_Curves/meltCurve_P0A6Z3_htpG.pdf")</f>
        <v>0</v>
      </c>
    </row>
    <row r="227" spans="1:28">
      <c r="A227" t="s">
        <v>253</v>
      </c>
      <c r="B227">
        <v>0.999984544473304</v>
      </c>
      <c r="C227">
        <v>1.25482174905243</v>
      </c>
      <c r="D227">
        <v>0.912812225237509</v>
      </c>
      <c r="E227">
        <v>0.431579433993929</v>
      </c>
      <c r="F227">
        <v>0.228681585901235</v>
      </c>
      <c r="G227">
        <v>0.185075142995455</v>
      </c>
      <c r="H227">
        <v>0.175976824531142</v>
      </c>
      <c r="I227">
        <v>0.162449205153006</v>
      </c>
      <c r="J227">
        <v>0.131766988127418</v>
      </c>
      <c r="K227">
        <v>0.139980032405104</v>
      </c>
      <c r="L227">
        <v>1709.18849106979</v>
      </c>
      <c r="M227">
        <v>37.4026842750056</v>
      </c>
      <c r="N227">
        <v>46.1897373926302</v>
      </c>
      <c r="O227">
        <v>45.5669122006677</v>
      </c>
      <c r="P227">
        <v>-0.171447439497356</v>
      </c>
      <c r="Q227">
        <v>0.164518963422309</v>
      </c>
      <c r="R227">
        <v>0.956986915044796</v>
      </c>
      <c r="S227" t="s">
        <v>1895</v>
      </c>
      <c r="T227" t="s">
        <v>3312</v>
      </c>
      <c r="U227" t="s">
        <v>3312</v>
      </c>
      <c r="V227" t="s">
        <v>3312</v>
      </c>
      <c r="W227" t="s">
        <v>3539</v>
      </c>
      <c r="X227">
        <v>27</v>
      </c>
      <c r="Y227" t="s">
        <v>5178</v>
      </c>
      <c r="Z227" t="s">
        <v>6820</v>
      </c>
      <c r="AA227">
        <v>0.409749187159769</v>
      </c>
      <c r="AB227">
        <f>HYPERLINK("Melting_Curves/meltCurve_P0A705_infB.pdf", "Melting_Curves/meltCurve_P0A705_infB.pdf")</f>
        <v>0</v>
      </c>
    </row>
    <row r="228" spans="1:28">
      <c r="A228" t="s">
        <v>254</v>
      </c>
      <c r="B228">
        <v>0.999984544473304</v>
      </c>
      <c r="C228">
        <v>0.831234086438582</v>
      </c>
      <c r="D228">
        <v>1.28533929177712</v>
      </c>
      <c r="E228">
        <v>1.04271624188433</v>
      </c>
      <c r="F228">
        <v>1.07732872841513</v>
      </c>
      <c r="G228">
        <v>0.551292835941277</v>
      </c>
      <c r="H228">
        <v>0.390536805896746</v>
      </c>
      <c r="I228">
        <v>0.150915361574398</v>
      </c>
      <c r="J228">
        <v>0.126417127353022</v>
      </c>
      <c r="K228">
        <v>0.100651809309318</v>
      </c>
      <c r="L228">
        <v>1548.0491469809</v>
      </c>
      <c r="M228">
        <v>28.3394834070241</v>
      </c>
      <c r="N228">
        <v>55.1625677848509</v>
      </c>
      <c r="O228">
        <v>54.3553462066174</v>
      </c>
      <c r="P228">
        <v>-0.114621350980777</v>
      </c>
      <c r="Q228">
        <v>0.1206286722807</v>
      </c>
      <c r="R228">
        <v>0.914765594389693</v>
      </c>
      <c r="S228" t="s">
        <v>1896</v>
      </c>
      <c r="T228" t="s">
        <v>3312</v>
      </c>
      <c r="U228" t="s">
        <v>3312</v>
      </c>
      <c r="V228" t="s">
        <v>3312</v>
      </c>
      <c r="W228" t="s">
        <v>3540</v>
      </c>
      <c r="X228">
        <v>5</v>
      </c>
      <c r="Y228" t="s">
        <v>5179</v>
      </c>
      <c r="Z228" t="s">
        <v>6821</v>
      </c>
      <c r="AA228">
        <v>0.6434436835409879</v>
      </c>
      <c r="AB228">
        <f>HYPERLINK("Melting_Curves/meltCurve_P0A707_infC.pdf", "Melting_Curves/meltCurve_P0A707_infC.pdf")</f>
        <v>0</v>
      </c>
    </row>
    <row r="229" spans="1:28">
      <c r="A229" t="s">
        <v>255</v>
      </c>
      <c r="B229">
        <v>0.999984544473304</v>
      </c>
      <c r="C229">
        <v>0.819253428073381</v>
      </c>
      <c r="D229">
        <v>1.13955396468059</v>
      </c>
      <c r="E229">
        <v>0.723067645728279</v>
      </c>
      <c r="F229">
        <v>0.239280364935724</v>
      </c>
      <c r="G229">
        <v>0.0380992026736106</v>
      </c>
      <c r="H229">
        <v>0.0258153398103026</v>
      </c>
      <c r="I229">
        <v>0.0164866656311187</v>
      </c>
      <c r="J229">
        <v>0.0120305783674558</v>
      </c>
      <c r="K229">
        <v>0.0137433921688069</v>
      </c>
      <c r="L229">
        <v>1590.99059225454</v>
      </c>
      <c r="M229">
        <v>33.0424902573956</v>
      </c>
      <c r="N229">
        <v>48.1983745704807</v>
      </c>
      <c r="O229">
        <v>47.9745157761345</v>
      </c>
      <c r="P229">
        <v>-0.169371326791547</v>
      </c>
      <c r="Q229">
        <v>0.0163611311698988</v>
      </c>
      <c r="R229">
        <v>0.969571284769735</v>
      </c>
      <c r="S229" t="s">
        <v>1897</v>
      </c>
      <c r="T229" t="s">
        <v>3312</v>
      </c>
      <c r="U229" t="s">
        <v>3312</v>
      </c>
      <c r="V229" t="s">
        <v>3312</v>
      </c>
      <c r="W229" t="s">
        <v>3541</v>
      </c>
      <c r="X229">
        <v>12</v>
      </c>
      <c r="Y229" t="s">
        <v>5180</v>
      </c>
      <c r="Z229" t="s">
        <v>6822</v>
      </c>
      <c r="AA229">
        <v>0.3867527259518387</v>
      </c>
      <c r="AB229">
        <f>HYPERLINK("Melting_Curves/meltCurve_P0A715_kdsA.pdf", "Melting_Curves/meltCurve_P0A715_kdsA.pdf")</f>
        <v>0</v>
      </c>
    </row>
    <row r="230" spans="1:28">
      <c r="A230" t="s">
        <v>256</v>
      </c>
      <c r="B230">
        <v>0.999984544473304</v>
      </c>
      <c r="C230">
        <v>1.38013679001331</v>
      </c>
      <c r="D230">
        <v>1.2735102264369</v>
      </c>
      <c r="E230">
        <v>1.31211908120451</v>
      </c>
      <c r="F230">
        <v>0.480124171507234</v>
      </c>
      <c r="G230">
        <v>0.256073443937453</v>
      </c>
      <c r="H230">
        <v>0.139054903583267</v>
      </c>
      <c r="I230">
        <v>0.07741328023111881</v>
      </c>
      <c r="J230">
        <v>0.0603760456566148</v>
      </c>
      <c r="K230">
        <v>0.0719517573634614</v>
      </c>
      <c r="L230">
        <v>8377.310354954279</v>
      </c>
      <c r="M230">
        <v>167.248482861536</v>
      </c>
      <c r="N230">
        <v>50.1721006670511</v>
      </c>
      <c r="O230">
        <v>50.0818452419302</v>
      </c>
      <c r="P230">
        <v>-0.733880261580144</v>
      </c>
      <c r="Q230">
        <v>0.120970736975667</v>
      </c>
      <c r="R230">
        <v>0.882330071669845</v>
      </c>
      <c r="S230" t="s">
        <v>1898</v>
      </c>
      <c r="T230" t="s">
        <v>3312</v>
      </c>
      <c r="U230" t="s">
        <v>3312</v>
      </c>
      <c r="V230" t="s">
        <v>3312</v>
      </c>
      <c r="W230" t="s">
        <v>3542</v>
      </c>
      <c r="X230">
        <v>3</v>
      </c>
      <c r="Y230" t="s">
        <v>5181</v>
      </c>
      <c r="Z230" t="s">
        <v>6823</v>
      </c>
      <c r="AA230">
        <v>0.5046640969989394</v>
      </c>
      <c r="AB230">
        <f>HYPERLINK("Melting_Curves/meltCurve_P0A717_prs.pdf", "Melting_Curves/meltCurve_P0A717_prs.pdf")</f>
        <v>0</v>
      </c>
    </row>
    <row r="231" spans="1:28">
      <c r="A231" t="s">
        <v>257</v>
      </c>
      <c r="B231">
        <v>0.999984544473304</v>
      </c>
      <c r="C231">
        <v>0.8561730654231799</v>
      </c>
      <c r="D231">
        <v>1.04830344211055</v>
      </c>
      <c r="E231">
        <v>0.950448541898811</v>
      </c>
      <c r="F231">
        <v>0.771918188001626</v>
      </c>
      <c r="G231">
        <v>0.289112529887585</v>
      </c>
      <c r="H231">
        <v>0.07775710385118351</v>
      </c>
      <c r="I231">
        <v>0.0601863136540902</v>
      </c>
      <c r="J231">
        <v>0.0494071797781195</v>
      </c>
      <c r="K231">
        <v>0.0429992073135565</v>
      </c>
      <c r="L231">
        <v>1652.77022498712</v>
      </c>
      <c r="M231">
        <v>31.7889484392441</v>
      </c>
      <c r="N231">
        <v>52.1418513086631</v>
      </c>
      <c r="O231">
        <v>51.7875237438294</v>
      </c>
      <c r="P231">
        <v>-0.146759027027484</v>
      </c>
      <c r="Q231">
        <v>0.0436616982308131</v>
      </c>
      <c r="R231">
        <v>0.986504021622871</v>
      </c>
      <c r="S231" t="s">
        <v>1899</v>
      </c>
      <c r="T231" t="s">
        <v>3312</v>
      </c>
      <c r="U231" t="s">
        <v>3312</v>
      </c>
      <c r="V231" t="s">
        <v>3312</v>
      </c>
      <c r="W231" t="s">
        <v>3543</v>
      </c>
      <c r="X231">
        <v>4</v>
      </c>
      <c r="Y231" t="s">
        <v>5182</v>
      </c>
      <c r="Z231" t="s">
        <v>6824</v>
      </c>
      <c r="AA231">
        <v>0.5269706168639836</v>
      </c>
      <c r="AB231">
        <f>HYPERLINK("Melting_Curves/meltCurve_P0A720_tmk.pdf", "Melting_Curves/meltCurve_P0A720_tmk.pdf")</f>
        <v>0</v>
      </c>
    </row>
    <row r="232" spans="1:28">
      <c r="A232" t="s">
        <v>258</v>
      </c>
      <c r="B232">
        <v>0.999984544473304</v>
      </c>
      <c r="C232">
        <v>0.965543815540125</v>
      </c>
      <c r="D232">
        <v>0.9467327269190861</v>
      </c>
      <c r="E232">
        <v>0.904936002323827</v>
      </c>
      <c r="F232">
        <v>0.829840762781297</v>
      </c>
      <c r="G232">
        <v>0.71521041445982</v>
      </c>
      <c r="H232">
        <v>0.476465247926123</v>
      </c>
      <c r="I232">
        <v>0.172851431808008</v>
      </c>
      <c r="J232">
        <v>0.041390103290757</v>
      </c>
      <c r="K232">
        <v>0.0590755926547567</v>
      </c>
      <c r="L232">
        <v>976.8228750756</v>
      </c>
      <c r="M232">
        <v>17.3553507040047</v>
      </c>
      <c r="N232">
        <v>56.2836729258677</v>
      </c>
      <c r="O232">
        <v>55.5523650277931</v>
      </c>
      <c r="P232">
        <v>-0.07810801119091219</v>
      </c>
      <c r="Q232">
        <v>0</v>
      </c>
      <c r="R232">
        <v>0.984165750735705</v>
      </c>
      <c r="S232" t="s">
        <v>1900</v>
      </c>
      <c r="T232" t="s">
        <v>3312</v>
      </c>
      <c r="U232" t="s">
        <v>3312</v>
      </c>
      <c r="V232" t="s">
        <v>3312</v>
      </c>
      <c r="W232" t="s">
        <v>3544</v>
      </c>
      <c r="X232">
        <v>3</v>
      </c>
      <c r="Y232" t="s">
        <v>5183</v>
      </c>
      <c r="Z232" t="s">
        <v>6825</v>
      </c>
      <c r="AA232">
        <v>0.6534160008388032</v>
      </c>
      <c r="AB232">
        <f>HYPERLINK("Melting_Curves/meltCurve_P0A722_lpxA.pdf", "Melting_Curves/meltCurve_P0A722_lpxA.pdf")</f>
        <v>0</v>
      </c>
    </row>
    <row r="233" spans="1:28">
      <c r="A233" t="s">
        <v>259</v>
      </c>
      <c r="B233">
        <v>0.999984544473304</v>
      </c>
      <c r="C233">
        <v>0.5608712144431079</v>
      </c>
      <c r="D233">
        <v>0.462060311885829</v>
      </c>
      <c r="E233">
        <v>0.174602971234038</v>
      </c>
      <c r="F233">
        <v>0.0949334874355791</v>
      </c>
      <c r="G233">
        <v>0.0532106774786293</v>
      </c>
      <c r="H233">
        <v>0.0362871365233712</v>
      </c>
      <c r="I233">
        <v>0.0351730606539884</v>
      </c>
      <c r="J233">
        <v>0.0224325043457615</v>
      </c>
      <c r="K233">
        <v>0.0222519733678823</v>
      </c>
      <c r="L233">
        <v>655.111886328224</v>
      </c>
      <c r="M233">
        <v>15.7066490171539</v>
      </c>
      <c r="N233">
        <v>41.8480372838926</v>
      </c>
      <c r="O233">
        <v>41.0506395965338</v>
      </c>
      <c r="P233">
        <v>-0.0932338985734571</v>
      </c>
      <c r="Q233">
        <v>0.0253834970741306</v>
      </c>
      <c r="R233">
        <v>0.96736907561032</v>
      </c>
      <c r="S233" t="s">
        <v>1901</v>
      </c>
      <c r="T233" t="s">
        <v>3312</v>
      </c>
      <c r="U233" t="s">
        <v>3312</v>
      </c>
      <c r="V233" t="s">
        <v>3312</v>
      </c>
      <c r="W233" t="s">
        <v>3545</v>
      </c>
      <c r="X233">
        <v>1</v>
      </c>
      <c r="Y233" t="s">
        <v>5184</v>
      </c>
      <c r="Z233" t="s">
        <v>6826</v>
      </c>
      <c r="AA233">
        <v>0.2046084679080128</v>
      </c>
      <c r="AB233">
        <f>HYPERLINK("Melting_Curves/meltCurve_P0A725_lpxC.pdf", "Melting_Curves/meltCurve_P0A725_lpxC.pdf")</f>
        <v>0</v>
      </c>
    </row>
    <row r="234" spans="1:28">
      <c r="A234" t="s">
        <v>260</v>
      </c>
      <c r="B234">
        <v>0.999984544473304</v>
      </c>
      <c r="C234">
        <v>0.7523836877739249</v>
      </c>
      <c r="D234">
        <v>0.6572305344557819</v>
      </c>
      <c r="E234">
        <v>0.255901663114657</v>
      </c>
      <c r="F234">
        <v>0.133012028255586</v>
      </c>
      <c r="G234">
        <v>0.0480972119384683</v>
      </c>
      <c r="H234">
        <v>0.0198345060299405</v>
      </c>
      <c r="I234">
        <v>0.0126811435633735</v>
      </c>
      <c r="J234">
        <v>0.00649066941236361</v>
      </c>
      <c r="K234">
        <v>0.00957931860981296</v>
      </c>
      <c r="L234">
        <v>694.471967238323</v>
      </c>
      <c r="M234">
        <v>15.7852706587311</v>
      </c>
      <c r="N234">
        <v>43.9949581660946</v>
      </c>
      <c r="O234">
        <v>43.3070413306391</v>
      </c>
      <c r="P234">
        <v>-0.091131744807989</v>
      </c>
      <c r="Q234">
        <v>0</v>
      </c>
      <c r="R234">
        <v>0.98788968596544</v>
      </c>
      <c r="S234" t="s">
        <v>1902</v>
      </c>
      <c r="T234" t="s">
        <v>3312</v>
      </c>
      <c r="U234" t="s">
        <v>3312</v>
      </c>
      <c r="V234" t="s">
        <v>3312</v>
      </c>
      <c r="W234" t="s">
        <v>3546</v>
      </c>
      <c r="X234">
        <v>2</v>
      </c>
      <c r="Y234" t="s">
        <v>5185</v>
      </c>
      <c r="Z234" t="s">
        <v>6827</v>
      </c>
      <c r="AA234">
        <v>0.2554911217542613</v>
      </c>
      <c r="AB234">
        <f>HYPERLINK("Melting_Curves/meltCurve_P0A729_yceF.pdf", "Melting_Curves/meltCurve_P0A729_yceF.pdf")</f>
        <v>0</v>
      </c>
    </row>
    <row r="235" spans="1:28">
      <c r="A235" t="s">
        <v>261</v>
      </c>
      <c r="B235">
        <v>0.999984544473304</v>
      </c>
      <c r="C235">
        <v>1.01742150635622</v>
      </c>
      <c r="D235">
        <v>0.422595450780313</v>
      </c>
      <c r="E235">
        <v>0.822800885360174</v>
      </c>
      <c r="F235">
        <v>0.647101174813616</v>
      </c>
      <c r="G235">
        <v>0.516751100284641</v>
      </c>
      <c r="H235">
        <v>0.5847439898540771</v>
      </c>
      <c r="I235">
        <v>0.508851057704815</v>
      </c>
      <c r="J235">
        <v>0.444637705966425</v>
      </c>
      <c r="K235">
        <v>0.523225968267004</v>
      </c>
      <c r="L235">
        <v>10306.9864757753</v>
      </c>
      <c r="M235">
        <v>250</v>
      </c>
      <c r="O235">
        <v>41.2252911342183</v>
      </c>
      <c r="P235">
        <v>-0.668828132639164</v>
      </c>
      <c r="Q235">
        <v>0.558837671552694</v>
      </c>
      <c r="R235">
        <v>0.736836431993802</v>
      </c>
      <c r="S235" t="s">
        <v>1903</v>
      </c>
      <c r="T235" t="s">
        <v>3312</v>
      </c>
      <c r="U235" t="s">
        <v>3312</v>
      </c>
      <c r="V235" t="s">
        <v>3312</v>
      </c>
      <c r="W235" t="s">
        <v>3547</v>
      </c>
      <c r="X235">
        <v>1</v>
      </c>
      <c r="Y235" t="s">
        <v>5186</v>
      </c>
      <c r="Z235" t="s">
        <v>6828</v>
      </c>
      <c r="AA235">
        <v>0.621043273561823</v>
      </c>
      <c r="AB235">
        <f>HYPERLINK("Melting_Curves/meltCurve_P0A731_mgsA.pdf", "Melting_Curves/meltCurve_P0A731_mgsA.pdf")</f>
        <v>0</v>
      </c>
    </row>
    <row r="236" spans="1:28">
      <c r="A236" t="s">
        <v>262</v>
      </c>
      <c r="B236">
        <v>0.999984544473304</v>
      </c>
      <c r="C236">
        <v>1.07457964261014</v>
      </c>
      <c r="D236">
        <v>0.835294501420435</v>
      </c>
      <c r="E236">
        <v>0.9445715651507141</v>
      </c>
      <c r="F236">
        <v>0.829526391311958</v>
      </c>
      <c r="G236">
        <v>0.746032594996653</v>
      </c>
      <c r="H236">
        <v>0.695627599812851</v>
      </c>
      <c r="I236">
        <v>0.565110249498081</v>
      </c>
      <c r="J236">
        <v>0.47081223361026</v>
      </c>
      <c r="K236">
        <v>0.474583809828313</v>
      </c>
      <c r="L236">
        <v>415.762519068455</v>
      </c>
      <c r="M236">
        <v>6.86099933816184</v>
      </c>
      <c r="N236">
        <v>64.4070550935071</v>
      </c>
      <c r="O236">
        <v>56.0765513284252</v>
      </c>
      <c r="P236">
        <v>-0.0255374984332606</v>
      </c>
      <c r="Q236">
        <v>0.166766469159926</v>
      </c>
      <c r="R236">
        <v>0.9314118264565699</v>
      </c>
      <c r="S236" t="s">
        <v>1904</v>
      </c>
      <c r="T236" t="s">
        <v>3312</v>
      </c>
      <c r="U236" t="s">
        <v>3312</v>
      </c>
      <c r="V236" t="s">
        <v>3312</v>
      </c>
      <c r="W236" t="s">
        <v>3548</v>
      </c>
      <c r="X236">
        <v>3</v>
      </c>
      <c r="Y236" t="s">
        <v>5187</v>
      </c>
      <c r="Z236" t="s">
        <v>6829</v>
      </c>
      <c r="AA236">
        <v>0.7680614715284643</v>
      </c>
      <c r="AB236">
        <f>HYPERLINK("Melting_Curves/meltCurve_P0A734_minE.pdf", "Melting_Curves/meltCurve_P0A734_minE.pdf")</f>
        <v>0</v>
      </c>
    </row>
    <row r="237" spans="1:28">
      <c r="A237" t="s">
        <v>263</v>
      </c>
      <c r="B237">
        <v>0.999984544473304</v>
      </c>
      <c r="C237">
        <v>0.8705534792904071</v>
      </c>
      <c r="D237">
        <v>0.926432330400099</v>
      </c>
      <c r="E237">
        <v>0.858886475422485</v>
      </c>
      <c r="F237">
        <v>0.871571338741265</v>
      </c>
      <c r="G237">
        <v>0.773218956770974</v>
      </c>
      <c r="H237">
        <v>0.706997148220009</v>
      </c>
      <c r="I237">
        <v>0.69298766827977</v>
      </c>
      <c r="J237">
        <v>0.639177058430155</v>
      </c>
      <c r="K237">
        <v>0.5497437228385</v>
      </c>
      <c r="L237">
        <v>248.377138459421</v>
      </c>
      <c r="M237">
        <v>3.3727542764258</v>
      </c>
      <c r="O237">
        <v>56.9247418578333</v>
      </c>
      <c r="P237">
        <v>-0.0151362462506667</v>
      </c>
      <c r="Q237">
        <v>0</v>
      </c>
      <c r="R237">
        <v>0.936734151407641</v>
      </c>
      <c r="S237" t="s">
        <v>1905</v>
      </c>
      <c r="T237" t="s">
        <v>3312</v>
      </c>
      <c r="U237" t="s">
        <v>3312</v>
      </c>
      <c r="V237" t="s">
        <v>3312</v>
      </c>
      <c r="W237" t="s">
        <v>3549</v>
      </c>
      <c r="X237">
        <v>6</v>
      </c>
      <c r="Y237" t="s">
        <v>5188</v>
      </c>
      <c r="Z237" t="s">
        <v>6830</v>
      </c>
      <c r="AA237">
        <v>0.7932790773210143</v>
      </c>
      <c r="AB237">
        <f>HYPERLINK("Melting_Curves/meltCurve_P0A738_moaC.pdf", "Melting_Curves/meltCurve_P0A738_moaC.pdf")</f>
        <v>0</v>
      </c>
    </row>
    <row r="238" spans="1:28">
      <c r="A238" t="s">
        <v>264</v>
      </c>
      <c r="B238">
        <v>0.999984544473304</v>
      </c>
      <c r="C238">
        <v>0.787781619140925</v>
      </c>
      <c r="D238">
        <v>1.26164989375357</v>
      </c>
      <c r="E238">
        <v>1.06319719931295</v>
      </c>
      <c r="F238">
        <v>1.2578228260181</v>
      </c>
      <c r="G238">
        <v>1.1520724913238</v>
      </c>
      <c r="H238">
        <v>1.14656029933975</v>
      </c>
      <c r="I238">
        <v>1.03058620947255</v>
      </c>
      <c r="J238">
        <v>0.96968424157833</v>
      </c>
      <c r="K238">
        <v>0.751687898109422</v>
      </c>
      <c r="L238">
        <v>15000</v>
      </c>
      <c r="M238">
        <v>232.036212525811</v>
      </c>
      <c r="O238">
        <v>64.6402818854866</v>
      </c>
      <c r="P238">
        <v>-0.222902591606363</v>
      </c>
      <c r="Q238">
        <v>0.75161659906522</v>
      </c>
      <c r="R238">
        <v>0.163478843727946</v>
      </c>
      <c r="S238" t="s">
        <v>1906</v>
      </c>
      <c r="T238" t="s">
        <v>3312</v>
      </c>
      <c r="U238" t="s">
        <v>3312</v>
      </c>
      <c r="V238" t="s">
        <v>3312</v>
      </c>
      <c r="W238" t="s">
        <v>3550</v>
      </c>
      <c r="X238">
        <v>3</v>
      </c>
      <c r="Y238" t="s">
        <v>5189</v>
      </c>
      <c r="Z238" t="s">
        <v>6831</v>
      </c>
      <c r="AA238">
        <v>0.9805345773158842</v>
      </c>
      <c r="AB238">
        <f>HYPERLINK("Melting_Curves/meltCurve_P0A742_mscL.pdf", "Melting_Curves/meltCurve_P0A742_mscL.pdf")</f>
        <v>0</v>
      </c>
    </row>
    <row r="239" spans="1:28">
      <c r="A239" t="s">
        <v>265</v>
      </c>
      <c r="B239">
        <v>0.999984544473304</v>
      </c>
      <c r="C239">
        <v>1.05960465440882</v>
      </c>
      <c r="D239">
        <v>0.707557800704449</v>
      </c>
      <c r="E239">
        <v>0.886819959980367</v>
      </c>
      <c r="F239">
        <v>0.650514623395043</v>
      </c>
      <c r="G239">
        <v>0.399427565468842</v>
      </c>
      <c r="H239">
        <v>0.291876730112428</v>
      </c>
      <c r="I239">
        <v>0.239672749009802</v>
      </c>
      <c r="J239">
        <v>0.160350687812912</v>
      </c>
      <c r="K239">
        <v>0.201092029279315</v>
      </c>
      <c r="L239">
        <v>591.301247464384</v>
      </c>
      <c r="M239">
        <v>11.5081610326698</v>
      </c>
      <c r="N239">
        <v>52.4630406713057</v>
      </c>
      <c r="O239">
        <v>49.903034533391</v>
      </c>
      <c r="P239">
        <v>-0.0515767202369733</v>
      </c>
      <c r="Q239">
        <v>0.105641471462365</v>
      </c>
      <c r="R239">
        <v>0.938041265436202</v>
      </c>
      <c r="S239" t="s">
        <v>1907</v>
      </c>
      <c r="T239" t="s">
        <v>3312</v>
      </c>
      <c r="U239" t="s">
        <v>3312</v>
      </c>
      <c r="V239" t="s">
        <v>3312</v>
      </c>
      <c r="W239" t="s">
        <v>3551</v>
      </c>
      <c r="X239">
        <v>2</v>
      </c>
      <c r="Y239" t="s">
        <v>5190</v>
      </c>
      <c r="Z239" t="s">
        <v>6832</v>
      </c>
      <c r="AA239">
        <v>0.5577648256561279</v>
      </c>
      <c r="AB239">
        <f>HYPERLINK("Melting_Curves/meltCurve_P0A744_msrA.pdf", "Melting_Curves/meltCurve_P0A744_msrA.pdf")</f>
        <v>0</v>
      </c>
    </row>
    <row r="240" spans="1:28">
      <c r="A240" t="s">
        <v>266</v>
      </c>
      <c r="B240">
        <v>0.999984544473304</v>
      </c>
      <c r="C240">
        <v>0.9255905026717191</v>
      </c>
      <c r="D240">
        <v>1.03565434388224</v>
      </c>
      <c r="E240">
        <v>1.07440821504267</v>
      </c>
      <c r="F240">
        <v>1.15098563966323</v>
      </c>
      <c r="G240">
        <v>1.07509228721776</v>
      </c>
      <c r="H240">
        <v>0.89040191092141</v>
      </c>
      <c r="I240">
        <v>0.793172842872548</v>
      </c>
      <c r="J240">
        <v>0.563073140410373</v>
      </c>
      <c r="K240">
        <v>0.574085157124082</v>
      </c>
      <c r="L240">
        <v>2002.89311021226</v>
      </c>
      <c r="M240">
        <v>32.8995586399313</v>
      </c>
      <c r="O240">
        <v>60.6554132594207</v>
      </c>
      <c r="P240">
        <v>-0.0638348041726476</v>
      </c>
      <c r="Q240">
        <v>0.52924481678772</v>
      </c>
      <c r="R240">
        <v>0.874188982391257</v>
      </c>
      <c r="S240" t="s">
        <v>1908</v>
      </c>
      <c r="T240" t="s">
        <v>3312</v>
      </c>
      <c r="U240" t="s">
        <v>3312</v>
      </c>
      <c r="V240" t="s">
        <v>3312</v>
      </c>
      <c r="W240" t="s">
        <v>3552</v>
      </c>
      <c r="X240">
        <v>3</v>
      </c>
      <c r="Y240" t="s">
        <v>5191</v>
      </c>
      <c r="Z240" t="s">
        <v>6833</v>
      </c>
      <c r="AA240">
        <v>0.9050644790254453</v>
      </c>
      <c r="AB240">
        <f>HYPERLINK("Melting_Curves/meltCurve_P0A746_msrB.pdf", "Melting_Curves/meltCurve_P0A746_msrB.pdf")</f>
        <v>0</v>
      </c>
    </row>
    <row r="241" spans="1:28">
      <c r="A241" t="s">
        <v>267</v>
      </c>
      <c r="B241">
        <v>0.999984544473304</v>
      </c>
      <c r="C241">
        <v>0.924374726587881</v>
      </c>
      <c r="D241">
        <v>0.80884019188181</v>
      </c>
      <c r="E241">
        <v>0.443783129795206</v>
      </c>
      <c r="F241">
        <v>0.129811691423074</v>
      </c>
      <c r="G241">
        <v>0.054168156438133</v>
      </c>
      <c r="H241">
        <v>0.041300549783086</v>
      </c>
      <c r="I241">
        <v>0.028859755921174</v>
      </c>
      <c r="J241">
        <v>0.0207952710528228</v>
      </c>
      <c r="K241">
        <v>0.0214297503196241</v>
      </c>
      <c r="L241">
        <v>971.093102705303</v>
      </c>
      <c r="M241">
        <v>21.1749217280829</v>
      </c>
      <c r="N241">
        <v>45.9406944178213</v>
      </c>
      <c r="O241">
        <v>45.4574037705087</v>
      </c>
      <c r="P241">
        <v>-0.114345531858016</v>
      </c>
      <c r="Q241">
        <v>0.018137791434658</v>
      </c>
      <c r="R241">
        <v>0.998475716174386</v>
      </c>
      <c r="S241" t="s">
        <v>1909</v>
      </c>
      <c r="T241" t="s">
        <v>3312</v>
      </c>
      <c r="U241" t="s">
        <v>3312</v>
      </c>
      <c r="V241" t="s">
        <v>3312</v>
      </c>
      <c r="W241" t="s">
        <v>3553</v>
      </c>
      <c r="X241">
        <v>10</v>
      </c>
      <c r="Y241" t="s">
        <v>5192</v>
      </c>
      <c r="Z241" t="s">
        <v>6834</v>
      </c>
      <c r="AA241">
        <v>0.3195566918493988</v>
      </c>
      <c r="AB241">
        <f>HYPERLINK("Melting_Curves/meltCurve_P0A749_murA.pdf", "Melting_Curves/meltCurve_P0A749_murA.pdf")</f>
        <v>0</v>
      </c>
    </row>
    <row r="242" spans="1:28">
      <c r="A242" t="s">
        <v>268</v>
      </c>
      <c r="B242">
        <v>0.999984544473304</v>
      </c>
      <c r="C242">
        <v>0.9820899647828</v>
      </c>
      <c r="D242">
        <v>1.13271968209088</v>
      </c>
      <c r="E242">
        <v>1.01812073026353</v>
      </c>
      <c r="F242">
        <v>1.00841387367983</v>
      </c>
      <c r="G242">
        <v>1.08357730774466</v>
      </c>
      <c r="H242">
        <v>0.651771792792897</v>
      </c>
      <c r="I242">
        <v>0.127395113050524</v>
      </c>
      <c r="J242">
        <v>0.0278204123594789</v>
      </c>
      <c r="K242">
        <v>0.018955082221481</v>
      </c>
      <c r="L242">
        <v>3062.29615640657</v>
      </c>
      <c r="M242">
        <v>52.7079762723326</v>
      </c>
      <c r="N242">
        <v>58.1661039454109</v>
      </c>
      <c r="O242">
        <v>58.0158414016852</v>
      </c>
      <c r="P242">
        <v>-0.22045767255128</v>
      </c>
      <c r="Q242">
        <v>0.0293667610582021</v>
      </c>
      <c r="R242">
        <v>0.985150898930806</v>
      </c>
      <c r="S242" t="s">
        <v>1910</v>
      </c>
      <c r="T242" t="s">
        <v>3312</v>
      </c>
      <c r="U242" t="s">
        <v>3312</v>
      </c>
      <c r="V242" t="s">
        <v>3312</v>
      </c>
      <c r="W242" t="s">
        <v>3554</v>
      </c>
      <c r="X242">
        <v>7</v>
      </c>
      <c r="Y242" t="s">
        <v>5193</v>
      </c>
      <c r="Z242" t="s">
        <v>6835</v>
      </c>
      <c r="AA242">
        <v>0.7142146593281723</v>
      </c>
      <c r="AB242">
        <f>HYPERLINK("Melting_Curves/meltCurve_P0A759_nagB.pdf", "Melting_Curves/meltCurve_P0A759_nagB.pdf")</f>
        <v>0</v>
      </c>
    </row>
    <row r="243" spans="1:28">
      <c r="A243" t="s">
        <v>269</v>
      </c>
      <c r="B243">
        <v>0.999984544473304</v>
      </c>
      <c r="C243">
        <v>0.792291885962719</v>
      </c>
      <c r="D243">
        <v>1.04044610271077</v>
      </c>
      <c r="E243">
        <v>0.825062365255912</v>
      </c>
      <c r="F243">
        <v>0.493660174533536</v>
      </c>
      <c r="G243">
        <v>0.09427095644264311</v>
      </c>
      <c r="H243">
        <v>0.098180447514393</v>
      </c>
      <c r="I243">
        <v>0.042108447894546</v>
      </c>
      <c r="J243">
        <v>0.0259380616312406</v>
      </c>
      <c r="K243">
        <v>0.0274132540318519</v>
      </c>
      <c r="L243">
        <v>1296.72106815655</v>
      </c>
      <c r="M243">
        <v>26.0590321726909</v>
      </c>
      <c r="N243">
        <v>49.876667226461</v>
      </c>
      <c r="O243">
        <v>49.4706420882402</v>
      </c>
      <c r="P243">
        <v>-0.127826494262545</v>
      </c>
      <c r="Q243">
        <v>0.029344375297713</v>
      </c>
      <c r="R243">
        <v>0.968772273044635</v>
      </c>
      <c r="S243" t="s">
        <v>1911</v>
      </c>
      <c r="T243" t="s">
        <v>3312</v>
      </c>
      <c r="U243" t="s">
        <v>3312</v>
      </c>
      <c r="V243" t="s">
        <v>3312</v>
      </c>
      <c r="W243" t="s">
        <v>3555</v>
      </c>
      <c r="X243">
        <v>3</v>
      </c>
      <c r="Y243" t="s">
        <v>5194</v>
      </c>
      <c r="Z243" t="s">
        <v>6836</v>
      </c>
      <c r="AA243">
        <v>0.4500425543497493</v>
      </c>
      <c r="AB243">
        <f>HYPERLINK("Melting_Curves/meltCurve_P0A761_nanE.pdf", "Melting_Curves/meltCurve_P0A761_nanE.pdf")</f>
        <v>0</v>
      </c>
    </row>
    <row r="244" spans="1:28">
      <c r="A244" t="s">
        <v>270</v>
      </c>
      <c r="B244">
        <v>0.999984544473304</v>
      </c>
      <c r="C244">
        <v>0.925191924289983</v>
      </c>
      <c r="D244">
        <v>0.8694917845642141</v>
      </c>
      <c r="E244">
        <v>0.497483014316116</v>
      </c>
      <c r="F244">
        <v>0.230289631750123</v>
      </c>
      <c r="G244">
        <v>0.0827272843155672</v>
      </c>
      <c r="H244">
        <v>0.054154269855899</v>
      </c>
      <c r="I244">
        <v>0.029637402777704</v>
      </c>
      <c r="J244">
        <v>0.024849612252505</v>
      </c>
      <c r="K244">
        <v>0.0232805218749838</v>
      </c>
      <c r="L244">
        <v>906.118437640951</v>
      </c>
      <c r="M244">
        <v>19.4318584266989</v>
      </c>
      <c r="N244">
        <v>46.7378149485653</v>
      </c>
      <c r="O244">
        <v>46.1451212533067</v>
      </c>
      <c r="P244">
        <v>-0.102983824822436</v>
      </c>
      <c r="Q244">
        <v>0.0218065286979068</v>
      </c>
      <c r="R244">
        <v>0.998087531344013</v>
      </c>
      <c r="S244" t="s">
        <v>1912</v>
      </c>
      <c r="T244" t="s">
        <v>3312</v>
      </c>
      <c r="U244" t="s">
        <v>3312</v>
      </c>
      <c r="V244" t="s">
        <v>3312</v>
      </c>
      <c r="W244" t="s">
        <v>3556</v>
      </c>
      <c r="X244">
        <v>4</v>
      </c>
      <c r="Y244" t="s">
        <v>5195</v>
      </c>
      <c r="Z244" t="s">
        <v>6837</v>
      </c>
      <c r="AA244">
        <v>0.3493694591075441</v>
      </c>
      <c r="AB244">
        <f>HYPERLINK("Melting_Curves/meltCurve_P0A763_ndk.pdf", "Melting_Curves/meltCurve_P0A763_ndk.pdf")</f>
        <v>0</v>
      </c>
    </row>
    <row r="245" spans="1:28">
      <c r="A245" t="s">
        <v>271</v>
      </c>
      <c r="B245">
        <v>0.999984544473304</v>
      </c>
      <c r="C245">
        <v>0.894986810145426</v>
      </c>
      <c r="D245">
        <v>0.894092744597892</v>
      </c>
      <c r="E245">
        <v>0.915523890076977</v>
      </c>
      <c r="F245">
        <v>0.974433236613334</v>
      </c>
      <c r="G245">
        <v>0.5568003419952</v>
      </c>
      <c r="H245">
        <v>0.388629024457071</v>
      </c>
      <c r="I245">
        <v>0.288511723150101</v>
      </c>
      <c r="J245">
        <v>0.192802187013966</v>
      </c>
      <c r="K245">
        <v>0.15513141412755</v>
      </c>
      <c r="L245">
        <v>1178.57476755934</v>
      </c>
      <c r="M245">
        <v>21.7251082590306</v>
      </c>
      <c r="N245">
        <v>55.339468568147</v>
      </c>
      <c r="O245">
        <v>53.7960613830233</v>
      </c>
      <c r="P245">
        <v>-0.0833882473335287</v>
      </c>
      <c r="Q245">
        <v>0.17407011962031</v>
      </c>
      <c r="R245">
        <v>0.959948948321782</v>
      </c>
      <c r="S245" t="s">
        <v>1913</v>
      </c>
      <c r="T245" t="s">
        <v>3312</v>
      </c>
      <c r="U245" t="s">
        <v>3312</v>
      </c>
      <c r="V245" t="s">
        <v>3312</v>
      </c>
      <c r="W245" t="s">
        <v>3557</v>
      </c>
      <c r="X245">
        <v>6</v>
      </c>
      <c r="Y245" t="s">
        <v>5196</v>
      </c>
      <c r="Z245" t="s">
        <v>6838</v>
      </c>
      <c r="AA245">
        <v>0.6578047553413114</v>
      </c>
      <c r="AB245">
        <f>HYPERLINK("Melting_Curves/meltCurve_P0A780_nusB.pdf", "Melting_Curves/meltCurve_P0A780_nusB.pdf")</f>
        <v>0</v>
      </c>
    </row>
    <row r="246" spans="1:28">
      <c r="A246" t="s">
        <v>272</v>
      </c>
      <c r="B246">
        <v>0.999984544473304</v>
      </c>
      <c r="C246">
        <v>0.798347280996912</v>
      </c>
      <c r="D246">
        <v>1.25381339307425</v>
      </c>
      <c r="E246">
        <v>0.967331043383589</v>
      </c>
      <c r="F246">
        <v>0.859831807587764</v>
      </c>
      <c r="G246">
        <v>0.450410542595971</v>
      </c>
      <c r="H246">
        <v>0.191520257898398</v>
      </c>
      <c r="I246">
        <v>0.141974563755158</v>
      </c>
      <c r="J246">
        <v>0.108026259939218</v>
      </c>
      <c r="K246">
        <v>0.131814004878155</v>
      </c>
      <c r="L246">
        <v>1635.20777131699</v>
      </c>
      <c r="M246">
        <v>30.9077867369117</v>
      </c>
      <c r="N246">
        <v>53.3824681336004</v>
      </c>
      <c r="O246">
        <v>52.6860186230298</v>
      </c>
      <c r="P246">
        <v>-0.128982485635842</v>
      </c>
      <c r="Q246">
        <v>0.120540805816242</v>
      </c>
      <c r="R246">
        <v>0.9370872544904419</v>
      </c>
      <c r="S246" t="s">
        <v>1914</v>
      </c>
      <c r="T246" t="s">
        <v>3312</v>
      </c>
      <c r="U246" t="s">
        <v>3312</v>
      </c>
      <c r="V246" t="s">
        <v>3312</v>
      </c>
      <c r="W246" t="s">
        <v>3558</v>
      </c>
      <c r="X246">
        <v>6</v>
      </c>
      <c r="Y246" t="s">
        <v>5197</v>
      </c>
      <c r="Z246" t="s">
        <v>6839</v>
      </c>
      <c r="AA246">
        <v>0.5921196223587349</v>
      </c>
      <c r="AB246">
        <f>HYPERLINK("Melting_Curves/meltCurve_P0A784_orn.pdf", "Melting_Curves/meltCurve_P0A784_orn.pdf")</f>
        <v>0</v>
      </c>
    </row>
    <row r="247" spans="1:28">
      <c r="A247" t="s">
        <v>273</v>
      </c>
      <c r="B247">
        <v>0.999984544473304</v>
      </c>
      <c r="C247">
        <v>0.999330086997956</v>
      </c>
      <c r="D247">
        <v>0.955336925831663</v>
      </c>
      <c r="E247">
        <v>0.861059953238276</v>
      </c>
      <c r="F247">
        <v>0.7777736080915429</v>
      </c>
      <c r="G247">
        <v>0.64630580298274</v>
      </c>
      <c r="H247">
        <v>0.599576447583952</v>
      </c>
      <c r="I247">
        <v>0.53944433504769</v>
      </c>
      <c r="J247">
        <v>0.473252336197276</v>
      </c>
      <c r="K247">
        <v>0.498677507496777</v>
      </c>
      <c r="L247">
        <v>593.614454149777</v>
      </c>
      <c r="M247">
        <v>11.5049688362218</v>
      </c>
      <c r="N247">
        <v>64.4894209268992</v>
      </c>
      <c r="O247">
        <v>50.1113736941884</v>
      </c>
      <c r="P247">
        <v>-0.0315843500289807</v>
      </c>
      <c r="Q247">
        <v>0.44987728102154</v>
      </c>
      <c r="R247">
        <v>0.994023269221862</v>
      </c>
      <c r="S247" t="s">
        <v>1915</v>
      </c>
      <c r="T247" t="s">
        <v>3312</v>
      </c>
      <c r="U247" t="s">
        <v>3312</v>
      </c>
      <c r="V247" t="s">
        <v>3312</v>
      </c>
      <c r="W247" t="s">
        <v>3559</v>
      </c>
      <c r="X247">
        <v>1</v>
      </c>
      <c r="Y247" t="s">
        <v>5198</v>
      </c>
      <c r="Z247" t="s">
        <v>6840</v>
      </c>
      <c r="AA247">
        <v>0.7316253020637162</v>
      </c>
      <c r="AB247">
        <f>HYPERLINK("Melting_Curves/meltCurve_P0A790_panD.pdf", "Melting_Curves/meltCurve_P0A790_panD.pdf")</f>
        <v>0</v>
      </c>
    </row>
    <row r="248" spans="1:28">
      <c r="A248" t="s">
        <v>274</v>
      </c>
      <c r="B248">
        <v>0.999984544473304</v>
      </c>
      <c r="C248">
        <v>1.0049846141158</v>
      </c>
      <c r="D248">
        <v>1.12877202529298</v>
      </c>
      <c r="E248">
        <v>0.901846113697602</v>
      </c>
      <c r="F248">
        <v>0.393434167517714</v>
      </c>
      <c r="G248">
        <v>0.254318467521745</v>
      </c>
      <c r="H248">
        <v>0.19069536864442</v>
      </c>
      <c r="I248">
        <v>0.160518380582082</v>
      </c>
      <c r="J248">
        <v>0.105112460069788</v>
      </c>
      <c r="K248">
        <v>0.06311168305071781</v>
      </c>
      <c r="L248">
        <v>1727.11575633996</v>
      </c>
      <c r="M248">
        <v>35.1435841289249</v>
      </c>
      <c r="N248">
        <v>49.6155933890441</v>
      </c>
      <c r="O248">
        <v>48.9862399539363</v>
      </c>
      <c r="P248">
        <v>-0.153914153637854</v>
      </c>
      <c r="Q248">
        <v>0.14184619191646</v>
      </c>
      <c r="R248">
        <v>0.979820726102114</v>
      </c>
      <c r="S248" t="s">
        <v>1916</v>
      </c>
      <c r="T248" t="s">
        <v>3312</v>
      </c>
      <c r="U248" t="s">
        <v>3312</v>
      </c>
      <c r="V248" t="s">
        <v>3312</v>
      </c>
      <c r="W248" t="s">
        <v>3560</v>
      </c>
      <c r="X248">
        <v>4</v>
      </c>
      <c r="Y248" t="s">
        <v>5199</v>
      </c>
      <c r="Z248" t="s">
        <v>6841</v>
      </c>
      <c r="AA248">
        <v>0.4930235834650444</v>
      </c>
      <c r="AB248">
        <f>HYPERLINK("Melting_Curves/meltCurve_P0A794_pdxJ.pdf", "Melting_Curves/meltCurve_P0A794_pdxJ.pdf")</f>
        <v>0</v>
      </c>
    </row>
    <row r="249" spans="1:28">
      <c r="A249" t="s">
        <v>275</v>
      </c>
      <c r="B249">
        <v>0.999984544473304</v>
      </c>
      <c r="C249">
        <v>0.830649992744799</v>
      </c>
      <c r="D249">
        <v>0.849550455443067</v>
      </c>
      <c r="E249">
        <v>0.8260680701601411</v>
      </c>
      <c r="F249">
        <v>0.685081947973203</v>
      </c>
      <c r="G249">
        <v>0.382339468154177</v>
      </c>
      <c r="H249">
        <v>0.168796758688189</v>
      </c>
      <c r="I249">
        <v>0.0494777072774839</v>
      </c>
      <c r="J249">
        <v>0.0244826052802548</v>
      </c>
      <c r="K249">
        <v>0.021527734456659</v>
      </c>
      <c r="L249">
        <v>775.172329852762</v>
      </c>
      <c r="M249">
        <v>14.9456191836325</v>
      </c>
      <c r="N249">
        <v>51.8662123594143</v>
      </c>
      <c r="O249">
        <v>50.9641842670063</v>
      </c>
      <c r="P249">
        <v>-0.07332181088748629</v>
      </c>
      <c r="Q249">
        <v>0</v>
      </c>
      <c r="R249">
        <v>0.968110000854659</v>
      </c>
      <c r="S249" t="s">
        <v>1917</v>
      </c>
      <c r="T249" t="s">
        <v>3312</v>
      </c>
      <c r="U249" t="s">
        <v>3312</v>
      </c>
      <c r="V249" t="s">
        <v>3312</v>
      </c>
      <c r="W249" t="s">
        <v>3561</v>
      </c>
      <c r="X249">
        <v>9</v>
      </c>
      <c r="Y249" t="s">
        <v>5200</v>
      </c>
      <c r="Z249" t="s">
        <v>6842</v>
      </c>
      <c r="AA249">
        <v>0.514906060003585</v>
      </c>
      <c r="AB249">
        <f>HYPERLINK("Melting_Curves/meltCurve_P0A796_pfkA.pdf", "Melting_Curves/meltCurve_P0A796_pfkA.pdf")</f>
        <v>0</v>
      </c>
    </row>
    <row r="250" spans="1:28">
      <c r="A250" t="s">
        <v>276</v>
      </c>
      <c r="B250">
        <v>0.999984544473304</v>
      </c>
      <c r="C250">
        <v>0.90302566429817</v>
      </c>
      <c r="D250">
        <v>0.97148240215113</v>
      </c>
      <c r="E250">
        <v>0.844192916500099</v>
      </c>
      <c r="F250">
        <v>0.892618670444969</v>
      </c>
      <c r="G250">
        <v>0.650074611363069</v>
      </c>
      <c r="H250">
        <v>0.298203531037579</v>
      </c>
      <c r="I250">
        <v>0.0535320166225606</v>
      </c>
      <c r="J250">
        <v>0.0277960111423384</v>
      </c>
      <c r="K250">
        <v>0.0254170144523941</v>
      </c>
      <c r="L250">
        <v>1236.10742508382</v>
      </c>
      <c r="M250">
        <v>22.4498353375053</v>
      </c>
      <c r="N250">
        <v>55.0608792165465</v>
      </c>
      <c r="O250">
        <v>54.6295669025065</v>
      </c>
      <c r="P250">
        <v>-0.102738769675737</v>
      </c>
      <c r="Q250">
        <v>0</v>
      </c>
      <c r="R250">
        <v>0.979321613355824</v>
      </c>
      <c r="S250" t="s">
        <v>1918</v>
      </c>
      <c r="T250" t="s">
        <v>3312</v>
      </c>
      <c r="U250" t="s">
        <v>3312</v>
      </c>
      <c r="V250" t="s">
        <v>3312</v>
      </c>
      <c r="W250" t="s">
        <v>3562</v>
      </c>
      <c r="X250">
        <v>16</v>
      </c>
      <c r="Y250" t="s">
        <v>5201</v>
      </c>
      <c r="Z250" t="s">
        <v>6843</v>
      </c>
      <c r="AA250">
        <v>0.6118754600622131</v>
      </c>
      <c r="AB250">
        <f>HYPERLINK("Melting_Curves/meltCurve_P0A799_pgk.pdf", "Melting_Curves/meltCurve_P0A799_pgk.pdf")</f>
        <v>0</v>
      </c>
    </row>
    <row r="251" spans="1:28">
      <c r="A251" t="s">
        <v>277</v>
      </c>
      <c r="B251">
        <v>0.999984544473304</v>
      </c>
      <c r="C251">
        <v>0.795153708769191</v>
      </c>
      <c r="D251">
        <v>0.508623894437959</v>
      </c>
      <c r="E251">
        <v>0.371842533069067</v>
      </c>
      <c r="F251">
        <v>0.173748959473038</v>
      </c>
      <c r="G251">
        <v>0.0887601502585572</v>
      </c>
      <c r="H251">
        <v>0.0652533905232819</v>
      </c>
      <c r="I251">
        <v>0.0535553850826359</v>
      </c>
      <c r="J251">
        <v>0.0478319383349798</v>
      </c>
      <c r="K251">
        <v>0.0443822824068873</v>
      </c>
      <c r="L251">
        <v>616.45412469976</v>
      </c>
      <c r="M251">
        <v>14.1248533665833</v>
      </c>
      <c r="N251">
        <v>43.8915463751393</v>
      </c>
      <c r="O251">
        <v>42.796371383113</v>
      </c>
      <c r="P251">
        <v>-0.079353487739593</v>
      </c>
      <c r="Q251">
        <v>0.0384019524336307</v>
      </c>
      <c r="R251">
        <v>0.989038281137217</v>
      </c>
      <c r="S251" t="s">
        <v>1919</v>
      </c>
      <c r="T251" t="s">
        <v>3312</v>
      </c>
      <c r="U251" t="s">
        <v>3312</v>
      </c>
      <c r="V251" t="s">
        <v>3312</v>
      </c>
      <c r="W251" t="s">
        <v>3563</v>
      </c>
      <c r="X251">
        <v>2</v>
      </c>
      <c r="Y251" t="s">
        <v>5202</v>
      </c>
      <c r="Z251" t="s">
        <v>6844</v>
      </c>
      <c r="AA251">
        <v>0.278936518948499</v>
      </c>
      <c r="AB251">
        <f>HYPERLINK("Melting_Curves/meltCurve_P0A7A2_gpmB.pdf", "Melting_Curves/meltCurve_P0A7A2_gpmB.pdf")</f>
        <v>0</v>
      </c>
    </row>
    <row r="252" spans="1:28">
      <c r="A252" t="s">
        <v>278</v>
      </c>
      <c r="B252">
        <v>0.999984544473304</v>
      </c>
      <c r="C252">
        <v>1.08271155606492</v>
      </c>
      <c r="D252">
        <v>1.08564378379095</v>
      </c>
      <c r="E252">
        <v>1.15712509645036</v>
      </c>
      <c r="F252">
        <v>0.933532610780484</v>
      </c>
      <c r="G252">
        <v>0.820725141456177</v>
      </c>
      <c r="H252">
        <v>0.591959608605757</v>
      </c>
      <c r="I252">
        <v>0.511886479524125</v>
      </c>
      <c r="J252">
        <v>0.378701757262026</v>
      </c>
      <c r="K252">
        <v>0.593135726881007</v>
      </c>
      <c r="L252">
        <v>1728.53033490077</v>
      </c>
      <c r="M252">
        <v>31.5490003685959</v>
      </c>
      <c r="N252">
        <v>62.0548523772968</v>
      </c>
      <c r="O252">
        <v>54.5700385361757</v>
      </c>
      <c r="P252">
        <v>-0.0740648559658664</v>
      </c>
      <c r="Q252">
        <v>0.487565364340985</v>
      </c>
      <c r="R252">
        <v>0.906074078765254</v>
      </c>
      <c r="S252" t="s">
        <v>1920</v>
      </c>
      <c r="T252" t="s">
        <v>3312</v>
      </c>
      <c r="U252" t="s">
        <v>3312</v>
      </c>
      <c r="V252" t="s">
        <v>3312</v>
      </c>
      <c r="W252" t="s">
        <v>3564</v>
      </c>
      <c r="X252">
        <v>4</v>
      </c>
      <c r="Y252" t="s">
        <v>5203</v>
      </c>
      <c r="Z252" t="s">
        <v>6845</v>
      </c>
      <c r="AA252">
        <v>0.7944019922820369</v>
      </c>
      <c r="AB252">
        <f>HYPERLINK("Melting_Curves/meltCurve_P0A7A9_ppa.pdf", "Melting_Curves/meltCurve_P0A7A9_ppa.pdf")</f>
        <v>0</v>
      </c>
    </row>
    <row r="253" spans="1:28">
      <c r="A253" t="s">
        <v>279</v>
      </c>
      <c r="B253">
        <v>0.999984544473304</v>
      </c>
      <c r="C253">
        <v>0.956707196464101</v>
      </c>
      <c r="D253">
        <v>0.871275871509657</v>
      </c>
      <c r="E253">
        <v>0.855401290874523</v>
      </c>
      <c r="F253">
        <v>0.540262861590636</v>
      </c>
      <c r="G253">
        <v>0.292274644406241</v>
      </c>
      <c r="H253">
        <v>0.144534118821083</v>
      </c>
      <c r="I253">
        <v>0.0672934771063292</v>
      </c>
      <c r="J253">
        <v>0.0615850166116972</v>
      </c>
      <c r="K253">
        <v>0.0204138936656013</v>
      </c>
      <c r="L253">
        <v>787.997131793092</v>
      </c>
      <c r="M253">
        <v>15.5077357380815</v>
      </c>
      <c r="N253">
        <v>50.8392451282164</v>
      </c>
      <c r="O253">
        <v>49.9907137211275</v>
      </c>
      <c r="P253">
        <v>-0.0772526939539938</v>
      </c>
      <c r="Q253">
        <v>0.00396173356559823</v>
      </c>
      <c r="R253">
        <v>0.993708519479542</v>
      </c>
      <c r="S253" t="s">
        <v>1921</v>
      </c>
      <c r="T253" t="s">
        <v>3312</v>
      </c>
      <c r="U253" t="s">
        <v>3312</v>
      </c>
      <c r="V253" t="s">
        <v>3312</v>
      </c>
      <c r="W253" t="s">
        <v>3565</v>
      </c>
      <c r="X253">
        <v>1</v>
      </c>
      <c r="Y253" t="s">
        <v>5204</v>
      </c>
      <c r="Z253" t="s">
        <v>6846</v>
      </c>
      <c r="AA253">
        <v>0.48189331956924</v>
      </c>
      <c r="AB253">
        <f>HYPERLINK("Melting_Curves/meltCurve_P0A7B3_nadK.pdf", "Melting_Curves/meltCurve_P0A7B3_nadK.pdf")</f>
        <v>0</v>
      </c>
    </row>
    <row r="254" spans="1:28">
      <c r="A254" t="s">
        <v>280</v>
      </c>
      <c r="B254">
        <v>0.999984544473304</v>
      </c>
      <c r="C254">
        <v>0.81442296306272</v>
      </c>
      <c r="D254">
        <v>0.46245038027497</v>
      </c>
      <c r="E254">
        <v>0.51575218298253</v>
      </c>
      <c r="F254">
        <v>0.43250546280604</v>
      </c>
      <c r="G254">
        <v>0.326780336962944</v>
      </c>
      <c r="H254">
        <v>0.324303143074544</v>
      </c>
      <c r="I254">
        <v>0.27760465607492</v>
      </c>
      <c r="J254">
        <v>0.231110908740413</v>
      </c>
      <c r="K254">
        <v>0.252488036034045</v>
      </c>
      <c r="L254">
        <v>573.214932910884</v>
      </c>
      <c r="M254">
        <v>13.5104414340551</v>
      </c>
      <c r="N254">
        <v>45.1431204317754</v>
      </c>
      <c r="O254">
        <v>41.5303848889144</v>
      </c>
      <c r="P254">
        <v>-0.058714037100536</v>
      </c>
      <c r="Q254">
        <v>0.278174334021667</v>
      </c>
      <c r="R254">
        <v>0.923348279389563</v>
      </c>
      <c r="S254" t="s">
        <v>1922</v>
      </c>
      <c r="T254" t="s">
        <v>3312</v>
      </c>
      <c r="U254" t="s">
        <v>3312</v>
      </c>
      <c r="V254" t="s">
        <v>3312</v>
      </c>
      <c r="W254" t="s">
        <v>3566</v>
      </c>
      <c r="X254">
        <v>6</v>
      </c>
      <c r="Y254" t="s">
        <v>5205</v>
      </c>
      <c r="Z254" t="s">
        <v>6847</v>
      </c>
      <c r="AA254">
        <v>0.4336505613032781</v>
      </c>
      <c r="AB254">
        <f>HYPERLINK("Melting_Curves/meltCurve_P0A7B5_proB.pdf", "Melting_Curves/meltCurve_P0A7B5_proB.pdf")</f>
        <v>0</v>
      </c>
    </row>
    <row r="255" spans="1:28">
      <c r="A255" t="s">
        <v>281</v>
      </c>
      <c r="B255">
        <v>0.999984544473304</v>
      </c>
      <c r="C255">
        <v>1.04777405844848</v>
      </c>
      <c r="D255">
        <v>0.960702036715532</v>
      </c>
      <c r="E255">
        <v>1.0101412638814</v>
      </c>
      <c r="F255">
        <v>0.798813484280843</v>
      </c>
      <c r="G255">
        <v>0.920025666692462</v>
      </c>
      <c r="H255">
        <v>0.513995441571273</v>
      </c>
      <c r="I255">
        <v>0.531804025740367</v>
      </c>
      <c r="J255">
        <v>0.458259942588245</v>
      </c>
      <c r="K255">
        <v>0.5358311912504971</v>
      </c>
      <c r="L255">
        <v>4578.27055480965</v>
      </c>
      <c r="M255">
        <v>83.47729316348941</v>
      </c>
      <c r="O255">
        <v>54.813048760447</v>
      </c>
      <c r="P255">
        <v>-0.187671707662991</v>
      </c>
      <c r="Q255">
        <v>0.507082358034513</v>
      </c>
      <c r="R255">
        <v>0.907585282214936</v>
      </c>
      <c r="S255" t="s">
        <v>1923</v>
      </c>
      <c r="T255" t="s">
        <v>3312</v>
      </c>
      <c r="U255" t="s">
        <v>3312</v>
      </c>
      <c r="V255" t="s">
        <v>3312</v>
      </c>
      <c r="W255" t="s">
        <v>3567</v>
      </c>
      <c r="X255">
        <v>4</v>
      </c>
      <c r="Y255" t="s">
        <v>5206</v>
      </c>
      <c r="Z255" t="s">
        <v>6848</v>
      </c>
      <c r="AA255">
        <v>0.8007042891258506</v>
      </c>
      <c r="AB255">
        <f>HYPERLINK("Melting_Curves/meltCurve_P0A7B8_hslV.pdf", "Melting_Curves/meltCurve_P0A7B8_hslV.pdf")</f>
        <v>0</v>
      </c>
    </row>
    <row r="256" spans="1:28">
      <c r="A256" t="s">
        <v>282</v>
      </c>
      <c r="B256">
        <v>0.999984544473304</v>
      </c>
      <c r="C256">
        <v>1.03955139819833</v>
      </c>
      <c r="D256">
        <v>0.797205767480667</v>
      </c>
      <c r="E256">
        <v>0.742207082515222</v>
      </c>
      <c r="F256">
        <v>0.427211437055797</v>
      </c>
      <c r="G256">
        <v>0.253839694902796</v>
      </c>
      <c r="H256">
        <v>0.167605415704582</v>
      </c>
      <c r="I256">
        <v>0.104428736293203</v>
      </c>
      <c r="J256">
        <v>0.0694476476263227</v>
      </c>
      <c r="K256">
        <v>0.0947721655719322</v>
      </c>
      <c r="L256">
        <v>704.606538833115</v>
      </c>
      <c r="M256">
        <v>14.3986810804105</v>
      </c>
      <c r="N256">
        <v>49.3518196892691</v>
      </c>
      <c r="O256">
        <v>48.0206248168802</v>
      </c>
      <c r="P256">
        <v>-0.0706823303746148</v>
      </c>
      <c r="Q256">
        <v>0.0571894041665551</v>
      </c>
      <c r="R256">
        <v>0.987359866842993</v>
      </c>
      <c r="S256" t="s">
        <v>1924</v>
      </c>
      <c r="T256" t="s">
        <v>3312</v>
      </c>
      <c r="U256" t="s">
        <v>3312</v>
      </c>
      <c r="V256" t="s">
        <v>3312</v>
      </c>
      <c r="W256" t="s">
        <v>3568</v>
      </c>
      <c r="X256">
        <v>3</v>
      </c>
      <c r="Y256" t="s">
        <v>5207</v>
      </c>
      <c r="Z256" t="s">
        <v>6849</v>
      </c>
      <c r="AA256">
        <v>0.4539364320994178</v>
      </c>
      <c r="AB256">
        <f>HYPERLINK("Melting_Curves/meltCurve_P0A7C2_lexA.pdf", "Melting_Curves/meltCurve_P0A7C2_lexA.pdf")</f>
        <v>0</v>
      </c>
    </row>
    <row r="257" spans="1:28">
      <c r="A257" t="s">
        <v>283</v>
      </c>
      <c r="B257">
        <v>0.999984544473304</v>
      </c>
      <c r="C257">
        <v>0.897273315240379</v>
      </c>
      <c r="D257">
        <v>0.836212088041</v>
      </c>
      <c r="E257">
        <v>0.73702119090416</v>
      </c>
      <c r="F257">
        <v>0.855614746896726</v>
      </c>
      <c r="G257">
        <v>0.578185679646566</v>
      </c>
      <c r="H257">
        <v>0.326550527123319</v>
      </c>
      <c r="I257">
        <v>0.146366962794803</v>
      </c>
      <c r="J257">
        <v>0.0954323432993933</v>
      </c>
      <c r="K257">
        <v>0.08632717055811789</v>
      </c>
      <c r="L257">
        <v>662.001019640863</v>
      </c>
      <c r="M257">
        <v>12.2002731788523</v>
      </c>
      <c r="N257">
        <v>54.2611456003225</v>
      </c>
      <c r="O257">
        <v>52.8651035546132</v>
      </c>
      <c r="P257">
        <v>-0.0577083496610218</v>
      </c>
      <c r="Q257">
        <v>0</v>
      </c>
      <c r="R257">
        <v>0.941297906613721</v>
      </c>
      <c r="S257" t="s">
        <v>1925</v>
      </c>
      <c r="T257" t="s">
        <v>3312</v>
      </c>
      <c r="U257" t="s">
        <v>3312</v>
      </c>
      <c r="V257" t="s">
        <v>3312</v>
      </c>
      <c r="W257" t="s">
        <v>3569</v>
      </c>
      <c r="X257">
        <v>3</v>
      </c>
      <c r="Y257" t="s">
        <v>5208</v>
      </c>
      <c r="Z257" t="s">
        <v>6850</v>
      </c>
      <c r="AA257">
        <v>0.5923515269246696</v>
      </c>
      <c r="AB257">
        <f>HYPERLINK("Melting_Curves/meltCurve_P0A7C6_pepE.pdf", "Melting_Curves/meltCurve_P0A7C6_pepE.pdf")</f>
        <v>0</v>
      </c>
    </row>
    <row r="258" spans="1:28">
      <c r="A258" t="s">
        <v>284</v>
      </c>
      <c r="B258">
        <v>0.999984544473304</v>
      </c>
      <c r="C258">
        <v>0.911890677367261</v>
      </c>
      <c r="D258">
        <v>0.952969663013483</v>
      </c>
      <c r="E258">
        <v>0.9231582880634031</v>
      </c>
      <c r="F258">
        <v>0.592820684799332</v>
      </c>
      <c r="G258">
        <v>0.150304277379062</v>
      </c>
      <c r="H258">
        <v>0.107429973917788</v>
      </c>
      <c r="I258">
        <v>0.0753568786815329</v>
      </c>
      <c r="J258">
        <v>0.0632657883482315</v>
      </c>
      <c r="K258">
        <v>0.06962145992497711</v>
      </c>
      <c r="L258">
        <v>1682.33293606308</v>
      </c>
      <c r="M258">
        <v>33.3232332171254</v>
      </c>
      <c r="N258">
        <v>50.7127171384896</v>
      </c>
      <c r="O258">
        <v>50.3045205163161</v>
      </c>
      <c r="P258">
        <v>-0.154113617936109</v>
      </c>
      <c r="Q258">
        <v>0.0694087685339467</v>
      </c>
      <c r="R258">
        <v>0.992975253236391</v>
      </c>
      <c r="S258" t="s">
        <v>1926</v>
      </c>
      <c r="T258" t="s">
        <v>3312</v>
      </c>
      <c r="U258" t="s">
        <v>3312</v>
      </c>
      <c r="V258" t="s">
        <v>3312</v>
      </c>
      <c r="W258" t="s">
        <v>3570</v>
      </c>
      <c r="X258">
        <v>4</v>
      </c>
      <c r="Y258" t="s">
        <v>5209</v>
      </c>
      <c r="Z258" t="s">
        <v>6851</v>
      </c>
      <c r="AA258">
        <v>0.4923931567551167</v>
      </c>
      <c r="AB258">
        <f>HYPERLINK("Melting_Curves/meltCurve_P0A7D1_pth.pdf", "Melting_Curves/meltCurve_P0A7D1_pth.pdf")</f>
        <v>0</v>
      </c>
    </row>
    <row r="259" spans="1:28">
      <c r="A259" t="s">
        <v>285</v>
      </c>
      <c r="B259">
        <v>0.999984544473304</v>
      </c>
      <c r="C259">
        <v>0.8577098260625921</v>
      </c>
      <c r="D259">
        <v>0.692478492628733</v>
      </c>
      <c r="E259">
        <v>0.322128566966426</v>
      </c>
      <c r="F259">
        <v>0.100847682930193</v>
      </c>
      <c r="G259">
        <v>0.0253388794262251</v>
      </c>
      <c r="H259">
        <v>0.0172266246529521</v>
      </c>
      <c r="I259">
        <v>0.0120160475489815</v>
      </c>
      <c r="J259">
        <v>0.00828790498040808</v>
      </c>
      <c r="K259">
        <v>0.00754143660225102</v>
      </c>
      <c r="L259">
        <v>827.013589960638</v>
      </c>
      <c r="M259">
        <v>18.513555677314</v>
      </c>
      <c r="N259">
        <v>44.6707056875369</v>
      </c>
      <c r="O259">
        <v>44.1593098019556</v>
      </c>
      <c r="P259">
        <v>-0.104815810114224</v>
      </c>
      <c r="Q259">
        <v>0</v>
      </c>
      <c r="R259">
        <v>0.997632563086196</v>
      </c>
      <c r="S259" t="s">
        <v>1927</v>
      </c>
      <c r="T259" t="s">
        <v>3312</v>
      </c>
      <c r="U259" t="s">
        <v>3312</v>
      </c>
      <c r="V259" t="s">
        <v>3312</v>
      </c>
      <c r="W259" t="s">
        <v>3571</v>
      </c>
      <c r="X259">
        <v>8</v>
      </c>
      <c r="Y259" t="s">
        <v>5210</v>
      </c>
      <c r="Z259" t="s">
        <v>6852</v>
      </c>
      <c r="AA259">
        <v>0.271242343655456</v>
      </c>
      <c r="AB259">
        <f>HYPERLINK("Melting_Curves/meltCurve_P0A7D4_purA.pdf", "Melting_Curves/meltCurve_P0A7D4_purA.pdf")</f>
        <v>0</v>
      </c>
    </row>
    <row r="260" spans="1:28">
      <c r="A260" t="s">
        <v>286</v>
      </c>
      <c r="B260">
        <v>0.999984544473304</v>
      </c>
      <c r="C260">
        <v>0.777046970258105</v>
      </c>
      <c r="D260">
        <v>0.615825410039463</v>
      </c>
      <c r="E260">
        <v>0.346941483277772</v>
      </c>
      <c r="F260">
        <v>0.205976497405739</v>
      </c>
      <c r="G260">
        <v>0.111455356673615</v>
      </c>
      <c r="H260">
        <v>0.0784298066940865</v>
      </c>
      <c r="I260">
        <v>0.146804905614776</v>
      </c>
      <c r="J260">
        <v>0.0413262090499072</v>
      </c>
      <c r="K260">
        <v>0.0564515612996044</v>
      </c>
      <c r="L260">
        <v>631.825406343072</v>
      </c>
      <c r="M260">
        <v>14.3865958342561</v>
      </c>
      <c r="N260">
        <v>44.3359668625908</v>
      </c>
      <c r="O260">
        <v>43.0952514549359</v>
      </c>
      <c r="P260">
        <v>-0.07817073702488229</v>
      </c>
      <c r="Q260">
        <v>0.06346521956607561</v>
      </c>
      <c r="R260">
        <v>0.988583743931983</v>
      </c>
      <c r="S260" t="s">
        <v>1928</v>
      </c>
      <c r="T260" t="s">
        <v>3312</v>
      </c>
      <c r="U260" t="s">
        <v>3312</v>
      </c>
      <c r="V260" t="s">
        <v>3312</v>
      </c>
      <c r="W260" t="s">
        <v>3572</v>
      </c>
      <c r="X260">
        <v>3</v>
      </c>
      <c r="Y260" t="s">
        <v>5211</v>
      </c>
      <c r="Z260" t="s">
        <v>6853</v>
      </c>
      <c r="AA260">
        <v>0.3048871837202024</v>
      </c>
      <c r="AB260">
        <f>HYPERLINK("Melting_Curves/meltCurve_P0A7D7_purC.pdf", "Melting_Curves/meltCurve_P0A7D7_purC.pdf")</f>
        <v>0</v>
      </c>
    </row>
    <row r="261" spans="1:28">
      <c r="A261" t="s">
        <v>287</v>
      </c>
      <c r="B261">
        <v>0.999984544473304</v>
      </c>
      <c r="C261">
        <v>0.938203523951002</v>
      </c>
      <c r="D261">
        <v>0.928100075580114</v>
      </c>
      <c r="E261">
        <v>0.815037273595642</v>
      </c>
      <c r="F261">
        <v>0.666659413143827</v>
      </c>
      <c r="G261">
        <v>0.329775976750175</v>
      </c>
      <c r="H261">
        <v>0.0691678901876973</v>
      </c>
      <c r="I261">
        <v>0.0253976860286302</v>
      </c>
      <c r="J261">
        <v>0.0115895593913288</v>
      </c>
      <c r="K261">
        <v>0.0250414571106439</v>
      </c>
      <c r="L261">
        <v>962.974124118728</v>
      </c>
      <c r="M261">
        <v>18.7025459723029</v>
      </c>
      <c r="N261">
        <v>51.4889323626456</v>
      </c>
      <c r="O261">
        <v>50.9111075998851</v>
      </c>
      <c r="P261">
        <v>-0.0918431179069517</v>
      </c>
      <c r="Q261">
        <v>0</v>
      </c>
      <c r="R261">
        <v>0.989993032516044</v>
      </c>
      <c r="S261" t="s">
        <v>1929</v>
      </c>
      <c r="T261" t="s">
        <v>3312</v>
      </c>
      <c r="U261" t="s">
        <v>3312</v>
      </c>
      <c r="V261" t="s">
        <v>3312</v>
      </c>
      <c r="W261" t="s">
        <v>3573</v>
      </c>
      <c r="X261">
        <v>3</v>
      </c>
      <c r="Y261" t="s">
        <v>5212</v>
      </c>
      <c r="Z261" t="s">
        <v>6854</v>
      </c>
      <c r="AA261">
        <v>0.4974398764233596</v>
      </c>
      <c r="AB261">
        <f>HYPERLINK("Melting_Curves/meltCurve_P0A7E1_pyrD.pdf", "Melting_Curves/meltCurve_P0A7E1_pyrD.pdf")</f>
        <v>0</v>
      </c>
    </row>
    <row r="262" spans="1:28">
      <c r="A262" t="s">
        <v>288</v>
      </c>
      <c r="B262">
        <v>0.999984544473304</v>
      </c>
      <c r="C262">
        <v>1.05279800257288</v>
      </c>
      <c r="D262">
        <v>0.95023166020645</v>
      </c>
      <c r="E262">
        <v>0.52202937707075</v>
      </c>
      <c r="F262">
        <v>0.291410265043488</v>
      </c>
      <c r="G262">
        <v>0.134887034666938</v>
      </c>
      <c r="H262">
        <v>0.07225135273978139</v>
      </c>
      <c r="I262">
        <v>0.0388230464636135</v>
      </c>
      <c r="J262">
        <v>0.0259991688680271</v>
      </c>
      <c r="K262">
        <v>0.0225082043724018</v>
      </c>
      <c r="L262">
        <v>999.584991834365</v>
      </c>
      <c r="M262">
        <v>21.1730485870429</v>
      </c>
      <c r="N262">
        <v>47.3981298366571</v>
      </c>
      <c r="O262">
        <v>46.7951715868214</v>
      </c>
      <c r="P262">
        <v>-0.108565463102806</v>
      </c>
      <c r="Q262">
        <v>0.0402501436055794</v>
      </c>
      <c r="R262">
        <v>0.990697250623997</v>
      </c>
      <c r="S262" t="s">
        <v>1930</v>
      </c>
      <c r="T262" t="s">
        <v>3312</v>
      </c>
      <c r="U262" t="s">
        <v>3312</v>
      </c>
      <c r="V262" t="s">
        <v>3312</v>
      </c>
      <c r="W262" t="s">
        <v>3574</v>
      </c>
      <c r="X262">
        <v>18</v>
      </c>
      <c r="Y262" t="s">
        <v>5213</v>
      </c>
      <c r="Z262" t="s">
        <v>6855</v>
      </c>
      <c r="AA262">
        <v>0.3781408707489397</v>
      </c>
      <c r="AB262">
        <f>HYPERLINK("Melting_Curves/meltCurve_P0A7E5_pyrG.pdf", "Melting_Curves/meltCurve_P0A7E5_pyrG.pdf")</f>
        <v>0</v>
      </c>
    </row>
    <row r="263" spans="1:28">
      <c r="A263" t="s">
        <v>289</v>
      </c>
      <c r="B263">
        <v>0.999984544473304</v>
      </c>
      <c r="C263">
        <v>0.713053121338269</v>
      </c>
      <c r="D263">
        <v>0.140336773075405</v>
      </c>
      <c r="E263">
        <v>0.360885787471738</v>
      </c>
      <c r="F263">
        <v>0.164853785714673</v>
      </c>
      <c r="G263">
        <v>0.132455839883726</v>
      </c>
      <c r="H263">
        <v>0.293176287668554</v>
      </c>
      <c r="I263">
        <v>0.170305401935598</v>
      </c>
      <c r="J263">
        <v>0.117286007506069</v>
      </c>
      <c r="K263">
        <v>0.192955174463387</v>
      </c>
      <c r="L263">
        <v>9998.453989055941</v>
      </c>
      <c r="M263">
        <v>250</v>
      </c>
      <c r="N263">
        <v>40.0738654035626</v>
      </c>
      <c r="O263">
        <v>39.9912553842977</v>
      </c>
      <c r="P263">
        <v>-1.2556934140045</v>
      </c>
      <c r="Q263">
        <v>0.196531880096456</v>
      </c>
      <c r="R263">
        <v>0.934658491425556</v>
      </c>
      <c r="S263" t="s">
        <v>1931</v>
      </c>
      <c r="T263" t="s">
        <v>3312</v>
      </c>
      <c r="U263" t="s">
        <v>3312</v>
      </c>
      <c r="V263" t="s">
        <v>3312</v>
      </c>
      <c r="W263" t="s">
        <v>3575</v>
      </c>
      <c r="X263">
        <v>1</v>
      </c>
      <c r="Y263" t="s">
        <v>5214</v>
      </c>
      <c r="Z263" t="s">
        <v>6856</v>
      </c>
      <c r="AA263">
        <v>0.2767694636004396</v>
      </c>
      <c r="AB263">
        <f>HYPERLINK("Melting_Curves/meltCurve_P0A7E9_pyrH.pdf", "Melting_Curves/meltCurve_P0A7E9_pyrH.pdf")</f>
        <v>0</v>
      </c>
    </row>
    <row r="264" spans="1:28">
      <c r="A264" t="s">
        <v>290</v>
      </c>
      <c r="B264">
        <v>0.999984544473304</v>
      </c>
      <c r="C264">
        <v>1.03741841811278</v>
      </c>
      <c r="D264">
        <v>1.06455152950373</v>
      </c>
      <c r="E264">
        <v>1.0146049993055</v>
      </c>
      <c r="F264">
        <v>1.04202336175861</v>
      </c>
      <c r="G264">
        <v>0.708307519618148</v>
      </c>
      <c r="H264">
        <v>0.750829572461715</v>
      </c>
      <c r="I264">
        <v>0.389124379810319</v>
      </c>
      <c r="J264">
        <v>0.353308136846555</v>
      </c>
      <c r="K264">
        <v>0.274074328556582</v>
      </c>
      <c r="L264">
        <v>986.443676041921</v>
      </c>
      <c r="M264">
        <v>16.9339434486634</v>
      </c>
      <c r="N264">
        <v>59.9837843434823</v>
      </c>
      <c r="O264">
        <v>57.4582910613116</v>
      </c>
      <c r="P264">
        <v>-0.0594401474764097</v>
      </c>
      <c r="Q264">
        <v>0.193309101662375</v>
      </c>
      <c r="R264">
        <v>0.948223280283746</v>
      </c>
      <c r="S264" t="s">
        <v>1932</v>
      </c>
      <c r="T264" t="s">
        <v>3312</v>
      </c>
      <c r="U264" t="s">
        <v>3312</v>
      </c>
      <c r="V264" t="s">
        <v>3312</v>
      </c>
      <c r="W264" t="s">
        <v>3576</v>
      </c>
      <c r="X264">
        <v>1</v>
      </c>
      <c r="Y264" t="s">
        <v>5215</v>
      </c>
      <c r="Z264" t="s">
        <v>6857</v>
      </c>
      <c r="AA264">
        <v>0.7687114366539399</v>
      </c>
      <c r="AB264">
        <f>HYPERLINK("Melting_Curves/meltCurve_P0A7F3_pyrI.pdf", "Melting_Curves/meltCurve_P0A7F3_pyrI.pdf")</f>
        <v>0</v>
      </c>
    </row>
    <row r="265" spans="1:28">
      <c r="A265" t="s">
        <v>291</v>
      </c>
      <c r="B265">
        <v>0.999984544473304</v>
      </c>
      <c r="C265">
        <v>0.7824404825543541</v>
      </c>
      <c r="D265">
        <v>1.14730428809649</v>
      </c>
      <c r="E265">
        <v>0.950785255484026</v>
      </c>
      <c r="F265">
        <v>1.03371800363024</v>
      </c>
      <c r="G265">
        <v>1.04312808030758</v>
      </c>
      <c r="H265">
        <v>0.664093851579724</v>
      </c>
      <c r="I265">
        <v>0.6913747011132489</v>
      </c>
      <c r="J265">
        <v>0.349938022482815</v>
      </c>
      <c r="K265">
        <v>0.433735164454568</v>
      </c>
      <c r="L265">
        <v>1394.62590252825</v>
      </c>
      <c r="M265">
        <v>23.6453752673772</v>
      </c>
      <c r="N265">
        <v>62.4640187393339</v>
      </c>
      <c r="O265">
        <v>58.5639137779497</v>
      </c>
      <c r="P265">
        <v>-0.06397254029668389</v>
      </c>
      <c r="Q265">
        <v>0.366232195123469</v>
      </c>
      <c r="R265">
        <v>0.812050208209225</v>
      </c>
      <c r="S265" t="s">
        <v>1933</v>
      </c>
      <c r="T265" t="s">
        <v>3312</v>
      </c>
      <c r="U265" t="s">
        <v>3312</v>
      </c>
      <c r="V265" t="s">
        <v>3312</v>
      </c>
      <c r="W265" t="s">
        <v>3577</v>
      </c>
      <c r="X265">
        <v>2</v>
      </c>
      <c r="Y265" t="s">
        <v>5216</v>
      </c>
      <c r="Z265" t="s">
        <v>6858</v>
      </c>
      <c r="AA265">
        <v>0.8337682640169167</v>
      </c>
      <c r="AB265">
        <f>HYPERLINK("Melting_Curves/meltCurve_P0A7F6_speD.pdf", "Melting_Curves/meltCurve_P0A7F6_speD.pdf")</f>
        <v>0</v>
      </c>
    </row>
    <row r="266" spans="1:28">
      <c r="A266" t="s">
        <v>292</v>
      </c>
      <c r="B266">
        <v>0.999984544473304</v>
      </c>
      <c r="C266">
        <v>1.04044881026454</v>
      </c>
      <c r="D266">
        <v>0.960073125385992</v>
      </c>
      <c r="E266">
        <v>1.00506772723971</v>
      </c>
      <c r="F266">
        <v>1.02789462939285</v>
      </c>
      <c r="G266">
        <v>0.82524505497193</v>
      </c>
      <c r="H266">
        <v>0.71778970824267</v>
      </c>
      <c r="I266">
        <v>0.501229439437557</v>
      </c>
      <c r="J266">
        <v>0.329837075227451</v>
      </c>
      <c r="K266">
        <v>0.220758630671206</v>
      </c>
      <c r="L266">
        <v>918.430307613147</v>
      </c>
      <c r="M266">
        <v>15.1683863159726</v>
      </c>
      <c r="N266">
        <v>60.904533423961</v>
      </c>
      <c r="O266">
        <v>59.5258377842893</v>
      </c>
      <c r="P266">
        <v>-0.0610117869552802</v>
      </c>
      <c r="Q266">
        <v>0.0423697107389879</v>
      </c>
      <c r="R266">
        <v>0.98757728257633</v>
      </c>
      <c r="S266" t="s">
        <v>1934</v>
      </c>
      <c r="T266" t="s">
        <v>3312</v>
      </c>
      <c r="U266" t="s">
        <v>3312</v>
      </c>
      <c r="V266" t="s">
        <v>3312</v>
      </c>
      <c r="W266" t="s">
        <v>3578</v>
      </c>
      <c r="X266">
        <v>4</v>
      </c>
      <c r="Y266" t="s">
        <v>5217</v>
      </c>
      <c r="Z266" t="s">
        <v>6859</v>
      </c>
      <c r="AA266">
        <v>0.7844153034863676</v>
      </c>
      <c r="AB266">
        <f>HYPERLINK("Melting_Curves/meltCurve_P0A7G2_rbfA.pdf", "Melting_Curves/meltCurve_P0A7G2_rbfA.pdf")</f>
        <v>0</v>
      </c>
    </row>
    <row r="267" spans="1:28">
      <c r="A267" t="s">
        <v>293</v>
      </c>
      <c r="B267">
        <v>0.999984544473304</v>
      </c>
      <c r="C267">
        <v>0.83192482487375</v>
      </c>
      <c r="D267">
        <v>0.593347626040875</v>
      </c>
      <c r="E267">
        <v>0.397900750885924</v>
      </c>
      <c r="F267">
        <v>0.236042054370939</v>
      </c>
      <c r="G267">
        <v>0.154422242235115</v>
      </c>
      <c r="H267">
        <v>0.114719567780829</v>
      </c>
      <c r="I267">
        <v>0.08443695236148591</v>
      </c>
      <c r="J267">
        <v>0.0547135318296288</v>
      </c>
      <c r="K267">
        <v>0.0514354269909428</v>
      </c>
      <c r="L267">
        <v>589.245545352745</v>
      </c>
      <c r="M267">
        <v>13.2560926449585</v>
      </c>
      <c r="N267">
        <v>44.8525071544079</v>
      </c>
      <c r="O267">
        <v>43.4758782609285</v>
      </c>
      <c r="P267">
        <v>-0.0719730435998583</v>
      </c>
      <c r="Q267">
        <v>0.0559575562767947</v>
      </c>
      <c r="R267">
        <v>0.994092552397015</v>
      </c>
      <c r="S267" t="s">
        <v>1935</v>
      </c>
      <c r="T267" t="s">
        <v>3312</v>
      </c>
      <c r="U267" t="s">
        <v>3312</v>
      </c>
      <c r="V267" t="s">
        <v>3312</v>
      </c>
      <c r="W267" t="s">
        <v>3579</v>
      </c>
      <c r="X267">
        <v>6</v>
      </c>
      <c r="Y267" t="s">
        <v>5218</v>
      </c>
      <c r="Z267" t="s">
        <v>6860</v>
      </c>
      <c r="AA267">
        <v>0.3197878578789286</v>
      </c>
      <c r="AB267">
        <f>HYPERLINK("Melting_Curves/meltCurve_P0A7G6_recA.pdf", "Melting_Curves/meltCurve_P0A7G6_recA.pdf")</f>
        <v>0</v>
      </c>
    </row>
    <row r="268" spans="1:28">
      <c r="A268" t="s">
        <v>294</v>
      </c>
      <c r="B268">
        <v>0.999984544473304</v>
      </c>
      <c r="C268">
        <v>0.897145785623722</v>
      </c>
      <c r="D268">
        <v>0.900562890892884</v>
      </c>
      <c r="E268">
        <v>0.958699902534336</v>
      </c>
      <c r="F268">
        <v>0.775751035092463</v>
      </c>
      <c r="G268">
        <v>0.546413798617741</v>
      </c>
      <c r="H268">
        <v>0.217950019458352</v>
      </c>
      <c r="I268">
        <v>0.113832943096469</v>
      </c>
      <c r="J268">
        <v>0.0740150420604432</v>
      </c>
      <c r="K268">
        <v>0.0839719540814458</v>
      </c>
      <c r="L268">
        <v>1022.78495389857</v>
      </c>
      <c r="M268">
        <v>19.0661128002161</v>
      </c>
      <c r="N268">
        <v>53.8642352788375</v>
      </c>
      <c r="O268">
        <v>53.0644476616665</v>
      </c>
      <c r="P268">
        <v>-0.08646230479021021</v>
      </c>
      <c r="Q268">
        <v>0.0374767813517119</v>
      </c>
      <c r="R268">
        <v>0.98387717032543</v>
      </c>
      <c r="S268" t="s">
        <v>1936</v>
      </c>
      <c r="T268" t="s">
        <v>3312</v>
      </c>
      <c r="U268" t="s">
        <v>3312</v>
      </c>
      <c r="V268" t="s">
        <v>3312</v>
      </c>
      <c r="W268" t="s">
        <v>3580</v>
      </c>
      <c r="X268">
        <v>2</v>
      </c>
      <c r="Y268" t="s">
        <v>5219</v>
      </c>
      <c r="Z268" t="s">
        <v>6861</v>
      </c>
      <c r="AA268">
        <v>0.5840884543831601</v>
      </c>
      <c r="AB268">
        <f>HYPERLINK("Melting_Curves/meltCurve_P0A7H6_recR.pdf", "Melting_Curves/meltCurve_P0A7H6_recR.pdf")</f>
        <v>0</v>
      </c>
    </row>
    <row r="269" spans="1:28">
      <c r="A269" t="s">
        <v>295</v>
      </c>
      <c r="B269">
        <v>0.999984544473304</v>
      </c>
      <c r="C269">
        <v>1.08839666012584</v>
      </c>
      <c r="D269">
        <v>1.0019642792354</v>
      </c>
      <c r="E269">
        <v>1.11273132319539</v>
      </c>
      <c r="F269">
        <v>1.00211020612401</v>
      </c>
      <c r="G269">
        <v>0.6826142538843259</v>
      </c>
      <c r="H269">
        <v>0.360903871925806</v>
      </c>
      <c r="I269">
        <v>0.231839536754632</v>
      </c>
      <c r="J269">
        <v>0.152613464398861</v>
      </c>
      <c r="K269">
        <v>0.181438626022166</v>
      </c>
      <c r="L269">
        <v>1703.76647571511</v>
      </c>
      <c r="M269">
        <v>31.0554228418477</v>
      </c>
      <c r="N269">
        <v>55.6366592047799</v>
      </c>
      <c r="O269">
        <v>54.6361490976855</v>
      </c>
      <c r="P269">
        <v>-0.117162575261965</v>
      </c>
      <c r="Q269">
        <v>0.175503081451615</v>
      </c>
      <c r="R269">
        <v>0.982577328203849</v>
      </c>
      <c r="S269" t="s">
        <v>1937</v>
      </c>
      <c r="T269" t="s">
        <v>3312</v>
      </c>
      <c r="U269" t="s">
        <v>3312</v>
      </c>
      <c r="V269" t="s">
        <v>3312</v>
      </c>
      <c r="W269" t="s">
        <v>3581</v>
      </c>
      <c r="X269">
        <v>6</v>
      </c>
      <c r="Y269" t="s">
        <v>5220</v>
      </c>
      <c r="Z269" t="s">
        <v>6862</v>
      </c>
      <c r="AA269">
        <v>0.6713477232473134</v>
      </c>
      <c r="AB269">
        <f>HYPERLINK("Melting_Curves/meltCurve_P0A7I0_prfA.pdf", "Melting_Curves/meltCurve_P0A7I0_prfA.pdf")</f>
        <v>0</v>
      </c>
    </row>
    <row r="270" spans="1:28">
      <c r="A270" t="s">
        <v>296</v>
      </c>
      <c r="B270">
        <v>0.999984544473304</v>
      </c>
      <c r="C270">
        <v>1.22901776746164</v>
      </c>
      <c r="D270">
        <v>0.98651457545305</v>
      </c>
      <c r="E270">
        <v>0.599863524992221</v>
      </c>
      <c r="F270">
        <v>0.120170415832507</v>
      </c>
      <c r="G270">
        <v>0.06758324285922369</v>
      </c>
      <c r="H270">
        <v>0.0619601013806397</v>
      </c>
      <c r="I270">
        <v>0.0525449673628481</v>
      </c>
      <c r="J270">
        <v>0.0384548438521051</v>
      </c>
      <c r="K270">
        <v>0.0277075511688244</v>
      </c>
      <c r="L270">
        <v>1923.61411290609</v>
      </c>
      <c r="M270">
        <v>40.9459277825522</v>
      </c>
      <c r="N270">
        <v>47.099212503023</v>
      </c>
      <c r="O270">
        <v>46.8677385533979</v>
      </c>
      <c r="P270">
        <v>-0.207608064881081</v>
      </c>
      <c r="Q270">
        <v>0.049468229229095</v>
      </c>
      <c r="R270">
        <v>0.9746443886409319</v>
      </c>
      <c r="S270" t="s">
        <v>1938</v>
      </c>
      <c r="T270" t="s">
        <v>3312</v>
      </c>
      <c r="U270" t="s">
        <v>3312</v>
      </c>
      <c r="V270" t="s">
        <v>3312</v>
      </c>
      <c r="W270" t="s">
        <v>3582</v>
      </c>
      <c r="X270">
        <v>3</v>
      </c>
      <c r="Y270" t="s">
        <v>5221</v>
      </c>
      <c r="Z270" t="s">
        <v>6863</v>
      </c>
      <c r="AA270">
        <v>0.3686040249184351</v>
      </c>
      <c r="AB270">
        <f>HYPERLINK("Melting_Curves/meltCurve_P0A7I4_prfC.pdf", "Melting_Curves/meltCurve_P0A7I4_prfC.pdf")</f>
        <v>0</v>
      </c>
    </row>
    <row r="271" spans="1:28">
      <c r="A271" t="s">
        <v>297</v>
      </c>
      <c r="B271">
        <v>0.999984544473304</v>
      </c>
      <c r="C271">
        <v>0.917763590104277</v>
      </c>
      <c r="D271">
        <v>1.06030074348263</v>
      </c>
      <c r="E271">
        <v>0.988748367547991</v>
      </c>
      <c r="F271">
        <v>1.12364867202978</v>
      </c>
      <c r="G271">
        <v>0.903800253232198</v>
      </c>
      <c r="H271">
        <v>0.848914343399209</v>
      </c>
      <c r="I271">
        <v>0.640185910677513</v>
      </c>
      <c r="J271">
        <v>0.331406018278996</v>
      </c>
      <c r="K271">
        <v>0.161567205876497</v>
      </c>
      <c r="L271">
        <v>1379.95052837451</v>
      </c>
      <c r="M271">
        <v>22.1763947685461</v>
      </c>
      <c r="N271">
        <v>62.2260985698902</v>
      </c>
      <c r="O271">
        <v>61.7267372772532</v>
      </c>
      <c r="P271">
        <v>-0.08981875339361139</v>
      </c>
      <c r="Q271">
        <v>0</v>
      </c>
      <c r="R271">
        <v>0.964580207924279</v>
      </c>
      <c r="S271" t="s">
        <v>1939</v>
      </c>
      <c r="T271" t="s">
        <v>3312</v>
      </c>
      <c r="U271" t="s">
        <v>3312</v>
      </c>
      <c r="V271" t="s">
        <v>3312</v>
      </c>
      <c r="W271" t="s">
        <v>3583</v>
      </c>
      <c r="X271">
        <v>4</v>
      </c>
      <c r="Y271" t="s">
        <v>5222</v>
      </c>
      <c r="Z271" t="s">
        <v>6864</v>
      </c>
      <c r="AA271">
        <v>0.8324008682756404</v>
      </c>
      <c r="AB271">
        <f>HYPERLINK("Melting_Curves/meltCurve_P0A7I7_ribA.pdf", "Melting_Curves/meltCurve_P0A7I7_ribA.pdf")</f>
        <v>0</v>
      </c>
    </row>
    <row r="272" spans="1:28">
      <c r="A272" t="s">
        <v>298</v>
      </c>
      <c r="B272">
        <v>0.999984544473304</v>
      </c>
      <c r="C272">
        <v>0.91389733106921</v>
      </c>
      <c r="D272">
        <v>0.991972422514017</v>
      </c>
      <c r="E272">
        <v>0.742485724047556</v>
      </c>
      <c r="F272">
        <v>0.897778110072008</v>
      </c>
      <c r="G272">
        <v>0.6290424126691641</v>
      </c>
      <c r="H272">
        <v>0.655210591623839</v>
      </c>
      <c r="I272">
        <v>0.499815368650745</v>
      </c>
      <c r="J272">
        <v>0.438152685728256</v>
      </c>
      <c r="K272">
        <v>0.303974743954118</v>
      </c>
      <c r="L272">
        <v>386.130631136073</v>
      </c>
      <c r="M272">
        <v>6.35172403023831</v>
      </c>
      <c r="N272">
        <v>60.7914684200619</v>
      </c>
      <c r="O272">
        <v>55.6024630439021</v>
      </c>
      <c r="P272">
        <v>-0.0286340367174448</v>
      </c>
      <c r="Q272">
        <v>0</v>
      </c>
      <c r="R272">
        <v>0.913360209659497</v>
      </c>
      <c r="S272" t="s">
        <v>1940</v>
      </c>
      <c r="T272" t="s">
        <v>3312</v>
      </c>
      <c r="U272" t="s">
        <v>3312</v>
      </c>
      <c r="V272" t="s">
        <v>3312</v>
      </c>
      <c r="W272" t="s">
        <v>3584</v>
      </c>
      <c r="X272">
        <v>2</v>
      </c>
      <c r="Y272" t="s">
        <v>5223</v>
      </c>
      <c r="Z272" t="s">
        <v>6865</v>
      </c>
      <c r="AA272">
        <v>0.7176125128075989</v>
      </c>
      <c r="AB272">
        <f>HYPERLINK("Melting_Curves/meltCurve_P0A7J0_ribB.pdf", "Melting_Curves/meltCurve_P0A7J0_ribB.pdf")</f>
        <v>0</v>
      </c>
    </row>
    <row r="273" spans="1:28">
      <c r="A273" t="s">
        <v>299</v>
      </c>
      <c r="B273">
        <v>0.999984544473304</v>
      </c>
      <c r="C273">
        <v>0.976512375294207</v>
      </c>
      <c r="D273">
        <v>0.915660846657019</v>
      </c>
      <c r="E273">
        <v>0.762958866102823</v>
      </c>
      <c r="F273">
        <v>0.496292714894858</v>
      </c>
      <c r="G273">
        <v>0.200052755756558</v>
      </c>
      <c r="H273">
        <v>0.130043216120857</v>
      </c>
      <c r="I273">
        <v>0.0820102538551904</v>
      </c>
      <c r="J273">
        <v>0.0626074352682193</v>
      </c>
      <c r="K273">
        <v>0.055370447616485</v>
      </c>
      <c r="L273">
        <v>867.8252207631029</v>
      </c>
      <c r="M273">
        <v>17.5060688622048</v>
      </c>
      <c r="N273">
        <v>49.8269316398416</v>
      </c>
      <c r="O273">
        <v>48.9395203724869</v>
      </c>
      <c r="P273">
        <v>-0.0856131356514489</v>
      </c>
      <c r="Q273">
        <v>0.0427011056834532</v>
      </c>
      <c r="R273">
        <v>0.998191542620058</v>
      </c>
      <c r="S273" t="s">
        <v>1941</v>
      </c>
      <c r="T273" t="s">
        <v>3312</v>
      </c>
      <c r="U273" t="s">
        <v>3312</v>
      </c>
      <c r="V273" t="s">
        <v>3312</v>
      </c>
      <c r="W273" t="s">
        <v>3585</v>
      </c>
      <c r="X273">
        <v>8</v>
      </c>
      <c r="Y273" t="s">
        <v>5224</v>
      </c>
      <c r="Z273" t="s">
        <v>6866</v>
      </c>
      <c r="AA273">
        <v>0.4597736376032232</v>
      </c>
      <c r="AB273">
        <f>HYPERLINK("Melting_Curves/meltCurve_P0A7J3_rplJ.pdf", "Melting_Curves/meltCurve_P0A7J3_rplJ.pdf")</f>
        <v>0</v>
      </c>
    </row>
    <row r="274" spans="1:28">
      <c r="A274" t="s">
        <v>300</v>
      </c>
      <c r="B274">
        <v>0.999984544473304</v>
      </c>
      <c r="C274">
        <v>0.8948440160819709</v>
      </c>
      <c r="D274">
        <v>0.815974690370032</v>
      </c>
      <c r="E274">
        <v>0.555576164933496</v>
      </c>
      <c r="F274">
        <v>0.171296514274557</v>
      </c>
      <c r="G274">
        <v>0.0677667968645852</v>
      </c>
      <c r="H274">
        <v>0.0424491749679271</v>
      </c>
      <c r="I274">
        <v>0.0338519724305023</v>
      </c>
      <c r="J274">
        <v>0.0227797766212089</v>
      </c>
      <c r="K274">
        <v>0.0289007815203706</v>
      </c>
      <c r="L274">
        <v>882.454410687264</v>
      </c>
      <c r="M274">
        <v>18.9405767873584</v>
      </c>
      <c r="N274">
        <v>46.65398801497</v>
      </c>
      <c r="O274">
        <v>46.0806335352331</v>
      </c>
      <c r="P274">
        <v>-0.10145821047314</v>
      </c>
      <c r="Q274">
        <v>0.0126865350049198</v>
      </c>
      <c r="R274">
        <v>0.993611352292547</v>
      </c>
      <c r="S274" t="s">
        <v>1942</v>
      </c>
      <c r="T274" t="s">
        <v>3312</v>
      </c>
      <c r="U274" t="s">
        <v>3312</v>
      </c>
      <c r="V274" t="s">
        <v>3312</v>
      </c>
      <c r="W274" t="s">
        <v>3586</v>
      </c>
      <c r="X274">
        <v>4</v>
      </c>
      <c r="Y274" t="s">
        <v>5225</v>
      </c>
      <c r="Z274" t="s">
        <v>6867</v>
      </c>
      <c r="AA274">
        <v>0.3426990515618203</v>
      </c>
      <c r="AB274">
        <f>HYPERLINK("Melting_Curves/meltCurve_P0A7J7_rplK.pdf", "Melting_Curves/meltCurve_P0A7J7_rplK.pdf")</f>
        <v>0</v>
      </c>
    </row>
    <row r="275" spans="1:28">
      <c r="A275" t="s">
        <v>301</v>
      </c>
      <c r="B275">
        <v>0.999984544473304</v>
      </c>
      <c r="C275">
        <v>1.17610157587039</v>
      </c>
      <c r="D275">
        <v>0.884753874109301</v>
      </c>
      <c r="E275">
        <v>0.973663307784272</v>
      </c>
      <c r="F275">
        <v>1.42902536355748</v>
      </c>
      <c r="G275">
        <v>0.890415385476198</v>
      </c>
      <c r="H275">
        <v>1.15738123724615</v>
      </c>
      <c r="I275">
        <v>0.891940306005491</v>
      </c>
      <c r="J275">
        <v>0.753709189555135</v>
      </c>
      <c r="K275">
        <v>0.777100247543587</v>
      </c>
      <c r="L275">
        <v>15000</v>
      </c>
      <c r="M275">
        <v>245.743797699158</v>
      </c>
      <c r="O275">
        <v>61.0351566445664</v>
      </c>
      <c r="P275">
        <v>-0.236136667722605</v>
      </c>
      <c r="Q275">
        <v>0.76540390113632</v>
      </c>
      <c r="R275">
        <v>0.313133676265922</v>
      </c>
      <c r="S275" t="s">
        <v>1943</v>
      </c>
      <c r="T275" t="s">
        <v>3312</v>
      </c>
      <c r="U275" t="s">
        <v>3312</v>
      </c>
      <c r="V275" t="s">
        <v>3312</v>
      </c>
      <c r="W275" t="s">
        <v>3587</v>
      </c>
      <c r="X275">
        <v>5</v>
      </c>
      <c r="Y275" t="s">
        <v>5226</v>
      </c>
      <c r="Z275" t="s">
        <v>6868</v>
      </c>
      <c r="AA275">
        <v>0.9534131747020468</v>
      </c>
      <c r="AB275">
        <f>HYPERLINK("Melting_Curves/meltCurve_P0A7K2_rplL.pdf", "Melting_Curves/meltCurve_P0A7K2_rplL.pdf")</f>
        <v>0</v>
      </c>
    </row>
    <row r="276" spans="1:28">
      <c r="A276" t="s">
        <v>302</v>
      </c>
      <c r="B276">
        <v>0.999984544473304</v>
      </c>
      <c r="C276">
        <v>0.8102422006319741</v>
      </c>
      <c r="D276">
        <v>0.744384552422292</v>
      </c>
      <c r="E276">
        <v>0.539383719737727</v>
      </c>
      <c r="F276">
        <v>0.350136652373915</v>
      </c>
      <c r="G276">
        <v>0.142439399332787</v>
      </c>
      <c r="H276">
        <v>0.0796579487573644</v>
      </c>
      <c r="I276">
        <v>0.0420877469712729</v>
      </c>
      <c r="J276">
        <v>0.024263818514185</v>
      </c>
      <c r="K276">
        <v>0.0162313482383281</v>
      </c>
      <c r="L276">
        <v>557.642741218631</v>
      </c>
      <c r="M276">
        <v>11.9060541730248</v>
      </c>
      <c r="N276">
        <v>46.836906005807</v>
      </c>
      <c r="O276">
        <v>45.5742630922716</v>
      </c>
      <c r="P276">
        <v>-0.0653275446900831</v>
      </c>
      <c r="Q276">
        <v>0</v>
      </c>
      <c r="R276">
        <v>0.990342799962186</v>
      </c>
      <c r="S276" t="s">
        <v>1944</v>
      </c>
      <c r="T276" t="s">
        <v>3312</v>
      </c>
      <c r="U276" t="s">
        <v>3312</v>
      </c>
      <c r="V276" t="s">
        <v>3312</v>
      </c>
      <c r="W276" t="s">
        <v>3588</v>
      </c>
      <c r="X276">
        <v>5</v>
      </c>
      <c r="Y276" t="s">
        <v>5227</v>
      </c>
      <c r="Z276" t="s">
        <v>6869</v>
      </c>
      <c r="AA276">
        <v>0.3614345400309076</v>
      </c>
      <c r="AB276">
        <f>HYPERLINK("Melting_Curves/meltCurve_P0A7K6_rplS.pdf", "Melting_Curves/meltCurve_P0A7K6_rplS.pdf")</f>
        <v>0</v>
      </c>
    </row>
    <row r="277" spans="1:28">
      <c r="A277" t="s">
        <v>303</v>
      </c>
      <c r="B277">
        <v>0.999984544473304</v>
      </c>
      <c r="C277">
        <v>0.707634543913103</v>
      </c>
      <c r="D277">
        <v>0.415885780559683</v>
      </c>
      <c r="E277">
        <v>0.156695046794551</v>
      </c>
      <c r="F277">
        <v>0.0515173433901347</v>
      </c>
      <c r="G277">
        <v>0.0237204686286963</v>
      </c>
      <c r="H277">
        <v>0.0176169088834388</v>
      </c>
      <c r="I277">
        <v>0.0137655430865694</v>
      </c>
      <c r="J277">
        <v>0.0104492874131461</v>
      </c>
      <c r="K277">
        <v>0.0104454029761813</v>
      </c>
      <c r="L277">
        <v>810.445182376311</v>
      </c>
      <c r="M277">
        <v>19.2514941455364</v>
      </c>
      <c r="N277">
        <v>42.1494803171192</v>
      </c>
      <c r="O277">
        <v>41.6514402975909</v>
      </c>
      <c r="P277">
        <v>-0.1142072236134</v>
      </c>
      <c r="Q277">
        <v>0.0116683805130134</v>
      </c>
      <c r="R277">
        <v>0.994721484467865</v>
      </c>
      <c r="S277" t="s">
        <v>1945</v>
      </c>
      <c r="T277" t="s">
        <v>3312</v>
      </c>
      <c r="U277" t="s">
        <v>3312</v>
      </c>
      <c r="V277" t="s">
        <v>3312</v>
      </c>
      <c r="W277" t="s">
        <v>3589</v>
      </c>
      <c r="X277">
        <v>6</v>
      </c>
      <c r="Y277" t="s">
        <v>5228</v>
      </c>
      <c r="Z277" t="s">
        <v>6870</v>
      </c>
      <c r="AA277">
        <v>0.1957324213600337</v>
      </c>
      <c r="AB277">
        <f>HYPERLINK("Melting_Curves/meltCurve_P0A7L0_rplA.pdf", "Melting_Curves/meltCurve_P0A7L0_rplA.pdf")</f>
        <v>0</v>
      </c>
    </row>
    <row r="278" spans="1:28">
      <c r="A278" t="s">
        <v>304</v>
      </c>
      <c r="B278">
        <v>0.999984544473304</v>
      </c>
      <c r="C278">
        <v>0.878467750963881</v>
      </c>
      <c r="D278">
        <v>0.895023679157254</v>
      </c>
      <c r="E278">
        <v>0.626884105946394</v>
      </c>
      <c r="F278">
        <v>0.194265062905036</v>
      </c>
      <c r="G278">
        <v>0.0921335197542902</v>
      </c>
      <c r="H278">
        <v>0.0758669814968852</v>
      </c>
      <c r="I278">
        <v>0.0280464094049058</v>
      </c>
      <c r="J278">
        <v>0.0184065347889968</v>
      </c>
      <c r="K278">
        <v>0.0144576237639723</v>
      </c>
      <c r="L278">
        <v>1045.83419209442</v>
      </c>
      <c r="M278">
        <v>22.1104988007594</v>
      </c>
      <c r="N278">
        <v>47.3999653045116</v>
      </c>
      <c r="O278">
        <v>46.9185259482933</v>
      </c>
      <c r="P278">
        <v>-0.115141022204933</v>
      </c>
      <c r="Q278">
        <v>0.022703416248497</v>
      </c>
      <c r="R278">
        <v>0.990044803360365</v>
      </c>
      <c r="S278" t="s">
        <v>1946</v>
      </c>
      <c r="T278" t="s">
        <v>3312</v>
      </c>
      <c r="U278" t="s">
        <v>3312</v>
      </c>
      <c r="V278" t="s">
        <v>3312</v>
      </c>
      <c r="W278" t="s">
        <v>3590</v>
      </c>
      <c r="X278">
        <v>6</v>
      </c>
      <c r="Y278" t="s">
        <v>5229</v>
      </c>
      <c r="Z278" t="s">
        <v>6871</v>
      </c>
      <c r="AA278">
        <v>0.3687775857012382</v>
      </c>
      <c r="AB278">
        <f>HYPERLINK("Melting_Curves/meltCurve_P0A7L3_rplT.pdf", "Melting_Curves/meltCurve_P0A7L3_rplT.pdf")</f>
        <v>0</v>
      </c>
    </row>
    <row r="279" spans="1:28">
      <c r="A279" t="s">
        <v>305</v>
      </c>
      <c r="B279">
        <v>0.999984544473304</v>
      </c>
      <c r="C279">
        <v>0.896968966949912</v>
      </c>
      <c r="D279">
        <v>0.7426524577757631</v>
      </c>
      <c r="E279">
        <v>0.930057920270658</v>
      </c>
      <c r="F279">
        <v>1.83847434400374</v>
      </c>
      <c r="G279">
        <v>1.70710549778287</v>
      </c>
      <c r="H279">
        <v>2.47222246143099</v>
      </c>
      <c r="I279">
        <v>2.82275495249052</v>
      </c>
      <c r="J279">
        <v>3.80078499050874</v>
      </c>
      <c r="K279">
        <v>7.33094325187797</v>
      </c>
      <c r="L279">
        <v>5352.88559974204</v>
      </c>
      <c r="M279">
        <v>111.469779478057</v>
      </c>
      <c r="O279">
        <v>48.0055074766403</v>
      </c>
      <c r="P279">
        <v>0.290252590780825</v>
      </c>
      <c r="Q279">
        <v>1.5</v>
      </c>
      <c r="R279">
        <v>-0.161471914470663</v>
      </c>
      <c r="S279" t="s">
        <v>1947</v>
      </c>
      <c r="T279" t="s">
        <v>3312</v>
      </c>
      <c r="U279" t="s">
        <v>3312</v>
      </c>
      <c r="V279" t="s">
        <v>3312</v>
      </c>
      <c r="W279" t="s">
        <v>3591</v>
      </c>
      <c r="X279">
        <v>1</v>
      </c>
      <c r="Y279" t="s">
        <v>5230</v>
      </c>
      <c r="Z279" t="s">
        <v>6872</v>
      </c>
      <c r="AA279">
        <v>1.316105223999412</v>
      </c>
      <c r="AB279">
        <f>HYPERLINK("Melting_Curves/meltCurve_P0A7L8_rpmA.pdf", "Melting_Curves/meltCurve_P0A7L8_rpmA.pdf")</f>
        <v>0</v>
      </c>
    </row>
    <row r="280" spans="1:28">
      <c r="A280" t="s">
        <v>306</v>
      </c>
      <c r="B280">
        <v>0.999984544473304</v>
      </c>
      <c r="C280">
        <v>0.473071137109653</v>
      </c>
      <c r="D280">
        <v>0.456281047893524</v>
      </c>
      <c r="E280">
        <v>0.164131779538506</v>
      </c>
      <c r="F280">
        <v>0.201913354210096</v>
      </c>
      <c r="G280">
        <v>0.08564931322093861</v>
      </c>
      <c r="H280">
        <v>0.120645505882301</v>
      </c>
      <c r="I280">
        <v>0.0745594439461857</v>
      </c>
      <c r="J280">
        <v>0.156970425463283</v>
      </c>
      <c r="K280">
        <v>0.102754807902616</v>
      </c>
      <c r="L280">
        <v>730.351827777635</v>
      </c>
      <c r="M280">
        <v>18.0138544213641</v>
      </c>
      <c r="N280">
        <v>41.1537826044534</v>
      </c>
      <c r="O280">
        <v>40.054154009512</v>
      </c>
      <c r="P280">
        <v>-0.0992677034591415</v>
      </c>
      <c r="Q280">
        <v>0.117148797228018</v>
      </c>
      <c r="R280">
        <v>0.919241755623404</v>
      </c>
      <c r="S280" t="s">
        <v>1948</v>
      </c>
      <c r="T280" t="s">
        <v>3312</v>
      </c>
      <c r="U280" t="s">
        <v>3312</v>
      </c>
      <c r="V280" t="s">
        <v>3312</v>
      </c>
      <c r="W280" t="s">
        <v>3592</v>
      </c>
      <c r="X280">
        <v>1</v>
      </c>
      <c r="Y280" t="s">
        <v>5231</v>
      </c>
      <c r="Z280" t="s">
        <v>6873</v>
      </c>
      <c r="AA280">
        <v>0.2421372008981203</v>
      </c>
      <c r="AB280">
        <f>HYPERLINK("Melting_Curves/meltCurve_P0A7M2_rpmB.pdf", "Melting_Curves/meltCurve_P0A7M2_rpmB.pdf")</f>
        <v>0</v>
      </c>
    </row>
    <row r="281" spans="1:28">
      <c r="A281" t="s">
        <v>307</v>
      </c>
      <c r="B281">
        <v>0.999984544473304</v>
      </c>
      <c r="C281">
        <v>0.911955699918009</v>
      </c>
      <c r="D281">
        <v>0.718928555951478</v>
      </c>
      <c r="E281">
        <v>1.07853140366405</v>
      </c>
      <c r="F281">
        <v>1.11136897222617</v>
      </c>
      <c r="G281">
        <v>1.07683321959486</v>
      </c>
      <c r="H281">
        <v>1.01599018385348</v>
      </c>
      <c r="I281">
        <v>0.919868606903729</v>
      </c>
      <c r="J281">
        <v>0.757876477250042</v>
      </c>
      <c r="K281">
        <v>0.8383784993415559</v>
      </c>
      <c r="L281">
        <v>15000</v>
      </c>
      <c r="M281">
        <v>245.483442168447</v>
      </c>
      <c r="O281">
        <v>61.0998620814456</v>
      </c>
      <c r="P281">
        <v>-0.202768380588345</v>
      </c>
      <c r="Q281">
        <v>0.798126994459207</v>
      </c>
      <c r="R281">
        <v>0.325661345357113</v>
      </c>
      <c r="S281" t="s">
        <v>1949</v>
      </c>
      <c r="T281" t="s">
        <v>3312</v>
      </c>
      <c r="U281" t="s">
        <v>3312</v>
      </c>
      <c r="V281" t="s">
        <v>3312</v>
      </c>
      <c r="W281" t="s">
        <v>3593</v>
      </c>
      <c r="X281">
        <v>2</v>
      </c>
      <c r="Y281" t="s">
        <v>5232</v>
      </c>
      <c r="Z281" t="s">
        <v>6874</v>
      </c>
      <c r="AA281">
        <v>0.9603471224614808</v>
      </c>
      <c r="AB281">
        <f>HYPERLINK("Melting_Curves/meltCurve_P0A7M9_rpmE.pdf", "Melting_Curves/meltCurve_P0A7M9_rpmE.pdf")</f>
        <v>0</v>
      </c>
    </row>
    <row r="282" spans="1:28">
      <c r="A282" t="s">
        <v>308</v>
      </c>
      <c r="B282">
        <v>0.999984544473304</v>
      </c>
      <c r="C282">
        <v>0.984466389048249</v>
      </c>
      <c r="D282">
        <v>0.687300189873764</v>
      </c>
      <c r="E282">
        <v>1.60588520075815</v>
      </c>
      <c r="F282">
        <v>2.21458425617779</v>
      </c>
      <c r="G282">
        <v>2.08238863621188</v>
      </c>
      <c r="H282">
        <v>1.83804430732461</v>
      </c>
      <c r="I282">
        <v>1.69672233425608</v>
      </c>
      <c r="J282">
        <v>1.537570576318</v>
      </c>
      <c r="K282">
        <v>1.94301594319522</v>
      </c>
      <c r="L282">
        <v>11207.93050118</v>
      </c>
      <c r="M282">
        <v>250</v>
      </c>
      <c r="O282">
        <v>44.8288534713108</v>
      </c>
      <c r="P282">
        <v>0.697095684926161</v>
      </c>
      <c r="Q282">
        <v>1.5</v>
      </c>
      <c r="R282">
        <v>0.443420704157446</v>
      </c>
      <c r="S282" t="s">
        <v>1950</v>
      </c>
      <c r="T282" t="s">
        <v>3312</v>
      </c>
      <c r="U282" t="s">
        <v>3312</v>
      </c>
      <c r="V282" t="s">
        <v>3312</v>
      </c>
      <c r="W282" t="s">
        <v>3594</v>
      </c>
      <c r="X282">
        <v>1</v>
      </c>
      <c r="Y282" t="s">
        <v>5233</v>
      </c>
      <c r="Z282" t="s">
        <v>6875</v>
      </c>
      <c r="AA282">
        <v>1.369431960434142</v>
      </c>
      <c r="AB282">
        <f>HYPERLINK("Melting_Curves/meltCurve_P0A7Q6_rpmJ.pdf", "Melting_Curves/meltCurve_P0A7Q6_rpmJ.pdf")</f>
        <v>0</v>
      </c>
    </row>
    <row r="283" spans="1:28">
      <c r="A283" t="s">
        <v>309</v>
      </c>
      <c r="B283">
        <v>0.999984544473304</v>
      </c>
      <c r="C283">
        <v>0.895987560195787</v>
      </c>
      <c r="D283">
        <v>0.822272216057883</v>
      </c>
      <c r="E283">
        <v>0.481242845823511</v>
      </c>
      <c r="F283">
        <v>0.169417733507774</v>
      </c>
      <c r="G283">
        <v>0.06499361785581689</v>
      </c>
      <c r="H283">
        <v>0.0468622671820848</v>
      </c>
      <c r="I283">
        <v>0.0381599958240018</v>
      </c>
      <c r="J283">
        <v>0.0349207573097952</v>
      </c>
      <c r="K283">
        <v>0.0456896757965356</v>
      </c>
      <c r="L283">
        <v>913.466381463537</v>
      </c>
      <c r="M283">
        <v>19.8115579725636</v>
      </c>
      <c r="N283">
        <v>46.2400235890923</v>
      </c>
      <c r="O283">
        <v>45.6456887242386</v>
      </c>
      <c r="P283">
        <v>-0.105521672843306</v>
      </c>
      <c r="Q283">
        <v>0.0275481255124445</v>
      </c>
      <c r="R283">
        <v>0.996437099275631</v>
      </c>
      <c r="S283" t="s">
        <v>1951</v>
      </c>
      <c r="T283" t="s">
        <v>3312</v>
      </c>
      <c r="U283" t="s">
        <v>3312</v>
      </c>
      <c r="V283" t="s">
        <v>3312</v>
      </c>
      <c r="W283" t="s">
        <v>3595</v>
      </c>
      <c r="X283">
        <v>10</v>
      </c>
      <c r="Y283" t="s">
        <v>5234</v>
      </c>
      <c r="Z283" t="s">
        <v>6876</v>
      </c>
      <c r="AA283">
        <v>0.3357341936553115</v>
      </c>
      <c r="AB283">
        <f>HYPERLINK("Melting_Curves/meltCurve_P0A7R1_rplI.pdf", "Melting_Curves/meltCurve_P0A7R1_rplI.pdf")</f>
        <v>0</v>
      </c>
    </row>
    <row r="284" spans="1:28">
      <c r="A284" t="s">
        <v>310</v>
      </c>
      <c r="B284">
        <v>0.999984544473304</v>
      </c>
      <c r="C284">
        <v>0.927650170289037</v>
      </c>
      <c r="D284">
        <v>0.708890650917947</v>
      </c>
      <c r="E284">
        <v>0.724194640676604</v>
      </c>
      <c r="F284">
        <v>0.384475498725465</v>
      </c>
      <c r="G284">
        <v>0.239269475995458</v>
      </c>
      <c r="H284">
        <v>0.156352178325251</v>
      </c>
      <c r="I284">
        <v>0.0985329614995329</v>
      </c>
      <c r="J284">
        <v>0.0606663903420234</v>
      </c>
      <c r="K284">
        <v>0.048775457917721</v>
      </c>
      <c r="L284">
        <v>538.205520895257</v>
      </c>
      <c r="M284">
        <v>11.0642085032909</v>
      </c>
      <c r="N284">
        <v>48.6438339422219</v>
      </c>
      <c r="O284">
        <v>47.135849478452</v>
      </c>
      <c r="P284">
        <v>-0.0587019114298635</v>
      </c>
      <c r="Q284">
        <v>0</v>
      </c>
      <c r="R284">
        <v>0.98097609820092</v>
      </c>
      <c r="S284" t="s">
        <v>1952</v>
      </c>
      <c r="T284" t="s">
        <v>3312</v>
      </c>
      <c r="U284" t="s">
        <v>3312</v>
      </c>
      <c r="V284" t="s">
        <v>3312</v>
      </c>
      <c r="W284" t="s">
        <v>3596</v>
      </c>
      <c r="X284">
        <v>4</v>
      </c>
      <c r="Y284" t="s">
        <v>5235</v>
      </c>
      <c r="Z284" t="s">
        <v>6877</v>
      </c>
      <c r="AA284">
        <v>0.4218796967379854</v>
      </c>
      <c r="AB284">
        <f>HYPERLINK("Melting_Curves/meltCurve_P0A7R5_rpsJ.pdf", "Melting_Curves/meltCurve_P0A7R5_rpsJ.pdf")</f>
        <v>0</v>
      </c>
    </row>
    <row r="285" spans="1:28">
      <c r="A285" t="s">
        <v>311</v>
      </c>
      <c r="B285">
        <v>0.999984544473304</v>
      </c>
      <c r="C285">
        <v>0.926484863481606</v>
      </c>
      <c r="D285">
        <v>0.789432034245767</v>
      </c>
      <c r="E285">
        <v>0.944965650445748</v>
      </c>
      <c r="F285">
        <v>0.588783270442453</v>
      </c>
      <c r="G285">
        <v>0.466450566581523</v>
      </c>
      <c r="H285">
        <v>0.446270914295799</v>
      </c>
      <c r="I285">
        <v>0.405047121118118</v>
      </c>
      <c r="J285">
        <v>0.412712777858973</v>
      </c>
      <c r="K285">
        <v>0.591693163905933</v>
      </c>
      <c r="L285">
        <v>1971.75897365016</v>
      </c>
      <c r="M285">
        <v>40.4164674721481</v>
      </c>
      <c r="N285">
        <v>52.0892735250921</v>
      </c>
      <c r="O285">
        <v>48.6670505781339</v>
      </c>
      <c r="P285">
        <v>-0.111809537468691</v>
      </c>
      <c r="Q285">
        <v>0.461464109951875</v>
      </c>
      <c r="R285">
        <v>0.8572771218729059</v>
      </c>
      <c r="S285" t="s">
        <v>1953</v>
      </c>
      <c r="T285" t="s">
        <v>3312</v>
      </c>
      <c r="U285" t="s">
        <v>3312</v>
      </c>
      <c r="V285" t="s">
        <v>3312</v>
      </c>
      <c r="W285" t="s">
        <v>3597</v>
      </c>
      <c r="X285">
        <v>5</v>
      </c>
      <c r="Y285" t="s">
        <v>5236</v>
      </c>
      <c r="Z285" t="s">
        <v>6878</v>
      </c>
      <c r="AA285">
        <v>0.6748157468387337</v>
      </c>
      <c r="AB285">
        <f>HYPERLINK("Melting_Curves/meltCurve_P0A7R9_rpsK.pdf", "Melting_Curves/meltCurve_P0A7R9_rpsK.pdf")</f>
        <v>0</v>
      </c>
    </row>
    <row r="286" spans="1:28">
      <c r="A286" t="s">
        <v>312</v>
      </c>
      <c r="B286">
        <v>0.999984544473304</v>
      </c>
      <c r="C286">
        <v>0.695325501687735</v>
      </c>
      <c r="D286">
        <v>0.547364570551351</v>
      </c>
      <c r="E286">
        <v>0.493885443338307</v>
      </c>
      <c r="F286">
        <v>0.288313921710095</v>
      </c>
      <c r="G286">
        <v>0.235150917094103</v>
      </c>
      <c r="H286">
        <v>0.180590087243477</v>
      </c>
      <c r="I286">
        <v>0.157986227267557</v>
      </c>
      <c r="J286">
        <v>0.111217926487784</v>
      </c>
      <c r="K286">
        <v>0.140782625238505</v>
      </c>
      <c r="L286">
        <v>452.628004060093</v>
      </c>
      <c r="M286">
        <v>10.3091600074725</v>
      </c>
      <c r="N286">
        <v>44.9618442680812</v>
      </c>
      <c r="O286">
        <v>42.3496591953338</v>
      </c>
      <c r="P286">
        <v>-0.0543350917161046</v>
      </c>
      <c r="Q286">
        <v>0.107559890200876</v>
      </c>
      <c r="R286">
        <v>0.965124693548247</v>
      </c>
      <c r="S286" t="s">
        <v>1954</v>
      </c>
      <c r="T286" t="s">
        <v>3312</v>
      </c>
      <c r="U286" t="s">
        <v>3312</v>
      </c>
      <c r="V286" t="s">
        <v>3312</v>
      </c>
      <c r="W286" t="s">
        <v>3598</v>
      </c>
      <c r="X286">
        <v>2</v>
      </c>
      <c r="Y286" t="s">
        <v>5237</v>
      </c>
      <c r="Z286" t="s">
        <v>6879</v>
      </c>
      <c r="AA286">
        <v>0.3585417532038154</v>
      </c>
      <c r="AB286">
        <f>HYPERLINK("Melting_Curves/meltCurve_P0A7S3_rpsL.pdf", "Melting_Curves/meltCurve_P0A7S3_rpsL.pdf")</f>
        <v>0</v>
      </c>
    </row>
    <row r="287" spans="1:28">
      <c r="A287" t="s">
        <v>313</v>
      </c>
      <c r="B287">
        <v>0.999984544473304</v>
      </c>
      <c r="C287">
        <v>0.773888695563637</v>
      </c>
      <c r="D287">
        <v>0.589256663259391</v>
      </c>
      <c r="E287">
        <v>0.269836499833949</v>
      </c>
      <c r="F287">
        <v>0.19342547380637</v>
      </c>
      <c r="G287">
        <v>0.130163556948839</v>
      </c>
      <c r="H287">
        <v>0.100790491713147</v>
      </c>
      <c r="I287">
        <v>0.0750439919481115</v>
      </c>
      <c r="J287">
        <v>0.0778279338720793</v>
      </c>
      <c r="K287">
        <v>0.08343329953134131</v>
      </c>
      <c r="L287">
        <v>708.394828494466</v>
      </c>
      <c r="M287">
        <v>16.3740965564131</v>
      </c>
      <c r="N287">
        <v>43.7389508903604</v>
      </c>
      <c r="O287">
        <v>42.6332921761902</v>
      </c>
      <c r="P287">
        <v>-0.0881902350927308</v>
      </c>
      <c r="Q287">
        <v>0.081580897336561</v>
      </c>
      <c r="R287">
        <v>0.9929064281022431</v>
      </c>
      <c r="S287" t="s">
        <v>1955</v>
      </c>
      <c r="T287" t="s">
        <v>3312</v>
      </c>
      <c r="U287" t="s">
        <v>3312</v>
      </c>
      <c r="V287" t="s">
        <v>3312</v>
      </c>
      <c r="W287" t="s">
        <v>3599</v>
      </c>
      <c r="X287">
        <v>5</v>
      </c>
      <c r="Y287" t="s">
        <v>5238</v>
      </c>
      <c r="Z287" t="s">
        <v>6880</v>
      </c>
      <c r="AA287">
        <v>0.2930459171954299</v>
      </c>
      <c r="AB287">
        <f>HYPERLINK("Melting_Curves/meltCurve_P0A7S9_rpsM.pdf", "Melting_Curves/meltCurve_P0A7S9_rpsM.pdf")</f>
        <v>0</v>
      </c>
    </row>
    <row r="288" spans="1:28">
      <c r="A288" t="s">
        <v>314</v>
      </c>
      <c r="B288">
        <v>0.999984544473304</v>
      </c>
      <c r="C288">
        <v>1.45414039652237</v>
      </c>
      <c r="D288">
        <v>0.7169774641505891</v>
      </c>
      <c r="E288">
        <v>0.757361184265732</v>
      </c>
      <c r="F288">
        <v>0.512824952912726</v>
      </c>
      <c r="G288">
        <v>0.397063261974265</v>
      </c>
      <c r="H288">
        <v>0.332191608517052</v>
      </c>
      <c r="I288">
        <v>0.266406815149107</v>
      </c>
      <c r="J288">
        <v>0.275687929171298</v>
      </c>
      <c r="K288">
        <v>0.380311583753533</v>
      </c>
      <c r="L288">
        <v>901.023389750718</v>
      </c>
      <c r="M288">
        <v>18.8877619408352</v>
      </c>
      <c r="N288">
        <v>50.2437960067643</v>
      </c>
      <c r="O288">
        <v>47.1789917180241</v>
      </c>
      <c r="P288">
        <v>-0.0693077242703794</v>
      </c>
      <c r="Q288">
        <v>0.307544189827211</v>
      </c>
      <c r="R288">
        <v>0.791191961057359</v>
      </c>
      <c r="S288" t="s">
        <v>1956</v>
      </c>
      <c r="T288" t="s">
        <v>3312</v>
      </c>
      <c r="U288" t="s">
        <v>3312</v>
      </c>
      <c r="V288" t="s">
        <v>3312</v>
      </c>
      <c r="W288" t="s">
        <v>3600</v>
      </c>
      <c r="X288">
        <v>2</v>
      </c>
      <c r="Y288" t="s">
        <v>5239</v>
      </c>
      <c r="Z288" t="s">
        <v>6881</v>
      </c>
      <c r="AA288">
        <v>0.5647438617911452</v>
      </c>
      <c r="AB288">
        <f>HYPERLINK("Melting_Curves/meltCurve_P0A7T3_rpsP.pdf", "Melting_Curves/meltCurve_P0A7T3_rpsP.pdf")</f>
        <v>0</v>
      </c>
    </row>
    <row r="289" spans="1:28">
      <c r="A289" t="s">
        <v>315</v>
      </c>
      <c r="B289">
        <v>0.999984544473304</v>
      </c>
      <c r="C289">
        <v>0.5741275232844441</v>
      </c>
      <c r="D289">
        <v>0.31159972334918</v>
      </c>
      <c r="E289">
        <v>0.283066863244246</v>
      </c>
      <c r="F289">
        <v>0.237846407680911</v>
      </c>
      <c r="G289">
        <v>0.160077924213284</v>
      </c>
      <c r="H289">
        <v>0.131536550257277</v>
      </c>
      <c r="I289">
        <v>0.09574370286106031</v>
      </c>
      <c r="J289">
        <v>0.114403289971286</v>
      </c>
      <c r="K289">
        <v>0.164919838384649</v>
      </c>
      <c r="L289">
        <v>1017.44211726886</v>
      </c>
      <c r="M289">
        <v>25.2997946879798</v>
      </c>
      <c r="N289">
        <v>40.8569059526029</v>
      </c>
      <c r="O289">
        <v>39.966701317335</v>
      </c>
      <c r="P289">
        <v>-0.132317944070394</v>
      </c>
      <c r="Q289">
        <v>0.163907221904207</v>
      </c>
      <c r="R289">
        <v>0.956014549943023</v>
      </c>
      <c r="S289" t="s">
        <v>1957</v>
      </c>
      <c r="T289" t="s">
        <v>3312</v>
      </c>
      <c r="U289" t="s">
        <v>3312</v>
      </c>
      <c r="V289" t="s">
        <v>3312</v>
      </c>
      <c r="W289" t="s">
        <v>3601</v>
      </c>
      <c r="X289">
        <v>3</v>
      </c>
      <c r="Y289" t="s">
        <v>5240</v>
      </c>
      <c r="Z289" t="s">
        <v>6882</v>
      </c>
      <c r="AA289">
        <v>0.2630859277211584</v>
      </c>
      <c r="AB289">
        <f>HYPERLINK("Melting_Curves/meltCurve_P0A7T7_rpsR.pdf", "Melting_Curves/meltCurve_P0A7T7_rpsR.pdf")</f>
        <v>0</v>
      </c>
    </row>
    <row r="290" spans="1:28">
      <c r="A290" t="s">
        <v>316</v>
      </c>
      <c r="B290">
        <v>0.999984544473304</v>
      </c>
      <c r="C290">
        <v>0.96288130715576</v>
      </c>
      <c r="D290">
        <v>0.502349575970248</v>
      </c>
      <c r="E290">
        <v>0.841102834609377</v>
      </c>
      <c r="F290">
        <v>1.18154159272604</v>
      </c>
      <c r="G290">
        <v>1.07100561760767</v>
      </c>
      <c r="H290">
        <v>0.93555150620607</v>
      </c>
      <c r="I290">
        <v>0.950195167106336</v>
      </c>
      <c r="J290">
        <v>1.11267968807442</v>
      </c>
      <c r="K290">
        <v>1.65353704104604</v>
      </c>
      <c r="L290">
        <v>15000</v>
      </c>
      <c r="M290">
        <v>232.776030194282</v>
      </c>
      <c r="O290">
        <v>64.4348704140571</v>
      </c>
      <c r="P290">
        <v>0.451572334447302</v>
      </c>
      <c r="Q290">
        <v>1.5</v>
      </c>
      <c r="R290">
        <v>0.5459098847869021</v>
      </c>
      <c r="S290" t="s">
        <v>1958</v>
      </c>
      <c r="T290" t="s">
        <v>3312</v>
      </c>
      <c r="U290" t="s">
        <v>3312</v>
      </c>
      <c r="V290" t="s">
        <v>3312</v>
      </c>
      <c r="W290" t="s">
        <v>3602</v>
      </c>
      <c r="X290">
        <v>3</v>
      </c>
      <c r="Y290" t="s">
        <v>5241</v>
      </c>
      <c r="Z290" t="s">
        <v>6883</v>
      </c>
      <c r="AA290">
        <v>1.042608387914798</v>
      </c>
      <c r="AB290">
        <f>HYPERLINK("Melting_Curves/meltCurve_P0A7U3_rpsS.pdf", "Melting_Curves/meltCurve_P0A7U3_rpsS.pdf")</f>
        <v>0</v>
      </c>
    </row>
    <row r="291" spans="1:28">
      <c r="A291" t="s">
        <v>317</v>
      </c>
      <c r="B291">
        <v>0.999984544473304</v>
      </c>
      <c r="C291">
        <v>0.857260166238988</v>
      </c>
      <c r="D291">
        <v>0.541294689264523</v>
      </c>
      <c r="E291">
        <v>0.675551868436296</v>
      </c>
      <c r="F291">
        <v>1.31660665304926</v>
      </c>
      <c r="G291">
        <v>1.35722546682617</v>
      </c>
      <c r="H291">
        <v>0.983176761143041</v>
      </c>
      <c r="I291">
        <v>1.05330969308497</v>
      </c>
      <c r="J291">
        <v>1.14452746051538</v>
      </c>
      <c r="K291">
        <v>3.65922604200351</v>
      </c>
      <c r="L291">
        <v>15000</v>
      </c>
      <c r="M291">
        <v>233.119267448461</v>
      </c>
      <c r="O291">
        <v>64.340010053028</v>
      </c>
      <c r="P291">
        <v>0.452904939646377</v>
      </c>
      <c r="Q291">
        <v>1.5</v>
      </c>
      <c r="R291">
        <v>0.251811247275069</v>
      </c>
      <c r="S291" t="s">
        <v>1959</v>
      </c>
      <c r="T291" t="s">
        <v>3312</v>
      </c>
      <c r="U291" t="s">
        <v>3312</v>
      </c>
      <c r="V291" t="s">
        <v>3312</v>
      </c>
      <c r="W291" t="s">
        <v>3603</v>
      </c>
      <c r="X291">
        <v>4</v>
      </c>
      <c r="Y291" t="s">
        <v>5242</v>
      </c>
      <c r="Z291" t="s">
        <v>6884</v>
      </c>
      <c r="AA291">
        <v>1.044189788905283</v>
      </c>
      <c r="AB291">
        <f>HYPERLINK("Melting_Curves/meltCurve_P0A7U7_rpsT.pdf", "Melting_Curves/meltCurve_P0A7U7_rpsT.pdf")</f>
        <v>0</v>
      </c>
    </row>
    <row r="292" spans="1:28">
      <c r="A292" t="s">
        <v>318</v>
      </c>
      <c r="B292">
        <v>0.999984544473304</v>
      </c>
      <c r="C292">
        <v>0.59778577922783</v>
      </c>
      <c r="D292">
        <v>0.459833873214703</v>
      </c>
      <c r="E292">
        <v>0.211528988413028</v>
      </c>
      <c r="F292">
        <v>0.121849196219117</v>
      </c>
      <c r="G292">
        <v>0.0602698131138378</v>
      </c>
      <c r="H292">
        <v>0.0481233949832637</v>
      </c>
      <c r="I292">
        <v>0.0393847857518155</v>
      </c>
      <c r="J292">
        <v>0.031237824111904</v>
      </c>
      <c r="K292">
        <v>0.0237193403679761</v>
      </c>
      <c r="L292">
        <v>640.32090074118</v>
      </c>
      <c r="M292">
        <v>15.2652879110894</v>
      </c>
      <c r="N292">
        <v>42.1299336636662</v>
      </c>
      <c r="O292">
        <v>41.2461314237829</v>
      </c>
      <c r="P292">
        <v>-0.0895547368499815</v>
      </c>
      <c r="Q292">
        <v>0.0321995629168153</v>
      </c>
      <c r="R292">
        <v>0.975405055066392</v>
      </c>
      <c r="S292" t="s">
        <v>1960</v>
      </c>
      <c r="T292" t="s">
        <v>3312</v>
      </c>
      <c r="U292" t="s">
        <v>3312</v>
      </c>
      <c r="V292" t="s">
        <v>3312</v>
      </c>
      <c r="W292" t="s">
        <v>3604</v>
      </c>
      <c r="X292">
        <v>7</v>
      </c>
      <c r="Y292" t="s">
        <v>5243</v>
      </c>
      <c r="Z292" t="s">
        <v>6885</v>
      </c>
      <c r="AA292">
        <v>0.2187794723258984</v>
      </c>
      <c r="AB292">
        <f>HYPERLINK("Melting_Curves/meltCurve_P0A7V0_rpsB.pdf", "Melting_Curves/meltCurve_P0A7V0_rpsB.pdf")</f>
        <v>0</v>
      </c>
    </row>
    <row r="293" spans="1:28">
      <c r="A293" t="s">
        <v>319</v>
      </c>
      <c r="B293">
        <v>0.999984544473304</v>
      </c>
      <c r="C293">
        <v>0.5757508366019</v>
      </c>
      <c r="D293">
        <v>0.190020685053559</v>
      </c>
      <c r="E293">
        <v>0.09045132056622091</v>
      </c>
      <c r="F293">
        <v>0.06569974774176671</v>
      </c>
      <c r="G293">
        <v>0.0405852726486793</v>
      </c>
      <c r="H293">
        <v>0.036243961755123</v>
      </c>
      <c r="I293">
        <v>0.0269242655081346</v>
      </c>
      <c r="J293">
        <v>0.0252997503455167</v>
      </c>
      <c r="K293">
        <v>0.0157755542345584</v>
      </c>
      <c r="L293">
        <v>1222.96190304223</v>
      </c>
      <c r="M293">
        <v>30.3108070390285</v>
      </c>
      <c r="N293">
        <v>40.4635172178374</v>
      </c>
      <c r="O293">
        <v>40.173004491141</v>
      </c>
      <c r="P293">
        <v>-0.180771655061598</v>
      </c>
      <c r="Q293">
        <v>0.0416497502863419</v>
      </c>
      <c r="R293">
        <v>0.992522495394613</v>
      </c>
      <c r="S293" t="s">
        <v>1961</v>
      </c>
      <c r="T293" t="s">
        <v>3312</v>
      </c>
      <c r="U293" t="s">
        <v>3312</v>
      </c>
      <c r="V293" t="s">
        <v>3312</v>
      </c>
      <c r="W293" t="s">
        <v>3605</v>
      </c>
      <c r="X293">
        <v>4</v>
      </c>
      <c r="Y293" t="s">
        <v>5244</v>
      </c>
      <c r="Z293" t="s">
        <v>6886</v>
      </c>
      <c r="AA293">
        <v>0.1553753081845198</v>
      </c>
      <c r="AB293">
        <f>HYPERLINK("Melting_Curves/meltCurve_P0A7V3_rpsC.pdf", "Melting_Curves/meltCurve_P0A7V3_rpsC.pdf")</f>
        <v>0</v>
      </c>
    </row>
    <row r="294" spans="1:28">
      <c r="A294" t="s">
        <v>320</v>
      </c>
      <c r="B294">
        <v>0.999984544473304</v>
      </c>
      <c r="C294">
        <v>0.464580214240742</v>
      </c>
      <c r="D294">
        <v>0.151370497757074</v>
      </c>
      <c r="E294">
        <v>0.0703197157456784</v>
      </c>
      <c r="F294">
        <v>0.0414792622429402</v>
      </c>
      <c r="G294">
        <v>0.0279666985570467</v>
      </c>
      <c r="H294">
        <v>0.0232204096168847</v>
      </c>
      <c r="I294">
        <v>0.0173531661947584</v>
      </c>
      <c r="J294">
        <v>0.0147475198390386</v>
      </c>
      <c r="K294">
        <v>0.0202348808239914</v>
      </c>
      <c r="L294">
        <v>1460.91823693561</v>
      </c>
      <c r="M294">
        <v>36.726923706698</v>
      </c>
      <c r="N294">
        <v>39.8594729745612</v>
      </c>
      <c r="O294">
        <v>39.6604772014924</v>
      </c>
      <c r="P294">
        <v>-0.223123115702913</v>
      </c>
      <c r="Q294">
        <v>0.0362227885021269</v>
      </c>
      <c r="R294">
        <v>0.989575652707307</v>
      </c>
      <c r="S294" t="s">
        <v>1962</v>
      </c>
      <c r="T294" t="s">
        <v>3312</v>
      </c>
      <c r="U294" t="s">
        <v>3312</v>
      </c>
      <c r="V294" t="s">
        <v>3312</v>
      </c>
      <c r="W294" t="s">
        <v>3606</v>
      </c>
      <c r="X294">
        <v>10</v>
      </c>
      <c r="Y294" t="s">
        <v>5245</v>
      </c>
      <c r="Z294" t="s">
        <v>6887</v>
      </c>
      <c r="AA294">
        <v>0.130376950639542</v>
      </c>
      <c r="AB294">
        <f>HYPERLINK("Melting_Curves/meltCurve_P0A7V8_rpsD.pdf", "Melting_Curves/meltCurve_P0A7V8_rpsD.pdf")</f>
        <v>0</v>
      </c>
    </row>
    <row r="295" spans="1:28">
      <c r="A295" t="s">
        <v>321</v>
      </c>
      <c r="B295">
        <v>0.999984544473304</v>
      </c>
      <c r="C295">
        <v>0.754475753146005</v>
      </c>
      <c r="D295">
        <v>0.474769707378544</v>
      </c>
      <c r="E295">
        <v>0.28477783338372</v>
      </c>
      <c r="F295">
        <v>0.090617205179701</v>
      </c>
      <c r="G295">
        <v>0.039695977663131</v>
      </c>
      <c r="H295">
        <v>0.0234377340494111</v>
      </c>
      <c r="I295">
        <v>0.0170661218889927</v>
      </c>
      <c r="J295">
        <v>0.0118317766109875</v>
      </c>
      <c r="K295">
        <v>0.0155468574926013</v>
      </c>
      <c r="L295">
        <v>680.42182798838</v>
      </c>
      <c r="M295">
        <v>15.814906381793</v>
      </c>
      <c r="N295">
        <v>43.0710412077273</v>
      </c>
      <c r="O295">
        <v>42.3537982120852</v>
      </c>
      <c r="P295">
        <v>-0.0925596877779858</v>
      </c>
      <c r="Q295">
        <v>0.008547400217890459</v>
      </c>
      <c r="R295">
        <v>0.992095725944904</v>
      </c>
      <c r="S295" t="s">
        <v>1963</v>
      </c>
      <c r="T295" t="s">
        <v>3312</v>
      </c>
      <c r="U295" t="s">
        <v>3312</v>
      </c>
      <c r="V295" t="s">
        <v>3312</v>
      </c>
      <c r="W295" t="s">
        <v>3607</v>
      </c>
      <c r="X295">
        <v>7</v>
      </c>
      <c r="Y295" t="s">
        <v>5246</v>
      </c>
      <c r="Z295" t="s">
        <v>6888</v>
      </c>
      <c r="AA295">
        <v>0.2309704082471847</v>
      </c>
      <c r="AB295">
        <f>HYPERLINK("Melting_Curves/meltCurve_P0A7W1_rpsE.pdf", "Melting_Curves/meltCurve_P0A7W1_rpsE.pdf")</f>
        <v>0</v>
      </c>
    </row>
    <row r="296" spans="1:28">
      <c r="A296" t="s">
        <v>322</v>
      </c>
      <c r="B296">
        <v>0.999984544473304</v>
      </c>
      <c r="C296">
        <v>0.952675996931965</v>
      </c>
      <c r="D296">
        <v>0.8938248176953379</v>
      </c>
      <c r="E296">
        <v>0.544083835979679</v>
      </c>
      <c r="F296">
        <v>0.225495834810643</v>
      </c>
      <c r="G296">
        <v>0.12878835570596</v>
      </c>
      <c r="H296">
        <v>0.114779992901313</v>
      </c>
      <c r="I296">
        <v>0.0904216763389704</v>
      </c>
      <c r="J296">
        <v>0.0733857083642219</v>
      </c>
      <c r="K296">
        <v>0.07428501768831661</v>
      </c>
      <c r="L296">
        <v>1069.06202341655</v>
      </c>
      <c r="M296">
        <v>22.9308960964144</v>
      </c>
      <c r="N296">
        <v>46.9939068171961</v>
      </c>
      <c r="O296">
        <v>46.2708139567445</v>
      </c>
      <c r="P296">
        <v>-0.113592097200415</v>
      </c>
      <c r="Q296">
        <v>0.08317597062952729</v>
      </c>
      <c r="R296">
        <v>0.99887404827042</v>
      </c>
      <c r="S296" t="s">
        <v>1964</v>
      </c>
      <c r="T296" t="s">
        <v>3312</v>
      </c>
      <c r="U296" t="s">
        <v>3312</v>
      </c>
      <c r="V296" t="s">
        <v>3312</v>
      </c>
      <c r="W296" t="s">
        <v>3608</v>
      </c>
      <c r="X296">
        <v>4</v>
      </c>
      <c r="Y296" t="s">
        <v>5247</v>
      </c>
      <c r="Z296" t="s">
        <v>6889</v>
      </c>
      <c r="AA296">
        <v>0.3863219377218663</v>
      </c>
      <c r="AB296">
        <f>HYPERLINK("Melting_Curves/meltCurve_P0A7W7_rpsH.pdf", "Melting_Curves/meltCurve_P0A7W7_rpsH.pdf")</f>
        <v>0</v>
      </c>
    </row>
    <row r="297" spans="1:28">
      <c r="A297" t="s">
        <v>323</v>
      </c>
      <c r="B297">
        <v>0.999984544473304</v>
      </c>
      <c r="C297">
        <v>0.738715593754751</v>
      </c>
      <c r="D297">
        <v>0.521302487179549</v>
      </c>
      <c r="E297">
        <v>0.5382082134613509</v>
      </c>
      <c r="F297">
        <v>0.326174601053218</v>
      </c>
      <c r="G297">
        <v>0.22678957391842</v>
      </c>
      <c r="H297">
        <v>0.181656989271779</v>
      </c>
      <c r="I297">
        <v>0.116055233322021</v>
      </c>
      <c r="J297">
        <v>0.09329510942550261</v>
      </c>
      <c r="K297">
        <v>0.12222182312522</v>
      </c>
      <c r="L297">
        <v>416.456063629983</v>
      </c>
      <c r="M297">
        <v>9.265774551414051</v>
      </c>
      <c r="N297">
        <v>45.5871723270602</v>
      </c>
      <c r="O297">
        <v>43.0009206682176</v>
      </c>
      <c r="P297">
        <v>-0.0506097503833985</v>
      </c>
      <c r="Q297">
        <v>0.061124913026538</v>
      </c>
      <c r="R297">
        <v>0.9594728020550231</v>
      </c>
      <c r="S297" t="s">
        <v>1965</v>
      </c>
      <c r="T297" t="s">
        <v>3312</v>
      </c>
      <c r="U297" t="s">
        <v>3312</v>
      </c>
      <c r="V297" t="s">
        <v>3312</v>
      </c>
      <c r="W297" t="s">
        <v>3609</v>
      </c>
      <c r="X297">
        <v>3</v>
      </c>
      <c r="Y297" t="s">
        <v>5248</v>
      </c>
      <c r="Z297" t="s">
        <v>6890</v>
      </c>
      <c r="AA297">
        <v>0.3623995991090013</v>
      </c>
      <c r="AB297">
        <f>HYPERLINK("Melting_Curves/meltCurve_P0A7X3_rpsI.pdf", "Melting_Curves/meltCurve_P0A7X3_rpsI.pdf")</f>
        <v>0</v>
      </c>
    </row>
    <row r="298" spans="1:28">
      <c r="A298" t="s">
        <v>324</v>
      </c>
      <c r="B298">
        <v>0.999984544473304</v>
      </c>
      <c r="C298">
        <v>1.13777573381762</v>
      </c>
      <c r="D298">
        <v>1.23170054112939</v>
      </c>
      <c r="E298">
        <v>1.0336961982489</v>
      </c>
      <c r="F298">
        <v>0.963738448317811</v>
      </c>
      <c r="G298">
        <v>0.653305406317005</v>
      </c>
      <c r="H298">
        <v>0.3916727043067</v>
      </c>
      <c r="I298">
        <v>0.321189665352053</v>
      </c>
      <c r="J298">
        <v>0.220840880489547</v>
      </c>
      <c r="K298">
        <v>0.280668744688274</v>
      </c>
      <c r="L298">
        <v>1673.32537717209</v>
      </c>
      <c r="M298">
        <v>30.8916088917467</v>
      </c>
      <c r="N298">
        <v>55.5351844527352</v>
      </c>
      <c r="O298">
        <v>53.942159325011</v>
      </c>
      <c r="P298">
        <v>-0.105039999457269</v>
      </c>
      <c r="Q298">
        <v>0.26633131283906</v>
      </c>
      <c r="R298">
        <v>0.9428345789581219</v>
      </c>
      <c r="S298" t="s">
        <v>1966</v>
      </c>
      <c r="T298" t="s">
        <v>3312</v>
      </c>
      <c r="U298" t="s">
        <v>3312</v>
      </c>
      <c r="V298" t="s">
        <v>3312</v>
      </c>
      <c r="W298" t="s">
        <v>3610</v>
      </c>
      <c r="X298">
        <v>3</v>
      </c>
      <c r="Y298" t="s">
        <v>5249</v>
      </c>
      <c r="Z298" t="s">
        <v>6891</v>
      </c>
      <c r="AA298">
        <v>0.6906190708781049</v>
      </c>
      <c r="AB298">
        <f>HYPERLINK("Melting_Curves/meltCurve_P0A7X6_rimM.pdf", "Melting_Curves/meltCurve_P0A7X6_rimM.pdf")</f>
        <v>0</v>
      </c>
    </row>
    <row r="299" spans="1:28">
      <c r="A299" t="s">
        <v>325</v>
      </c>
      <c r="B299">
        <v>0.999984544473304</v>
      </c>
      <c r="C299">
        <v>0.70263918019489</v>
      </c>
      <c r="D299">
        <v>0.400508688587831</v>
      </c>
      <c r="E299">
        <v>0.207461121122624</v>
      </c>
      <c r="F299">
        <v>0.164919366669849</v>
      </c>
      <c r="G299">
        <v>0.09624191022312641</v>
      </c>
      <c r="H299">
        <v>0.0722587313290677</v>
      </c>
      <c r="I299">
        <v>0.0584317452574198</v>
      </c>
      <c r="J299">
        <v>0.043500184435934</v>
      </c>
      <c r="K299">
        <v>0.0556579825217068</v>
      </c>
      <c r="L299">
        <v>781.763337161905</v>
      </c>
      <c r="M299">
        <v>18.6988570850423</v>
      </c>
      <c r="N299">
        <v>42.1546545991275</v>
      </c>
      <c r="O299">
        <v>41.3387164568886</v>
      </c>
      <c r="P299">
        <v>-0.10503012640716</v>
      </c>
      <c r="Q299">
        <v>0.0712531256137144</v>
      </c>
      <c r="R299">
        <v>0.988034376469763</v>
      </c>
      <c r="S299" t="s">
        <v>1967</v>
      </c>
      <c r="T299" t="s">
        <v>3312</v>
      </c>
      <c r="U299" t="s">
        <v>3312</v>
      </c>
      <c r="V299" t="s">
        <v>3312</v>
      </c>
      <c r="W299" t="s">
        <v>3611</v>
      </c>
      <c r="X299">
        <v>2</v>
      </c>
      <c r="Y299" t="s">
        <v>5250</v>
      </c>
      <c r="Z299" t="s">
        <v>6892</v>
      </c>
      <c r="AA299">
        <v>0.2368057474767768</v>
      </c>
      <c r="AB299">
        <f>HYPERLINK("Melting_Curves/meltCurve_P0A7Y0_rnc.pdf", "Melting_Curves/meltCurve_P0A7Y0_rnc.pdf")</f>
        <v>0</v>
      </c>
    </row>
    <row r="300" spans="1:28">
      <c r="A300" t="s">
        <v>326</v>
      </c>
      <c r="B300">
        <v>0.999984544473304</v>
      </c>
      <c r="C300">
        <v>0.800628466624682</v>
      </c>
      <c r="D300">
        <v>1.05197232328327</v>
      </c>
      <c r="E300">
        <v>1.01740093969297</v>
      </c>
      <c r="F300">
        <v>0.9722351940228851</v>
      </c>
      <c r="G300">
        <v>0.585677072374807</v>
      </c>
      <c r="H300">
        <v>0.442308284629751</v>
      </c>
      <c r="I300">
        <v>0.374392318839572</v>
      </c>
      <c r="J300">
        <v>0.283492812171981</v>
      </c>
      <c r="K300">
        <v>0.294294161802601</v>
      </c>
      <c r="L300">
        <v>1759.58453252914</v>
      </c>
      <c r="M300">
        <v>32.9276824292313</v>
      </c>
      <c r="N300">
        <v>55.1834161094191</v>
      </c>
      <c r="O300">
        <v>53.24190944439</v>
      </c>
      <c r="P300">
        <v>-0.104588754532471</v>
      </c>
      <c r="Q300">
        <v>0.323550355934464</v>
      </c>
      <c r="R300">
        <v>0.941395324892137</v>
      </c>
      <c r="S300" t="s">
        <v>1968</v>
      </c>
      <c r="T300" t="s">
        <v>3312</v>
      </c>
      <c r="U300" t="s">
        <v>3312</v>
      </c>
      <c r="V300" t="s">
        <v>3312</v>
      </c>
      <c r="W300" t="s">
        <v>3612</v>
      </c>
      <c r="X300">
        <v>8</v>
      </c>
      <c r="Y300" t="s">
        <v>5251</v>
      </c>
      <c r="Z300" t="s">
        <v>6893</v>
      </c>
      <c r="AA300">
        <v>0.6978207899607936</v>
      </c>
      <c r="AB300">
        <f>HYPERLINK("Melting_Curves/meltCurve_P0A7Z0_rpiA.pdf", "Melting_Curves/meltCurve_P0A7Z0_rpiA.pdf")</f>
        <v>0</v>
      </c>
    </row>
    <row r="301" spans="1:28">
      <c r="A301" t="s">
        <v>327</v>
      </c>
      <c r="B301">
        <v>0.999984544473304</v>
      </c>
      <c r="C301">
        <v>0.93656366770194</v>
      </c>
      <c r="D301">
        <v>0.981728620808783</v>
      </c>
      <c r="E301">
        <v>0.993027688909116</v>
      </c>
      <c r="F301">
        <v>1.02094618742102</v>
      </c>
      <c r="G301">
        <v>0.827805393847987</v>
      </c>
      <c r="H301">
        <v>0.76319132533697</v>
      </c>
      <c r="I301">
        <v>0.576444275096758</v>
      </c>
      <c r="J301">
        <v>0.451568799456946</v>
      </c>
      <c r="K301">
        <v>0.402187931864036</v>
      </c>
      <c r="L301">
        <v>930.065110192625</v>
      </c>
      <c r="M301">
        <v>15.6721511973382</v>
      </c>
      <c r="N301">
        <v>62.9415386255655</v>
      </c>
      <c r="O301">
        <v>58.4040553907512</v>
      </c>
      <c r="P301">
        <v>-0.0472453998720728</v>
      </c>
      <c r="Q301">
        <v>0.295798490515435</v>
      </c>
      <c r="R301">
        <v>0.977234072011924</v>
      </c>
      <c r="S301" t="s">
        <v>1969</v>
      </c>
      <c r="T301" t="s">
        <v>3312</v>
      </c>
      <c r="U301" t="s">
        <v>3312</v>
      </c>
      <c r="V301" t="s">
        <v>3312</v>
      </c>
      <c r="W301" t="s">
        <v>3613</v>
      </c>
      <c r="X301">
        <v>11</v>
      </c>
      <c r="Y301" t="s">
        <v>5252</v>
      </c>
      <c r="Z301" t="s">
        <v>6894</v>
      </c>
      <c r="AA301">
        <v>0.8192403035010478</v>
      </c>
      <c r="AB301">
        <f>HYPERLINK("Melting_Curves/meltCurve_P0A7Z4_rpoA.pdf", "Melting_Curves/meltCurve_P0A7Z4_rpoA.pdf")</f>
        <v>0</v>
      </c>
    </row>
    <row r="302" spans="1:28">
      <c r="A302" t="s">
        <v>328</v>
      </c>
      <c r="B302">
        <v>0.999984544473304</v>
      </c>
      <c r="C302">
        <v>0.975441227616059</v>
      </c>
      <c r="D302">
        <v>0.968300014182119</v>
      </c>
      <c r="E302">
        <v>1.18839140745857</v>
      </c>
      <c r="F302">
        <v>1.128816119494</v>
      </c>
      <c r="G302">
        <v>0.9590875455344759</v>
      </c>
      <c r="H302">
        <v>0.967770303361332</v>
      </c>
      <c r="I302">
        <v>0.8772229217863931</v>
      </c>
      <c r="J302">
        <v>0.741898605349142</v>
      </c>
      <c r="K302">
        <v>0.743867049390152</v>
      </c>
      <c r="L302">
        <v>2484.57252408833</v>
      </c>
      <c r="M302">
        <v>40.6718067868683</v>
      </c>
      <c r="O302">
        <v>60.9412001032156</v>
      </c>
      <c r="P302">
        <v>-0.0459579226785266</v>
      </c>
      <c r="Q302">
        <v>0.724553617388861</v>
      </c>
      <c r="R302">
        <v>0.694540185425248</v>
      </c>
      <c r="S302" t="s">
        <v>1970</v>
      </c>
      <c r="T302" t="s">
        <v>3312</v>
      </c>
      <c r="U302" t="s">
        <v>3312</v>
      </c>
      <c r="V302" t="s">
        <v>3312</v>
      </c>
      <c r="W302" t="s">
        <v>3614</v>
      </c>
      <c r="X302">
        <v>14</v>
      </c>
      <c r="Y302" t="s">
        <v>5253</v>
      </c>
      <c r="Z302" t="s">
        <v>6895</v>
      </c>
      <c r="AA302">
        <v>0.9463676398670714</v>
      </c>
      <c r="AB302">
        <f>HYPERLINK("Melting_Curves/meltCurve_P0A805_frr.pdf", "Melting_Curves/meltCurve_P0A805_frr.pdf")</f>
        <v>0</v>
      </c>
    </row>
    <row r="303" spans="1:28">
      <c r="A303" t="s">
        <v>329</v>
      </c>
      <c r="B303">
        <v>0.999984544473304</v>
      </c>
      <c r="C303">
        <v>0.867795053782514</v>
      </c>
      <c r="D303">
        <v>1.04284833267987</v>
      </c>
      <c r="E303">
        <v>0.8295644140947001</v>
      </c>
      <c r="F303">
        <v>0.852728924530721</v>
      </c>
      <c r="G303">
        <v>0.779316708072974</v>
      </c>
      <c r="H303">
        <v>0.643939883494143</v>
      </c>
      <c r="I303">
        <v>0.5698445718876201</v>
      </c>
      <c r="J303">
        <v>0.5033467000863719</v>
      </c>
      <c r="K303">
        <v>0.390919945136286</v>
      </c>
      <c r="L303">
        <v>390.73002685883</v>
      </c>
      <c r="M303">
        <v>6.15736659448835</v>
      </c>
      <c r="N303">
        <v>63.4573272133787</v>
      </c>
      <c r="O303">
        <v>57.7432810383961</v>
      </c>
      <c r="P303">
        <v>-0.0267370627655929</v>
      </c>
      <c r="Q303">
        <v>0</v>
      </c>
      <c r="R303">
        <v>0.932094283338469</v>
      </c>
      <c r="S303" t="s">
        <v>1971</v>
      </c>
      <c r="T303" t="s">
        <v>3312</v>
      </c>
      <c r="U303" t="s">
        <v>3312</v>
      </c>
      <c r="V303" t="s">
        <v>3312</v>
      </c>
      <c r="W303" t="s">
        <v>3615</v>
      </c>
      <c r="X303">
        <v>4</v>
      </c>
      <c r="Y303" t="s">
        <v>5254</v>
      </c>
      <c r="Z303" t="s">
        <v>6896</v>
      </c>
      <c r="AA303">
        <v>0.7608331952886507</v>
      </c>
      <c r="AB303">
        <f>HYPERLINK("Melting_Curves/meltCurve_P0A809_ruvA.pdf", "Melting_Curves/meltCurve_P0A809_ruvA.pdf")</f>
        <v>0</v>
      </c>
    </row>
    <row r="304" spans="1:28">
      <c r="A304" t="s">
        <v>330</v>
      </c>
      <c r="B304">
        <v>0.999984544473304</v>
      </c>
      <c r="C304">
        <v>0.782418187921525</v>
      </c>
      <c r="D304">
        <v>0.7145151531658001</v>
      </c>
      <c r="E304">
        <v>0.731139550668907</v>
      </c>
      <c r="F304">
        <v>0.620441210374116</v>
      </c>
      <c r="G304">
        <v>0.611315255695165</v>
      </c>
      <c r="H304">
        <v>0.501340566634579</v>
      </c>
      <c r="I304">
        <v>0.470002520463067</v>
      </c>
      <c r="J304">
        <v>0.298875626059975</v>
      </c>
      <c r="K304">
        <v>0.411649863108225</v>
      </c>
      <c r="L304">
        <v>227.146252239889</v>
      </c>
      <c r="M304">
        <v>4.03335475189603</v>
      </c>
      <c r="N304">
        <v>57.2016360181619</v>
      </c>
      <c r="O304">
        <v>46.3550731825994</v>
      </c>
      <c r="P304">
        <v>-0.0213587783990831</v>
      </c>
      <c r="Q304">
        <v>0.0302371017072731</v>
      </c>
      <c r="R304">
        <v>0.903633746334871</v>
      </c>
      <c r="S304" t="s">
        <v>1972</v>
      </c>
      <c r="T304" t="s">
        <v>3312</v>
      </c>
      <c r="U304" t="s">
        <v>3312</v>
      </c>
      <c r="V304" t="s">
        <v>3312</v>
      </c>
      <c r="W304" t="s">
        <v>3616</v>
      </c>
      <c r="X304">
        <v>3</v>
      </c>
      <c r="Y304" t="s">
        <v>5255</v>
      </c>
      <c r="Z304" t="s">
        <v>6897</v>
      </c>
      <c r="AA304">
        <v>0.60943920557533</v>
      </c>
      <c r="AB304">
        <f>HYPERLINK("Melting_Curves/meltCurve_P0A817_metK.pdf", "Melting_Curves/meltCurve_P0A817_metK.pdf")</f>
        <v>0</v>
      </c>
    </row>
    <row r="305" spans="1:28">
      <c r="A305" t="s">
        <v>331</v>
      </c>
      <c r="B305">
        <v>0.999984544473304</v>
      </c>
      <c r="C305">
        <v>1.75663092567596</v>
      </c>
      <c r="D305">
        <v>1.29092652415053</v>
      </c>
      <c r="E305">
        <v>1.38410135088437</v>
      </c>
      <c r="F305">
        <v>0.621915772177108</v>
      </c>
      <c r="G305">
        <v>0.530724534883096</v>
      </c>
      <c r="H305">
        <v>0.340773743744933</v>
      </c>
      <c r="I305">
        <v>0.197620193697951</v>
      </c>
      <c r="J305">
        <v>0.121671795444247</v>
      </c>
      <c r="K305">
        <v>0.0799191364237874</v>
      </c>
      <c r="L305">
        <v>1192.37822337926</v>
      </c>
      <c r="M305">
        <v>22.3874355248421</v>
      </c>
      <c r="N305">
        <v>53.9430585774143</v>
      </c>
      <c r="O305">
        <v>52.8415438008083</v>
      </c>
      <c r="P305">
        <v>-0.09286464691214361</v>
      </c>
      <c r="Q305">
        <v>0.123256599062244</v>
      </c>
      <c r="R305">
        <v>0.719007187593273</v>
      </c>
      <c r="S305" t="s">
        <v>1973</v>
      </c>
      <c r="T305" t="s">
        <v>3312</v>
      </c>
      <c r="U305" t="s">
        <v>3312</v>
      </c>
      <c r="V305" t="s">
        <v>3312</v>
      </c>
      <c r="W305" t="s">
        <v>3617</v>
      </c>
      <c r="X305">
        <v>7</v>
      </c>
      <c r="Y305" t="s">
        <v>5256</v>
      </c>
      <c r="Z305" t="s">
        <v>6898</v>
      </c>
      <c r="AA305">
        <v>0.6077389190418477</v>
      </c>
      <c r="AB305">
        <f>HYPERLINK("Melting_Curves/meltCurve_P0A821_selA.pdf", "Melting_Curves/meltCurve_P0A821_selA.pdf")</f>
        <v>0</v>
      </c>
    </row>
    <row r="306" spans="1:28">
      <c r="A306" t="s">
        <v>332</v>
      </c>
      <c r="B306">
        <v>0.999984544473304</v>
      </c>
      <c r="C306">
        <v>1.44239834537041</v>
      </c>
      <c r="D306">
        <v>0.90715600965522</v>
      </c>
      <c r="E306">
        <v>0.781836274146902</v>
      </c>
      <c r="F306">
        <v>0.965148557672497</v>
      </c>
      <c r="G306">
        <v>0.602141292607752</v>
      </c>
      <c r="H306">
        <v>0.192026738721202</v>
      </c>
      <c r="I306">
        <v>0.124150885070819</v>
      </c>
      <c r="J306">
        <v>0.0822811180374062</v>
      </c>
      <c r="K306">
        <v>0.06635865896628999</v>
      </c>
      <c r="L306">
        <v>1797.23093625619</v>
      </c>
      <c r="M306">
        <v>33.1369844209987</v>
      </c>
      <c r="N306">
        <v>54.5130307022687</v>
      </c>
      <c r="O306">
        <v>54.0400248391879</v>
      </c>
      <c r="P306">
        <v>-0.141435852690881</v>
      </c>
      <c r="Q306">
        <v>0.0773857461448313</v>
      </c>
      <c r="R306">
        <v>0.878595151845131</v>
      </c>
      <c r="S306" t="s">
        <v>1974</v>
      </c>
      <c r="T306" t="s">
        <v>3312</v>
      </c>
      <c r="U306" t="s">
        <v>3312</v>
      </c>
      <c r="V306" t="s">
        <v>3312</v>
      </c>
      <c r="W306" t="s">
        <v>3618</v>
      </c>
      <c r="X306">
        <v>2</v>
      </c>
      <c r="Y306" t="s">
        <v>5257</v>
      </c>
      <c r="Z306" t="s">
        <v>6899</v>
      </c>
      <c r="AA306">
        <v>0.6123821141692637</v>
      </c>
      <c r="AB306">
        <f>HYPERLINK("Melting_Curves/meltCurve_P0A823_sfsA.pdf", "Melting_Curves/meltCurve_P0A823_sfsA.pdf")</f>
        <v>0</v>
      </c>
    </row>
    <row r="307" spans="1:28">
      <c r="A307" t="s">
        <v>333</v>
      </c>
      <c r="B307">
        <v>0.999984544473304</v>
      </c>
      <c r="C307">
        <v>0.981345694274853</v>
      </c>
      <c r="D307">
        <v>0.99886559079126</v>
      </c>
      <c r="E307">
        <v>0.964024003973624</v>
      </c>
      <c r="F307">
        <v>0.904357791065735</v>
      </c>
      <c r="G307">
        <v>0.84130254858269</v>
      </c>
      <c r="H307">
        <v>0.573708665195122</v>
      </c>
      <c r="I307">
        <v>0.310919013542056</v>
      </c>
      <c r="J307">
        <v>0.07370160683309</v>
      </c>
      <c r="K307">
        <v>0.0260741792496694</v>
      </c>
      <c r="L307">
        <v>1220.45765024393</v>
      </c>
      <c r="M307">
        <v>20.9968760503961</v>
      </c>
      <c r="N307">
        <v>58.1256960354004</v>
      </c>
      <c r="O307">
        <v>57.6061441307018</v>
      </c>
      <c r="P307">
        <v>-0.0911250047057023</v>
      </c>
      <c r="Q307">
        <v>0</v>
      </c>
      <c r="R307">
        <v>0.992712134800487</v>
      </c>
      <c r="S307" t="s">
        <v>1975</v>
      </c>
      <c r="T307" t="s">
        <v>3312</v>
      </c>
      <c r="U307" t="s">
        <v>3312</v>
      </c>
      <c r="V307" t="s">
        <v>3312</v>
      </c>
      <c r="W307" t="s">
        <v>3619</v>
      </c>
      <c r="X307">
        <v>17</v>
      </c>
      <c r="Y307" t="s">
        <v>5258</v>
      </c>
      <c r="Z307" t="s">
        <v>6900</v>
      </c>
      <c r="AA307">
        <v>0.7107655073365036</v>
      </c>
      <c r="AB307">
        <f>HYPERLINK("Melting_Curves/meltCurve_P0A825_glyA.pdf", "Melting_Curves/meltCurve_P0A825_glyA.pdf")</f>
        <v>0</v>
      </c>
    </row>
    <row r="308" spans="1:28">
      <c r="A308" t="s">
        <v>334</v>
      </c>
      <c r="B308">
        <v>0.999984544473304</v>
      </c>
      <c r="C308">
        <v>1.13130710858601</v>
      </c>
      <c r="D308">
        <v>0.661942047296312</v>
      </c>
      <c r="E308">
        <v>0.441820605030066</v>
      </c>
      <c r="F308">
        <v>0.251148857550804</v>
      </c>
      <c r="G308">
        <v>0.150921340696103</v>
      </c>
      <c r="H308">
        <v>0.125630764377875</v>
      </c>
      <c r="I308">
        <v>0.08321151494647699</v>
      </c>
      <c r="J308">
        <v>0.0528545914932129</v>
      </c>
      <c r="K308">
        <v>0.051568200334203</v>
      </c>
      <c r="L308">
        <v>849.321917903452</v>
      </c>
      <c r="M308">
        <v>18.6820931205462</v>
      </c>
      <c r="N308">
        <v>45.8934075804598</v>
      </c>
      <c r="O308">
        <v>44.9505330941973</v>
      </c>
      <c r="P308">
        <v>-0.0955371284869183</v>
      </c>
      <c r="Q308">
        <v>0.0805608353591738</v>
      </c>
      <c r="R308">
        <v>0.9637220476291239</v>
      </c>
      <c r="S308" t="s">
        <v>1976</v>
      </c>
      <c r="T308" t="s">
        <v>3312</v>
      </c>
      <c r="U308" t="s">
        <v>3312</v>
      </c>
      <c r="V308" t="s">
        <v>3312</v>
      </c>
      <c r="W308" t="s">
        <v>3620</v>
      </c>
      <c r="X308">
        <v>3</v>
      </c>
      <c r="Y308" t="s">
        <v>5259</v>
      </c>
      <c r="Z308" t="s">
        <v>6901</v>
      </c>
      <c r="AA308">
        <v>0.3537548202617178</v>
      </c>
      <c r="AB308">
        <f>HYPERLINK("Melting_Curves/meltCurve_P0A830_dctA.pdf", "Melting_Curves/meltCurve_P0A830_dctA.pdf")</f>
        <v>0</v>
      </c>
    </row>
    <row r="309" spans="1:28">
      <c r="A309" t="s">
        <v>335</v>
      </c>
      <c r="B309">
        <v>0.999984544473304</v>
      </c>
      <c r="C309">
        <v>1.02556315838386</v>
      </c>
      <c r="D309">
        <v>1.02612433175108</v>
      </c>
      <c r="E309">
        <v>0.524070361228382</v>
      </c>
      <c r="F309">
        <v>0.287772688847571</v>
      </c>
      <c r="G309">
        <v>0.19942829013701</v>
      </c>
      <c r="H309">
        <v>0.313942996018726</v>
      </c>
      <c r="I309">
        <v>0.105698902931555</v>
      </c>
      <c r="J309">
        <v>0.0714659536858208</v>
      </c>
      <c r="K309">
        <v>0.0569852016514762</v>
      </c>
      <c r="L309">
        <v>1491.29039392138</v>
      </c>
      <c r="M309">
        <v>32.047606392168</v>
      </c>
      <c r="N309">
        <v>47.0751071671991</v>
      </c>
      <c r="O309">
        <v>46.3535332147315</v>
      </c>
      <c r="P309">
        <v>-0.146197664917912</v>
      </c>
      <c r="Q309">
        <v>0.154165319695964</v>
      </c>
      <c r="R309">
        <v>0.961227075610632</v>
      </c>
      <c r="S309" t="s">
        <v>1977</v>
      </c>
      <c r="T309" t="s">
        <v>3312</v>
      </c>
      <c r="U309" t="s">
        <v>3312</v>
      </c>
      <c r="V309" t="s">
        <v>3312</v>
      </c>
      <c r="W309" t="s">
        <v>3621</v>
      </c>
      <c r="X309">
        <v>1</v>
      </c>
      <c r="Y309" t="s">
        <v>5260</v>
      </c>
      <c r="Z309" t="s">
        <v>6902</v>
      </c>
      <c r="AA309">
        <v>0.4272223225442777</v>
      </c>
      <c r="AB309">
        <f>HYPERLINK("Melting_Curves/meltCurve_P0A832_smpB.pdf", "Melting_Curves/meltCurve_P0A832_smpB.pdf")</f>
        <v>0</v>
      </c>
    </row>
    <row r="310" spans="1:28">
      <c r="A310" t="s">
        <v>336</v>
      </c>
      <c r="B310">
        <v>0.999984544473304</v>
      </c>
      <c r="C310">
        <v>0.950894640856522</v>
      </c>
      <c r="D310">
        <v>1.19611512876438</v>
      </c>
      <c r="E310">
        <v>0.980791204950254</v>
      </c>
      <c r="F310">
        <v>0.965429459356282</v>
      </c>
      <c r="G310">
        <v>0.364695983327642</v>
      </c>
      <c r="H310">
        <v>0.0630170928600715</v>
      </c>
      <c r="I310">
        <v>0.0317196685325822</v>
      </c>
      <c r="J310">
        <v>0.0184308593129251</v>
      </c>
      <c r="K310">
        <v>0.0158958037877343</v>
      </c>
      <c r="L310">
        <v>2783.84664146805</v>
      </c>
      <c r="M310">
        <v>52.3619359357621</v>
      </c>
      <c r="N310">
        <v>53.2207579256825</v>
      </c>
      <c r="O310">
        <v>53.0880825980396</v>
      </c>
      <c r="P310">
        <v>-0.240055046827654</v>
      </c>
      <c r="Q310">
        <v>0.0264642119265173</v>
      </c>
      <c r="R310">
        <v>0.981409120495627</v>
      </c>
      <c r="S310" t="s">
        <v>1978</v>
      </c>
      <c r="T310" t="s">
        <v>3312</v>
      </c>
      <c r="U310" t="s">
        <v>3312</v>
      </c>
      <c r="V310" t="s">
        <v>3312</v>
      </c>
      <c r="W310" t="s">
        <v>3622</v>
      </c>
      <c r="X310">
        <v>17</v>
      </c>
      <c r="Y310" t="s">
        <v>5261</v>
      </c>
      <c r="Z310" t="s">
        <v>6903</v>
      </c>
      <c r="AA310">
        <v>0.5531324375670437</v>
      </c>
      <c r="AB310">
        <f>HYPERLINK("Melting_Curves/meltCurve_P0A836_sucC.pdf", "Melting_Curves/meltCurve_P0A836_sucC.pdf")</f>
        <v>0</v>
      </c>
    </row>
    <row r="311" spans="1:28">
      <c r="A311" t="s">
        <v>337</v>
      </c>
      <c r="B311">
        <v>0.999984544473304</v>
      </c>
      <c r="C311">
        <v>0.926920901179067</v>
      </c>
      <c r="D311">
        <v>0.409149664123382</v>
      </c>
      <c r="E311">
        <v>0.481606744632469</v>
      </c>
      <c r="F311">
        <v>0.293851821005662</v>
      </c>
      <c r="G311">
        <v>0.192539182553871</v>
      </c>
      <c r="H311">
        <v>0.16918348187067</v>
      </c>
      <c r="I311">
        <v>0.125001924770689</v>
      </c>
      <c r="J311">
        <v>0.0807166639851758</v>
      </c>
      <c r="K311">
        <v>0.0636776668668311</v>
      </c>
      <c r="L311">
        <v>554.346284613085</v>
      </c>
      <c r="M311">
        <v>12.5756818373062</v>
      </c>
      <c r="N311">
        <v>44.8260416747454</v>
      </c>
      <c r="O311">
        <v>43.0107218448265</v>
      </c>
      <c r="P311">
        <v>-0.0662141462440913</v>
      </c>
      <c r="Q311">
        <v>0.0943328428796613</v>
      </c>
      <c r="R311">
        <v>0.927228924568836</v>
      </c>
      <c r="S311" t="s">
        <v>1979</v>
      </c>
      <c r="T311" t="s">
        <v>3312</v>
      </c>
      <c r="U311" t="s">
        <v>3312</v>
      </c>
      <c r="V311" t="s">
        <v>3312</v>
      </c>
      <c r="W311" t="s">
        <v>3623</v>
      </c>
      <c r="X311">
        <v>1</v>
      </c>
      <c r="Y311" t="s">
        <v>5262</v>
      </c>
      <c r="Z311" t="s">
        <v>6904</v>
      </c>
      <c r="AA311">
        <v>0.339958250511145</v>
      </c>
      <c r="AB311">
        <f>HYPERLINK("Melting_Curves/meltCurve_P0A840_surE.pdf", "Melting_Curves/meltCurve_P0A840_surE.pdf")</f>
        <v>0</v>
      </c>
    </row>
    <row r="312" spans="1:28">
      <c r="A312" t="s">
        <v>338</v>
      </c>
      <c r="B312">
        <v>0.999984544473304</v>
      </c>
      <c r="C312">
        <v>0.870588844025229</v>
      </c>
      <c r="D312">
        <v>1.14309325864508</v>
      </c>
      <c r="E312">
        <v>0.688535425241079</v>
      </c>
      <c r="F312">
        <v>0.618588833933653</v>
      </c>
      <c r="G312">
        <v>0.417486742805094</v>
      </c>
      <c r="H312">
        <v>0.336708183199828</v>
      </c>
      <c r="I312">
        <v>0.355143455381258</v>
      </c>
      <c r="J312">
        <v>0.286838166609712</v>
      </c>
      <c r="K312">
        <v>0.168316822581804</v>
      </c>
      <c r="L312">
        <v>751.364870416074</v>
      </c>
      <c r="M312">
        <v>15.0984733153629</v>
      </c>
      <c r="N312">
        <v>52.020007083358</v>
      </c>
      <c r="O312">
        <v>48.9158048670925</v>
      </c>
      <c r="P312">
        <v>-0.0586360073505536</v>
      </c>
      <c r="Q312">
        <v>0.240202643019208</v>
      </c>
      <c r="R312">
        <v>0.916870295593463</v>
      </c>
      <c r="S312" t="s">
        <v>1980</v>
      </c>
      <c r="T312" t="s">
        <v>3312</v>
      </c>
      <c r="U312" t="s">
        <v>3312</v>
      </c>
      <c r="V312" t="s">
        <v>3312</v>
      </c>
      <c r="W312" t="s">
        <v>3624</v>
      </c>
      <c r="X312">
        <v>2</v>
      </c>
      <c r="Y312" t="s">
        <v>5263</v>
      </c>
      <c r="Z312" t="s">
        <v>6905</v>
      </c>
      <c r="AA312">
        <v>0.5793247625380995</v>
      </c>
      <c r="AB312">
        <f>HYPERLINK("Melting_Curves/meltCurve_P0A847_tgt.pdf", "Melting_Curves/meltCurve_P0A847_tgt.pdf")</f>
        <v>0</v>
      </c>
    </row>
    <row r="313" spans="1:28">
      <c r="A313" t="s">
        <v>339</v>
      </c>
      <c r="B313">
        <v>0.999984544473304</v>
      </c>
      <c r="C313">
        <v>1.05597409386864</v>
      </c>
      <c r="D313">
        <v>0.954196695003949</v>
      </c>
      <c r="E313">
        <v>1.01316778041845</v>
      </c>
      <c r="F313">
        <v>1.07793287295193</v>
      </c>
      <c r="G313">
        <v>0.839665045347381</v>
      </c>
      <c r="H313">
        <v>0.864736707503624</v>
      </c>
      <c r="I313">
        <v>0.717429237080508</v>
      </c>
      <c r="J313">
        <v>0.667956765680094</v>
      </c>
      <c r="K313">
        <v>0.564685340795759</v>
      </c>
      <c r="L313">
        <v>838.540399771525</v>
      </c>
      <c r="M313">
        <v>13.7253050274707</v>
      </c>
      <c r="O313">
        <v>59.8413628902737</v>
      </c>
      <c r="P313">
        <v>-0.0313068043047702</v>
      </c>
      <c r="Q313">
        <v>0.454096207213565</v>
      </c>
      <c r="R313">
        <v>0.908574125697701</v>
      </c>
      <c r="S313" t="s">
        <v>1981</v>
      </c>
      <c r="T313" t="s">
        <v>3312</v>
      </c>
      <c r="U313" t="s">
        <v>3312</v>
      </c>
      <c r="V313" t="s">
        <v>3312</v>
      </c>
      <c r="W313" t="s">
        <v>3625</v>
      </c>
      <c r="X313">
        <v>20</v>
      </c>
      <c r="Y313" t="s">
        <v>5264</v>
      </c>
      <c r="Z313" t="s">
        <v>6906</v>
      </c>
      <c r="AA313">
        <v>0.8822392871479171</v>
      </c>
      <c r="AB313">
        <f>HYPERLINK("Melting_Curves/meltCurve_P0A850_tig.pdf", "Melting_Curves/meltCurve_P0A850_tig.pdf")</f>
        <v>0</v>
      </c>
    </row>
    <row r="314" spans="1:28">
      <c r="A314" t="s">
        <v>340</v>
      </c>
      <c r="B314">
        <v>0.999984544473304</v>
      </c>
      <c r="C314">
        <v>1.04378698756736</v>
      </c>
      <c r="D314">
        <v>1.05286110860167</v>
      </c>
      <c r="E314">
        <v>0.957763084247866</v>
      </c>
      <c r="F314">
        <v>0.759097325890512</v>
      </c>
      <c r="G314">
        <v>0.183200618535905</v>
      </c>
      <c r="H314">
        <v>0.0367970707703157</v>
      </c>
      <c r="I314">
        <v>0.0244687065291552</v>
      </c>
      <c r="J314">
        <v>0.0163986054372113</v>
      </c>
      <c r="K314">
        <v>0.019255102400138</v>
      </c>
      <c r="L314">
        <v>2009.62338812166</v>
      </c>
      <c r="M314">
        <v>38.9322440066391</v>
      </c>
      <c r="N314">
        <v>51.6678509912081</v>
      </c>
      <c r="O314">
        <v>51.4828577695789</v>
      </c>
      <c r="P314">
        <v>-0.185603852327609</v>
      </c>
      <c r="Q314">
        <v>0.0182538997052799</v>
      </c>
      <c r="R314">
        <v>0.997390861108694</v>
      </c>
      <c r="S314" t="s">
        <v>1982</v>
      </c>
      <c r="T314" t="s">
        <v>3312</v>
      </c>
      <c r="U314" t="s">
        <v>3312</v>
      </c>
      <c r="V314" t="s">
        <v>3312</v>
      </c>
      <c r="W314" t="s">
        <v>3626</v>
      </c>
      <c r="X314">
        <v>27</v>
      </c>
      <c r="Y314" t="s">
        <v>5265</v>
      </c>
      <c r="Z314" t="s">
        <v>6907</v>
      </c>
      <c r="AA314">
        <v>0.500332121702119</v>
      </c>
      <c r="AB314">
        <f>HYPERLINK("Melting_Curves/meltCurve_P0A853_tnaA.pdf", "Melting_Curves/meltCurve_P0A853_tnaA.pdf")</f>
        <v>0</v>
      </c>
    </row>
    <row r="315" spans="1:28">
      <c r="A315" t="s">
        <v>341</v>
      </c>
      <c r="B315">
        <v>0.999984544473304</v>
      </c>
      <c r="C315">
        <v>1.08272707074112</v>
      </c>
      <c r="D315">
        <v>1.05354333113161</v>
      </c>
      <c r="E315">
        <v>1.03872137596738</v>
      </c>
      <c r="F315">
        <v>0.768551706267284</v>
      </c>
      <c r="G315">
        <v>0.0957981419037803</v>
      </c>
      <c r="H315">
        <v>0.0579356117988826</v>
      </c>
      <c r="I315">
        <v>0.043076294983263</v>
      </c>
      <c r="J315">
        <v>0.0469538401958967</v>
      </c>
      <c r="K315">
        <v>0.0397528702663458</v>
      </c>
      <c r="L315">
        <v>3088.41328822151</v>
      </c>
      <c r="M315">
        <v>60.3779358397493</v>
      </c>
      <c r="N315">
        <v>51.2352784606737</v>
      </c>
      <c r="O315">
        <v>51.0953409969294</v>
      </c>
      <c r="P315">
        <v>-0.281509171304637</v>
      </c>
      <c r="Q315">
        <v>0.0470824253325496</v>
      </c>
      <c r="R315">
        <v>0.994821679659345</v>
      </c>
      <c r="S315" t="s">
        <v>1983</v>
      </c>
      <c r="T315" t="s">
        <v>3312</v>
      </c>
      <c r="U315" t="s">
        <v>3312</v>
      </c>
      <c r="V315" t="s">
        <v>3312</v>
      </c>
      <c r="W315" t="s">
        <v>3627</v>
      </c>
      <c r="X315">
        <v>10</v>
      </c>
      <c r="Y315" t="s">
        <v>5266</v>
      </c>
      <c r="Z315" t="s">
        <v>6908</v>
      </c>
      <c r="AA315">
        <v>0.4980567950569934</v>
      </c>
      <c r="AB315">
        <f>HYPERLINK("Melting_Curves/meltCurve_P0A855_tolB.pdf", "Melting_Curves/meltCurve_P0A855_tolB.pdf")</f>
        <v>0</v>
      </c>
    </row>
    <row r="316" spans="1:28">
      <c r="A316" t="s">
        <v>342</v>
      </c>
      <c r="B316">
        <v>0.999984544473304</v>
      </c>
      <c r="C316">
        <v>0.839846845365581</v>
      </c>
      <c r="D316">
        <v>1.15411126714943</v>
      </c>
      <c r="E316">
        <v>1.00328477578348</v>
      </c>
      <c r="F316">
        <v>0.988993027275941</v>
      </c>
      <c r="G316">
        <v>0.306399432493847</v>
      </c>
      <c r="H316">
        <v>0.106094379436778</v>
      </c>
      <c r="I316">
        <v>0.0675494149365001</v>
      </c>
      <c r="J316">
        <v>0.0517894928822052</v>
      </c>
      <c r="K316">
        <v>0.0549284552437416</v>
      </c>
      <c r="L316">
        <v>3758.0751643514</v>
      </c>
      <c r="M316">
        <v>70.91614632726279</v>
      </c>
      <c r="N316">
        <v>53.1040923555494</v>
      </c>
      <c r="O316">
        <v>52.9511337510275</v>
      </c>
      <c r="P316">
        <v>-0.311782335397066</v>
      </c>
      <c r="Q316">
        <v>0.0688031294844328</v>
      </c>
      <c r="R316">
        <v>0.974872209395918</v>
      </c>
      <c r="S316" t="s">
        <v>1984</v>
      </c>
      <c r="T316" t="s">
        <v>3312</v>
      </c>
      <c r="U316" t="s">
        <v>3312</v>
      </c>
      <c r="V316" t="s">
        <v>3312</v>
      </c>
      <c r="W316" t="s">
        <v>3628</v>
      </c>
      <c r="X316">
        <v>5</v>
      </c>
      <c r="Y316" t="s">
        <v>5267</v>
      </c>
      <c r="Z316" t="s">
        <v>6909</v>
      </c>
      <c r="AA316">
        <v>0.5663101084174855</v>
      </c>
      <c r="AB316">
        <f>HYPERLINK("Melting_Curves/meltCurve_P0A858_tpiA.pdf", "Melting_Curves/meltCurve_P0A858_tpiA.pdf")</f>
        <v>0</v>
      </c>
    </row>
    <row r="317" spans="1:28">
      <c r="A317" t="s">
        <v>343</v>
      </c>
      <c r="B317">
        <v>0.999984544473304</v>
      </c>
      <c r="C317">
        <v>0.704798227458588</v>
      </c>
      <c r="D317">
        <v>1.14043918159427</v>
      </c>
      <c r="E317">
        <v>0.848579757034548</v>
      </c>
      <c r="F317">
        <v>1.24659630229016</v>
      </c>
      <c r="G317">
        <v>0.803943721249979</v>
      </c>
      <c r="H317">
        <v>0.960708073819645</v>
      </c>
      <c r="I317">
        <v>0.567422054435336</v>
      </c>
      <c r="J317">
        <v>0.454594309318271</v>
      </c>
      <c r="K317">
        <v>0.276800132374801</v>
      </c>
      <c r="L317">
        <v>1497.6442900245</v>
      </c>
      <c r="M317">
        <v>24.4417740376692</v>
      </c>
      <c r="N317">
        <v>62.6510725988336</v>
      </c>
      <c r="O317">
        <v>60.8682099334303</v>
      </c>
      <c r="P317">
        <v>-0.0795263606184078</v>
      </c>
      <c r="Q317">
        <v>0.207822475038525</v>
      </c>
      <c r="R317">
        <v>0.720245760935359</v>
      </c>
      <c r="S317" t="s">
        <v>1985</v>
      </c>
      <c r="T317" t="s">
        <v>3312</v>
      </c>
      <c r="U317" t="s">
        <v>3312</v>
      </c>
      <c r="V317" t="s">
        <v>3312</v>
      </c>
      <c r="W317" t="s">
        <v>3629</v>
      </c>
      <c r="X317">
        <v>6</v>
      </c>
      <c r="Y317" t="s">
        <v>5268</v>
      </c>
      <c r="Z317" t="s">
        <v>6910</v>
      </c>
      <c r="AA317">
        <v>0.8476926838968881</v>
      </c>
      <c r="AB317">
        <f>HYPERLINK("Melting_Curves/meltCurve_P0A862_tpx.pdf", "Melting_Curves/meltCurve_P0A862_tpx.pdf")</f>
        <v>0</v>
      </c>
    </row>
    <row r="318" spans="1:28">
      <c r="A318" t="s">
        <v>344</v>
      </c>
      <c r="B318">
        <v>0.999984544473304</v>
      </c>
      <c r="C318">
        <v>0.868137232143351</v>
      </c>
      <c r="D318">
        <v>1.19074472939371</v>
      </c>
      <c r="E318">
        <v>0.935109068310719</v>
      </c>
      <c r="F318">
        <v>0.815713195408549</v>
      </c>
      <c r="G318">
        <v>0.195903284114637</v>
      </c>
      <c r="H318">
        <v>0.08771281740521759</v>
      </c>
      <c r="I318">
        <v>0.0522558534683219</v>
      </c>
      <c r="J318">
        <v>0.0265363215313722</v>
      </c>
      <c r="K318">
        <v>0.0166439822042364</v>
      </c>
      <c r="L318">
        <v>2208.41458074842</v>
      </c>
      <c r="M318">
        <v>42.6109572517771</v>
      </c>
      <c r="N318">
        <v>51.9279910121696</v>
      </c>
      <c r="O318">
        <v>51.7136331550179</v>
      </c>
      <c r="P318">
        <v>-0.197833866521869</v>
      </c>
      <c r="Q318">
        <v>0.0396188015948909</v>
      </c>
      <c r="R318">
        <v>0.971402775993873</v>
      </c>
      <c r="S318" t="s">
        <v>1986</v>
      </c>
      <c r="T318" t="s">
        <v>3312</v>
      </c>
      <c r="U318" t="s">
        <v>3312</v>
      </c>
      <c r="V318" t="s">
        <v>3312</v>
      </c>
      <c r="W318" t="s">
        <v>3630</v>
      </c>
      <c r="X318">
        <v>18</v>
      </c>
      <c r="Y318" t="s">
        <v>5269</v>
      </c>
      <c r="Z318" t="s">
        <v>6911</v>
      </c>
      <c r="AA318">
        <v>0.5173086055483426</v>
      </c>
      <c r="AB318">
        <f>HYPERLINK("Melting_Curves/meltCurve_P0A867_talA.pdf", "Melting_Curves/meltCurve_P0A867_talA.pdf")</f>
        <v>0</v>
      </c>
    </row>
    <row r="319" spans="1:28">
      <c r="A319" t="s">
        <v>345</v>
      </c>
      <c r="B319">
        <v>0.999984544473304</v>
      </c>
      <c r="C319">
        <v>0.844788545154073</v>
      </c>
      <c r="D319">
        <v>0.986431083083252</v>
      </c>
      <c r="E319">
        <v>0.624706095414717</v>
      </c>
      <c r="F319">
        <v>0.350247171720086</v>
      </c>
      <c r="G319">
        <v>0.162679103712556</v>
      </c>
      <c r="H319">
        <v>0.123051662666391</v>
      </c>
      <c r="I319">
        <v>0.0732166050159694</v>
      </c>
      <c r="J319">
        <v>0.0380440116873318</v>
      </c>
      <c r="K319">
        <v>0.023222169184282</v>
      </c>
      <c r="L319">
        <v>847.590458862306</v>
      </c>
      <c r="M319">
        <v>17.6155540392081</v>
      </c>
      <c r="N319">
        <v>48.3352484727853</v>
      </c>
      <c r="O319">
        <v>47.5087953932681</v>
      </c>
      <c r="P319">
        <v>-0.08914220030543241</v>
      </c>
      <c r="Q319">
        <v>0.038392797851172</v>
      </c>
      <c r="R319">
        <v>0.980813436086278</v>
      </c>
      <c r="S319" t="s">
        <v>1987</v>
      </c>
      <c r="T319" t="s">
        <v>3312</v>
      </c>
      <c r="U319" t="s">
        <v>3312</v>
      </c>
      <c r="V319" t="s">
        <v>3312</v>
      </c>
      <c r="W319" t="s">
        <v>3631</v>
      </c>
      <c r="X319">
        <v>16</v>
      </c>
      <c r="Y319" t="s">
        <v>5270</v>
      </c>
      <c r="Z319" t="s">
        <v>6912</v>
      </c>
      <c r="AA319">
        <v>0.4106757256476533</v>
      </c>
      <c r="AB319">
        <f>HYPERLINK("Melting_Curves/meltCurve_P0A870_talB.pdf", "Melting_Curves/meltCurve_P0A870_talB.pdf")</f>
        <v>0</v>
      </c>
    </row>
    <row r="320" spans="1:28">
      <c r="A320" t="s">
        <v>346</v>
      </c>
      <c r="B320">
        <v>0.999984544473304</v>
      </c>
      <c r="C320">
        <v>0.968734153999078</v>
      </c>
      <c r="D320">
        <v>0.72476666119866</v>
      </c>
      <c r="E320">
        <v>0.410518490351772</v>
      </c>
      <c r="F320">
        <v>0.264470192363323</v>
      </c>
      <c r="G320">
        <v>0.117722350469417</v>
      </c>
      <c r="H320">
        <v>0.113887278224544</v>
      </c>
      <c r="I320">
        <v>0.08763562102623799</v>
      </c>
      <c r="J320">
        <v>0.06789125821602179</v>
      </c>
      <c r="K320">
        <v>0.04353731639293</v>
      </c>
      <c r="L320">
        <v>778.889806114239</v>
      </c>
      <c r="M320">
        <v>17.1454456530428</v>
      </c>
      <c r="N320">
        <v>45.8237056156377</v>
      </c>
      <c r="O320">
        <v>44.8238976162737</v>
      </c>
      <c r="P320">
        <v>-0.0890578679685584</v>
      </c>
      <c r="Q320">
        <v>0.0687481069904272</v>
      </c>
      <c r="R320">
        <v>0.994658808990117</v>
      </c>
      <c r="S320" t="s">
        <v>1988</v>
      </c>
      <c r="T320" t="s">
        <v>3312</v>
      </c>
      <c r="U320" t="s">
        <v>3312</v>
      </c>
      <c r="V320" t="s">
        <v>3312</v>
      </c>
      <c r="W320" t="s">
        <v>3632</v>
      </c>
      <c r="X320">
        <v>3</v>
      </c>
      <c r="Y320" t="s">
        <v>5271</v>
      </c>
      <c r="Z320" t="s">
        <v>6913</v>
      </c>
      <c r="AA320">
        <v>0.3471095989187365</v>
      </c>
      <c r="AB320">
        <f>HYPERLINK("Melting_Curves/meltCurve_P0A873_trmD.pdf", "Melting_Curves/meltCurve_P0A873_trmD.pdf")</f>
        <v>0</v>
      </c>
    </row>
    <row r="321" spans="1:28">
      <c r="A321" t="s">
        <v>347</v>
      </c>
      <c r="B321">
        <v>0.999984544473304</v>
      </c>
      <c r="C321">
        <v>0.83175486324457</v>
      </c>
      <c r="D321">
        <v>0.944065356505573</v>
      </c>
      <c r="E321">
        <v>0.677537607332239</v>
      </c>
      <c r="F321">
        <v>0.585345979530408</v>
      </c>
      <c r="G321">
        <v>0.312349276291677</v>
      </c>
      <c r="H321">
        <v>0.190343437507478</v>
      </c>
      <c r="I321">
        <v>0.114495302787911</v>
      </c>
      <c r="J321">
        <v>0.0793573530441439</v>
      </c>
      <c r="K321">
        <v>0.07056430522493901</v>
      </c>
      <c r="L321">
        <v>570.3629852337521</v>
      </c>
      <c r="M321">
        <v>11.2821003486184</v>
      </c>
      <c r="N321">
        <v>50.5546799024704</v>
      </c>
      <c r="O321">
        <v>49.0444747793958</v>
      </c>
      <c r="P321">
        <v>-0.0575271363116104</v>
      </c>
      <c r="Q321">
        <v>0</v>
      </c>
      <c r="R321">
        <v>0.978370753003627</v>
      </c>
      <c r="S321" t="s">
        <v>1989</v>
      </c>
      <c r="T321" t="s">
        <v>3312</v>
      </c>
      <c r="U321" t="s">
        <v>3312</v>
      </c>
      <c r="V321" t="s">
        <v>3312</v>
      </c>
      <c r="W321" t="s">
        <v>3633</v>
      </c>
      <c r="X321">
        <v>5</v>
      </c>
      <c r="Y321" t="s">
        <v>5272</v>
      </c>
      <c r="Z321" t="s">
        <v>6914</v>
      </c>
      <c r="AA321">
        <v>0.4805355309470876</v>
      </c>
      <c r="AB321">
        <f>HYPERLINK("Melting_Curves/meltCurve_P0A877_trpA.pdf", "Melting_Curves/meltCurve_P0A877_trpA.pdf")</f>
        <v>0</v>
      </c>
    </row>
    <row r="322" spans="1:28">
      <c r="A322" t="s">
        <v>348</v>
      </c>
      <c r="B322">
        <v>0.999984544473304</v>
      </c>
      <c r="C322">
        <v>0.943754873466742</v>
      </c>
      <c r="D322">
        <v>0.391591982488944</v>
      </c>
      <c r="E322">
        <v>0.586609252250398</v>
      </c>
      <c r="F322">
        <v>0.500186181774618</v>
      </c>
      <c r="G322">
        <v>0.397169692713751</v>
      </c>
      <c r="H322">
        <v>0.467767848962495</v>
      </c>
      <c r="I322">
        <v>0.460682021175554</v>
      </c>
      <c r="J322">
        <v>0.378792586043808</v>
      </c>
      <c r="K322">
        <v>0.493855509224261</v>
      </c>
      <c r="L322">
        <v>10060.8935838296</v>
      </c>
      <c r="M322">
        <v>250</v>
      </c>
      <c r="N322">
        <v>40.6525862450449</v>
      </c>
      <c r="O322">
        <v>40.240999065143</v>
      </c>
      <c r="P322">
        <v>-0.839346274788763</v>
      </c>
      <c r="Q322">
        <v>0.459581878781408</v>
      </c>
      <c r="R322">
        <v>0.92520691841106</v>
      </c>
      <c r="S322" t="s">
        <v>1990</v>
      </c>
      <c r="T322" t="s">
        <v>3312</v>
      </c>
      <c r="U322" t="s">
        <v>3312</v>
      </c>
      <c r="V322" t="s">
        <v>3312</v>
      </c>
      <c r="W322" t="s">
        <v>3634</v>
      </c>
      <c r="X322">
        <v>4</v>
      </c>
      <c r="Y322" t="s">
        <v>5273</v>
      </c>
      <c r="Z322" t="s">
        <v>6915</v>
      </c>
      <c r="AA322">
        <v>0.5180495917540967</v>
      </c>
      <c r="AB322">
        <f>HYPERLINK("Melting_Curves/meltCurve_P0A879_trpB.pdf", "Melting_Curves/meltCurve_P0A879_trpB.pdf")</f>
        <v>0</v>
      </c>
    </row>
    <row r="323" spans="1:28">
      <c r="A323" t="s">
        <v>349</v>
      </c>
      <c r="B323">
        <v>0.999984544473304</v>
      </c>
      <c r="C323">
        <v>0.7212800513137499</v>
      </c>
      <c r="D323">
        <v>0.568229700737945</v>
      </c>
      <c r="E323">
        <v>0.431427563535001</v>
      </c>
      <c r="F323">
        <v>0.385329018454068</v>
      </c>
      <c r="G323">
        <v>0.106917409844909</v>
      </c>
      <c r="H323">
        <v>0.114203883379065</v>
      </c>
      <c r="I323">
        <v>0.0702776154526214</v>
      </c>
      <c r="J323">
        <v>0.0571403583537006</v>
      </c>
      <c r="K323">
        <v>0.055272276575543</v>
      </c>
      <c r="L323">
        <v>430.593836873186</v>
      </c>
      <c r="M323">
        <v>9.53306046322089</v>
      </c>
      <c r="N323">
        <v>45.1790653947605</v>
      </c>
      <c r="O323">
        <v>43.3149459411224</v>
      </c>
      <c r="P323">
        <v>-0.0549924719099629</v>
      </c>
      <c r="Q323">
        <v>0.00111561063638845</v>
      </c>
      <c r="R323">
        <v>0.964912904699505</v>
      </c>
      <c r="S323" t="s">
        <v>1991</v>
      </c>
      <c r="T323" t="s">
        <v>3312</v>
      </c>
      <c r="U323" t="s">
        <v>3312</v>
      </c>
      <c r="V323" t="s">
        <v>3312</v>
      </c>
      <c r="W323" t="s">
        <v>3635</v>
      </c>
      <c r="X323">
        <v>1</v>
      </c>
      <c r="Y323" t="s">
        <v>5274</v>
      </c>
      <c r="Z323" t="s">
        <v>6916</v>
      </c>
      <c r="AA323">
        <v>0.3258083506654875</v>
      </c>
      <c r="AB323">
        <f>HYPERLINK("Melting_Curves/meltCurve_P0A884_thyA.pdf", "Melting_Curves/meltCurve_P0A884_thyA.pdf")</f>
        <v>0</v>
      </c>
    </row>
    <row r="324" spans="1:28">
      <c r="A324" t="s">
        <v>350</v>
      </c>
      <c r="B324">
        <v>0.999984544473304</v>
      </c>
      <c r="C324">
        <v>0.540575353805432</v>
      </c>
      <c r="D324">
        <v>0.258890497552957</v>
      </c>
      <c r="E324">
        <v>0.110137883959856</v>
      </c>
      <c r="F324">
        <v>0.0780015879272883</v>
      </c>
      <c r="G324">
        <v>0.04110669633161</v>
      </c>
      <c r="H324">
        <v>0.035003802898932</v>
      </c>
      <c r="I324">
        <v>0.0273986646321666</v>
      </c>
      <c r="J324">
        <v>0.0253581785913546</v>
      </c>
      <c r="K324">
        <v>0.019613165727685</v>
      </c>
      <c r="L324">
        <v>989.413912310579</v>
      </c>
      <c r="M324">
        <v>24.4682848723917</v>
      </c>
      <c r="N324">
        <v>40.5852522844536</v>
      </c>
      <c r="O324">
        <v>40.1693957442718</v>
      </c>
      <c r="P324">
        <v>-0.145756548265772</v>
      </c>
      <c r="Q324">
        <v>0.0428644588334507</v>
      </c>
      <c r="R324">
        <v>0.983150816247815</v>
      </c>
      <c r="S324" t="s">
        <v>1992</v>
      </c>
      <c r="T324" t="s">
        <v>3312</v>
      </c>
      <c r="U324" t="s">
        <v>3312</v>
      </c>
      <c r="V324" t="s">
        <v>3312</v>
      </c>
      <c r="W324" t="s">
        <v>3636</v>
      </c>
      <c r="X324">
        <v>5</v>
      </c>
      <c r="Y324" t="s">
        <v>5275</v>
      </c>
      <c r="Z324" t="s">
        <v>6917</v>
      </c>
      <c r="AA324">
        <v>0.1637893598886848</v>
      </c>
      <c r="AB324">
        <f>HYPERLINK("Melting_Curves/meltCurve_P0A887_ubiE.pdf", "Melting_Curves/meltCurve_P0A887_ubiE.pdf")</f>
        <v>0</v>
      </c>
    </row>
    <row r="325" spans="1:28">
      <c r="A325" t="s">
        <v>351</v>
      </c>
      <c r="B325">
        <v>0.999984544473304</v>
      </c>
      <c r="C325">
        <v>0.930018648615867</v>
      </c>
      <c r="D325">
        <v>0.647745786145748</v>
      </c>
      <c r="E325">
        <v>0.869381680819052</v>
      </c>
      <c r="F325">
        <v>0.647230351807712</v>
      </c>
      <c r="G325">
        <v>0.345692358729011</v>
      </c>
      <c r="H325">
        <v>0.263651303662787</v>
      </c>
      <c r="I325">
        <v>0.194802177237857</v>
      </c>
      <c r="J325">
        <v>0.177989623548939</v>
      </c>
      <c r="K325">
        <v>0.257765336670548</v>
      </c>
      <c r="L325">
        <v>479.757817949293</v>
      </c>
      <c r="M325">
        <v>9.485338920551291</v>
      </c>
      <c r="N325">
        <v>51.6381940766266</v>
      </c>
      <c r="O325">
        <v>48.4838040250842</v>
      </c>
      <c r="P325">
        <v>-0.0446121358923152</v>
      </c>
      <c r="Q325">
        <v>0.0884121563894172</v>
      </c>
      <c r="R325">
        <v>0.902334222581224</v>
      </c>
      <c r="S325" t="s">
        <v>1993</v>
      </c>
      <c r="T325" t="s">
        <v>3312</v>
      </c>
      <c r="U325" t="s">
        <v>3312</v>
      </c>
      <c r="V325" t="s">
        <v>3312</v>
      </c>
      <c r="W325" t="s">
        <v>3637</v>
      </c>
      <c r="X325">
        <v>1</v>
      </c>
      <c r="Y325" t="s">
        <v>5276</v>
      </c>
      <c r="Z325" t="s">
        <v>6918</v>
      </c>
      <c r="AA325">
        <v>0.5314255924747406</v>
      </c>
      <c r="AB325">
        <f>HYPERLINK("Melting_Curves/meltCurve_P0A898_ybeY.pdf", "Melting_Curves/meltCurve_P0A898_ybeY.pdf")</f>
        <v>0</v>
      </c>
    </row>
    <row r="326" spans="1:28">
      <c r="A326" t="s">
        <v>352</v>
      </c>
      <c r="B326">
        <v>0.999984544473304</v>
      </c>
      <c r="C326">
        <v>0.913172912148562</v>
      </c>
      <c r="D326">
        <v>1.01315347942408</v>
      </c>
      <c r="E326">
        <v>0.995566042515076</v>
      </c>
      <c r="F326">
        <v>1.34720324307725</v>
      </c>
      <c r="G326">
        <v>1.0229473542508</v>
      </c>
      <c r="H326">
        <v>1.1683585473121</v>
      </c>
      <c r="I326">
        <v>1.10977613791457</v>
      </c>
      <c r="J326">
        <v>1.02526503455761</v>
      </c>
      <c r="K326">
        <v>0.8231254337098181</v>
      </c>
      <c r="L326">
        <v>15000</v>
      </c>
      <c r="M326">
        <v>222.34291900531</v>
      </c>
      <c r="Q326">
        <v>0</v>
      </c>
      <c r="R326">
        <v>0.0749724466484355</v>
      </c>
      <c r="S326" t="s">
        <v>1994</v>
      </c>
      <c r="T326" t="s">
        <v>3312</v>
      </c>
      <c r="U326" t="s">
        <v>3312</v>
      </c>
      <c r="V326" t="s">
        <v>3312</v>
      </c>
      <c r="W326" t="s">
        <v>3638</v>
      </c>
      <c r="X326">
        <v>6</v>
      </c>
      <c r="Y326" t="s">
        <v>5277</v>
      </c>
      <c r="Z326" t="s">
        <v>6919</v>
      </c>
      <c r="AA326">
        <v>0.998076271681946</v>
      </c>
      <c r="AB326">
        <f>HYPERLINK("Melting_Curves/meltCurve_P0A8A0_yebC.pdf", "Melting_Curves/meltCurve_P0A8A0_yebC.pdf")</f>
        <v>0</v>
      </c>
    </row>
    <row r="327" spans="1:28">
      <c r="A327" t="s">
        <v>353</v>
      </c>
      <c r="B327">
        <v>0.999984544473304</v>
      </c>
      <c r="C327">
        <v>0.807664315996708</v>
      </c>
      <c r="D327">
        <v>1.04284113460928</v>
      </c>
      <c r="E327">
        <v>0.924400784369717</v>
      </c>
      <c r="F327">
        <v>0.8173149785578691</v>
      </c>
      <c r="G327">
        <v>0.603691988864225</v>
      </c>
      <c r="H327">
        <v>0.479249585600615</v>
      </c>
      <c r="I327">
        <v>0.444507380071478</v>
      </c>
      <c r="J327">
        <v>0.357127999234259</v>
      </c>
      <c r="K327">
        <v>0.361848813192577</v>
      </c>
      <c r="L327">
        <v>856.498860674438</v>
      </c>
      <c r="M327">
        <v>16.2263875739327</v>
      </c>
      <c r="N327">
        <v>56.849231170657</v>
      </c>
      <c r="O327">
        <v>52.0021495625329</v>
      </c>
      <c r="P327">
        <v>-0.0512322440545593</v>
      </c>
      <c r="Q327">
        <v>0.343294597586923</v>
      </c>
      <c r="R327">
        <v>0.934783632225994</v>
      </c>
      <c r="S327" t="s">
        <v>1995</v>
      </c>
      <c r="T327" t="s">
        <v>3312</v>
      </c>
      <c r="U327" t="s">
        <v>3312</v>
      </c>
      <c r="V327" t="s">
        <v>3312</v>
      </c>
      <c r="W327" t="s">
        <v>3639</v>
      </c>
      <c r="X327">
        <v>3</v>
      </c>
      <c r="Y327" t="s">
        <v>5278</v>
      </c>
      <c r="Z327" t="s">
        <v>6920</v>
      </c>
      <c r="AA327">
        <v>0.699772166210595</v>
      </c>
      <c r="AB327">
        <f>HYPERLINK("Melting_Curves/meltCurve_P0A8A2_yeeN.pdf", "Melting_Curves/meltCurve_P0A8A2_yeeN.pdf")</f>
        <v>0</v>
      </c>
    </row>
    <row r="328" spans="1:28">
      <c r="A328" t="s">
        <v>354</v>
      </c>
      <c r="B328">
        <v>0.999984544473304</v>
      </c>
      <c r="C328">
        <v>0.642892431740484</v>
      </c>
      <c r="D328">
        <v>0.228503845580065</v>
      </c>
      <c r="E328">
        <v>0.165513747571013</v>
      </c>
      <c r="F328">
        <v>0.11887088669907</v>
      </c>
      <c r="G328">
        <v>0.0946068943925637</v>
      </c>
      <c r="H328">
        <v>0.037079824161803</v>
      </c>
      <c r="I328">
        <v>0</v>
      </c>
      <c r="J328">
        <v>0</v>
      </c>
      <c r="K328">
        <v>0.0450320275775417</v>
      </c>
      <c r="L328">
        <v>1094.95891157972</v>
      </c>
      <c r="M328">
        <v>26.8720483455001</v>
      </c>
      <c r="N328">
        <v>40.9344198784271</v>
      </c>
      <c r="O328">
        <v>40.5234826896624</v>
      </c>
      <c r="P328">
        <v>-0.156192676442487</v>
      </c>
      <c r="Q328">
        <v>0.0578452192888824</v>
      </c>
      <c r="R328">
        <v>0.978121204759265</v>
      </c>
      <c r="S328" t="s">
        <v>1996</v>
      </c>
      <c r="T328" t="s">
        <v>3312</v>
      </c>
      <c r="U328" t="s">
        <v>3312</v>
      </c>
      <c r="V328" t="s">
        <v>3312</v>
      </c>
      <c r="W328" t="s">
        <v>3640</v>
      </c>
      <c r="X328">
        <v>2</v>
      </c>
      <c r="Y328" t="s">
        <v>5279</v>
      </c>
      <c r="Z328" t="s">
        <v>6921</v>
      </c>
      <c r="AA328">
        <v>0.1838126521424608</v>
      </c>
      <c r="AB328">
        <f>HYPERLINK("Melting_Curves/meltCurve_P0A8A4_ppsR.pdf", "Melting_Curves/meltCurve_P0A8A4_ppsR.pdf")</f>
        <v>0</v>
      </c>
    </row>
    <row r="329" spans="1:28">
      <c r="A329" t="s">
        <v>355</v>
      </c>
      <c r="B329">
        <v>0.999984544473304</v>
      </c>
      <c r="C329">
        <v>1.11864968408754</v>
      </c>
      <c r="D329">
        <v>0.780396119605797</v>
      </c>
      <c r="E329">
        <v>1.12309944033659</v>
      </c>
      <c r="F329">
        <v>0.92610273812868</v>
      </c>
      <c r="G329">
        <v>0.800772058322846</v>
      </c>
      <c r="H329">
        <v>0.656536661768308</v>
      </c>
      <c r="I329">
        <v>0.586528082995554</v>
      </c>
      <c r="J329">
        <v>0.330134623907527</v>
      </c>
      <c r="K329">
        <v>0.554932979909444</v>
      </c>
      <c r="L329">
        <v>1130.55227807255</v>
      </c>
      <c r="M329">
        <v>20.2851190321109</v>
      </c>
      <c r="N329">
        <v>62.5586770098063</v>
      </c>
      <c r="O329">
        <v>55.1999322065941</v>
      </c>
      <c r="P329">
        <v>-0.0509599483689429</v>
      </c>
      <c r="Q329">
        <v>0.445327593751006</v>
      </c>
      <c r="R329">
        <v>0.809979063361567</v>
      </c>
      <c r="S329" t="s">
        <v>1997</v>
      </c>
      <c r="T329" t="s">
        <v>3312</v>
      </c>
      <c r="U329" t="s">
        <v>3312</v>
      </c>
      <c r="V329" t="s">
        <v>3312</v>
      </c>
      <c r="W329" t="s">
        <v>3641</v>
      </c>
      <c r="X329">
        <v>3</v>
      </c>
      <c r="Y329" t="s">
        <v>5280</v>
      </c>
      <c r="Z329" t="s">
        <v>6922</v>
      </c>
      <c r="AA329">
        <v>0.7974885760030465</v>
      </c>
      <c r="AB329">
        <f>HYPERLINK("Melting_Curves/meltCurve_P0A8B5_ybaB.pdf", "Melting_Curves/meltCurve_P0A8B5_ybaB.pdf")</f>
        <v>0</v>
      </c>
    </row>
    <row r="330" spans="1:28">
      <c r="A330" t="s">
        <v>356</v>
      </c>
      <c r="B330">
        <v>0.999984544473304</v>
      </c>
      <c r="C330">
        <v>0.876045821720602</v>
      </c>
      <c r="D330">
        <v>0.998770633634423</v>
      </c>
      <c r="E330">
        <v>0.663001620851806</v>
      </c>
      <c r="F330">
        <v>0.393245908747161</v>
      </c>
      <c r="G330">
        <v>0.301780442225383</v>
      </c>
      <c r="H330">
        <v>0.19033803835478</v>
      </c>
      <c r="I330">
        <v>0.203788544183547</v>
      </c>
      <c r="J330">
        <v>0.0759345562583259</v>
      </c>
      <c r="K330">
        <v>0.100991269154969</v>
      </c>
      <c r="L330">
        <v>785.00761934164</v>
      </c>
      <c r="M330">
        <v>16.2274788057878</v>
      </c>
      <c r="N330">
        <v>49.1684615584616</v>
      </c>
      <c r="O330">
        <v>47.6584877297418</v>
      </c>
      <c r="P330">
        <v>-0.0753255241598897</v>
      </c>
      <c r="Q330">
        <v>0.115171893892426</v>
      </c>
      <c r="R330">
        <v>0.975023476062172</v>
      </c>
      <c r="S330" t="s">
        <v>1998</v>
      </c>
      <c r="T330" t="s">
        <v>3312</v>
      </c>
      <c r="U330" t="s">
        <v>3312</v>
      </c>
      <c r="V330" t="s">
        <v>3312</v>
      </c>
      <c r="W330" t="s">
        <v>3642</v>
      </c>
      <c r="X330">
        <v>2</v>
      </c>
      <c r="Y330" t="s">
        <v>5281</v>
      </c>
      <c r="Z330" t="s">
        <v>6923</v>
      </c>
      <c r="AA330">
        <v>0.4676112860792429</v>
      </c>
      <c r="AB330">
        <f>HYPERLINK("Melting_Curves/meltCurve_P0A8C1_ybjQ.pdf", "Melting_Curves/meltCurve_P0A8C1_ybjQ.pdf")</f>
        <v>0</v>
      </c>
    </row>
    <row r="331" spans="1:28">
      <c r="A331" t="s">
        <v>357</v>
      </c>
      <c r="B331">
        <v>0.999984544473304</v>
      </c>
      <c r="C331">
        <v>1.0007195231566</v>
      </c>
      <c r="D331">
        <v>0.912740723768908</v>
      </c>
      <c r="E331">
        <v>0.831814166612282</v>
      </c>
      <c r="F331">
        <v>0.589682079134267</v>
      </c>
      <c r="G331">
        <v>0.389301228775127</v>
      </c>
      <c r="H331">
        <v>0.264504000725343</v>
      </c>
      <c r="I331">
        <v>0.215679592178521</v>
      </c>
      <c r="J331">
        <v>0.1557608416369</v>
      </c>
      <c r="K331">
        <v>0.142514992740501</v>
      </c>
      <c r="L331">
        <v>729.244604709509</v>
      </c>
      <c r="M331">
        <v>14.3567726221199</v>
      </c>
      <c r="N331">
        <v>51.808905376796</v>
      </c>
      <c r="O331">
        <v>49.839465668563</v>
      </c>
      <c r="P331">
        <v>-0.0631988080922572</v>
      </c>
      <c r="Q331">
        <v>0.122527827509028</v>
      </c>
      <c r="R331">
        <v>0.998167495131703</v>
      </c>
      <c r="S331" t="s">
        <v>1999</v>
      </c>
      <c r="T331" t="s">
        <v>3312</v>
      </c>
      <c r="U331" t="s">
        <v>3312</v>
      </c>
      <c r="V331" t="s">
        <v>3312</v>
      </c>
      <c r="W331" t="s">
        <v>3643</v>
      </c>
      <c r="X331">
        <v>5</v>
      </c>
      <c r="Y331" t="s">
        <v>5282</v>
      </c>
      <c r="Z331" t="s">
        <v>6924</v>
      </c>
      <c r="AA331">
        <v>0.5448741122974264</v>
      </c>
      <c r="AB331">
        <f>HYPERLINK("Melting_Curves/meltCurve_P0A8D0_nrdR.pdf", "Melting_Curves/meltCurve_P0A8D0_nrdR.pdf")</f>
        <v>0</v>
      </c>
    </row>
    <row r="332" spans="1:28">
      <c r="A332" t="s">
        <v>358</v>
      </c>
      <c r="B332">
        <v>0.999984544473304</v>
      </c>
      <c r="C332">
        <v>1.05283216831822</v>
      </c>
      <c r="D332">
        <v>0.883470348671017</v>
      </c>
      <c r="E332">
        <v>1.08605847579866</v>
      </c>
      <c r="F332">
        <v>0.89436862892195</v>
      </c>
      <c r="G332">
        <v>0.810365518892706</v>
      </c>
      <c r="H332">
        <v>0.6775837892312579</v>
      </c>
      <c r="I332">
        <v>0.490897866415527</v>
      </c>
      <c r="J332">
        <v>0.326030571913757</v>
      </c>
      <c r="K332">
        <v>0.319393137872494</v>
      </c>
      <c r="L332">
        <v>844.074715022027</v>
      </c>
      <c r="M332">
        <v>14.3792252129867</v>
      </c>
      <c r="N332">
        <v>60.5533893901458</v>
      </c>
      <c r="O332">
        <v>57.6006552912206</v>
      </c>
      <c r="P332">
        <v>-0.0513099932038528</v>
      </c>
      <c r="Q332">
        <v>0.17794241360542</v>
      </c>
      <c r="R332">
        <v>0.958326364484854</v>
      </c>
      <c r="S332" t="s">
        <v>2000</v>
      </c>
      <c r="T332" t="s">
        <v>3312</v>
      </c>
      <c r="U332" t="s">
        <v>3312</v>
      </c>
      <c r="V332" t="s">
        <v>3312</v>
      </c>
      <c r="W332" t="s">
        <v>3644</v>
      </c>
      <c r="X332">
        <v>2</v>
      </c>
      <c r="Y332" t="s">
        <v>5283</v>
      </c>
      <c r="Z332" t="s">
        <v>6925</v>
      </c>
      <c r="AA332">
        <v>0.7723957599155427</v>
      </c>
      <c r="AB332">
        <f>HYPERLINK("Melting_Curves/meltCurve_P0A8D3_yaiI.pdf", "Melting_Curves/meltCurve_P0A8D3_yaiI.pdf")</f>
        <v>0</v>
      </c>
    </row>
    <row r="333" spans="1:28">
      <c r="A333" t="s">
        <v>359</v>
      </c>
      <c r="B333">
        <v>0.999984544473304</v>
      </c>
      <c r="C333">
        <v>0.930534858152356</v>
      </c>
      <c r="D333">
        <v>0.905107189693208</v>
      </c>
      <c r="E333">
        <v>0.943917097650076</v>
      </c>
      <c r="F333">
        <v>0.606901398205315</v>
      </c>
      <c r="G333">
        <v>0.269504765637276</v>
      </c>
      <c r="H333">
        <v>0.122168750680303</v>
      </c>
      <c r="I333">
        <v>0.072163678722929</v>
      </c>
      <c r="J333">
        <v>0.0493730862212796</v>
      </c>
      <c r="K333">
        <v>0.0438099927417308</v>
      </c>
      <c r="L333">
        <v>1180.52976446277</v>
      </c>
      <c r="M333">
        <v>23.1147524097057</v>
      </c>
      <c r="N333">
        <v>51.2825850919188</v>
      </c>
      <c r="O333">
        <v>50.6949337520192</v>
      </c>
      <c r="P333">
        <v>-0.108843943836951</v>
      </c>
      <c r="Q333">
        <v>0.0451581684152424</v>
      </c>
      <c r="R333">
        <v>0.99179963377327</v>
      </c>
      <c r="S333" t="s">
        <v>2001</v>
      </c>
      <c r="T333" t="s">
        <v>3312</v>
      </c>
      <c r="U333" t="s">
        <v>3312</v>
      </c>
      <c r="V333" t="s">
        <v>3312</v>
      </c>
      <c r="W333" t="s">
        <v>3645</v>
      </c>
      <c r="X333">
        <v>5</v>
      </c>
      <c r="Y333" t="s">
        <v>5284</v>
      </c>
      <c r="Z333" t="s">
        <v>6926</v>
      </c>
      <c r="AA333">
        <v>0.5027858587305434</v>
      </c>
      <c r="AB333">
        <f>HYPERLINK("Melting_Curves/meltCurve_P0A8D6_ymdB.pdf", "Melting_Curves/meltCurve_P0A8D6_ymdB.pdf")</f>
        <v>0</v>
      </c>
    </row>
    <row r="334" spans="1:28">
      <c r="A334" t="s">
        <v>360</v>
      </c>
      <c r="B334">
        <v>0.999984544473304</v>
      </c>
      <c r="C334">
        <v>0.564470245621889</v>
      </c>
      <c r="D334">
        <v>0.273191006080652</v>
      </c>
      <c r="E334">
        <v>0.085022833499968</v>
      </c>
      <c r="F334">
        <v>0.0597144777792079</v>
      </c>
      <c r="G334">
        <v>0.0354217793225285</v>
      </c>
      <c r="H334">
        <v>0.022531090435749</v>
      </c>
      <c r="I334">
        <v>0.0135747855197717</v>
      </c>
      <c r="J334">
        <v>0.00862014721381186</v>
      </c>
      <c r="K334">
        <v>0.0074291904876732</v>
      </c>
      <c r="L334">
        <v>953.434090255594</v>
      </c>
      <c r="M334">
        <v>23.4410434547521</v>
      </c>
      <c r="N334">
        <v>40.7654692771407</v>
      </c>
      <c r="O334">
        <v>40.3811637866002</v>
      </c>
      <c r="P334">
        <v>-0.141396618935279</v>
      </c>
      <c r="Q334">
        <v>0.0256985828153702</v>
      </c>
      <c r="R334">
        <v>0.986275160942001</v>
      </c>
      <c r="S334" t="s">
        <v>2002</v>
      </c>
      <c r="T334" t="s">
        <v>3312</v>
      </c>
      <c r="U334" t="s">
        <v>3312</v>
      </c>
      <c r="V334" t="s">
        <v>3312</v>
      </c>
      <c r="W334" t="s">
        <v>3646</v>
      </c>
      <c r="X334">
        <v>4</v>
      </c>
      <c r="Y334" t="s">
        <v>5285</v>
      </c>
      <c r="Z334" t="s">
        <v>6927</v>
      </c>
      <c r="AA334">
        <v>0.1571415532747266</v>
      </c>
      <c r="AB334">
        <f>HYPERLINK("Melting_Curves/meltCurve_P0A8E1_ycfP.pdf", "Melting_Curves/meltCurve_P0A8E1_ycfP.pdf")</f>
        <v>0</v>
      </c>
    </row>
    <row r="335" spans="1:28">
      <c r="A335" t="s">
        <v>361</v>
      </c>
      <c r="B335">
        <v>0.999984544473304</v>
      </c>
      <c r="C335">
        <v>1.10269250511546</v>
      </c>
      <c r="D335">
        <v>0.966055138331157</v>
      </c>
      <c r="E335">
        <v>1.08090721007355</v>
      </c>
      <c r="F335">
        <v>1.00940581069265</v>
      </c>
      <c r="G335">
        <v>0.805737650822098</v>
      </c>
      <c r="H335">
        <v>0.651174482424248</v>
      </c>
      <c r="I335">
        <v>0.6062495438458571</v>
      </c>
      <c r="J335">
        <v>0.474914382100127</v>
      </c>
      <c r="K335">
        <v>0.648555184430067</v>
      </c>
      <c r="L335">
        <v>1961.07444285375</v>
      </c>
      <c r="M335">
        <v>36.1321861704675</v>
      </c>
      <c r="O335">
        <v>54.1095517940745</v>
      </c>
      <c r="P335">
        <v>-0.0704743670740972</v>
      </c>
      <c r="Q335">
        <v>0.577847334689451</v>
      </c>
      <c r="R335">
        <v>0.92056632023608</v>
      </c>
      <c r="S335" t="s">
        <v>2003</v>
      </c>
      <c r="T335" t="s">
        <v>3312</v>
      </c>
      <c r="U335" t="s">
        <v>3312</v>
      </c>
      <c r="V335" t="s">
        <v>3312</v>
      </c>
      <c r="W335" t="s">
        <v>3647</v>
      </c>
      <c r="X335">
        <v>2</v>
      </c>
      <c r="Y335" t="s">
        <v>5286</v>
      </c>
      <c r="Z335" t="s">
        <v>6928</v>
      </c>
      <c r="AA335">
        <v>0.8228461303192909</v>
      </c>
      <c r="AB335">
        <f>HYPERLINK("Melting_Curves/meltCurve_P0A8E5_yacL.pdf", "Melting_Curves/meltCurve_P0A8E5_yacL.pdf")</f>
        <v>0</v>
      </c>
    </row>
    <row r="336" spans="1:28">
      <c r="A336" t="s">
        <v>362</v>
      </c>
      <c r="B336">
        <v>0.999984544473304</v>
      </c>
      <c r="C336">
        <v>0.942527360692226</v>
      </c>
      <c r="D336">
        <v>0.947685836421824</v>
      </c>
      <c r="E336">
        <v>1.07653539410492</v>
      </c>
      <c r="F336">
        <v>0.963076080981784</v>
      </c>
      <c r="G336">
        <v>0.633244352156587</v>
      </c>
      <c r="H336">
        <v>0.376774047578619</v>
      </c>
      <c r="I336">
        <v>0.230312328853855</v>
      </c>
      <c r="J336">
        <v>0.148893781486816</v>
      </c>
      <c r="K336">
        <v>0.145425307298959</v>
      </c>
      <c r="L336">
        <v>1391.0254303149</v>
      </c>
      <c r="M336">
        <v>25.3805853839442</v>
      </c>
      <c r="N336">
        <v>55.5696974386295</v>
      </c>
      <c r="O336">
        <v>54.4698312830022</v>
      </c>
      <c r="P336">
        <v>-0.0993516889689879</v>
      </c>
      <c r="Q336">
        <v>0.147127445568662</v>
      </c>
      <c r="R336">
        <v>0.986475911766694</v>
      </c>
      <c r="S336" t="s">
        <v>2004</v>
      </c>
      <c r="T336" t="s">
        <v>3312</v>
      </c>
      <c r="U336" t="s">
        <v>3312</v>
      </c>
      <c r="V336" t="s">
        <v>3312</v>
      </c>
      <c r="W336" t="s">
        <v>3648</v>
      </c>
      <c r="X336">
        <v>9</v>
      </c>
      <c r="Y336" t="s">
        <v>5287</v>
      </c>
      <c r="Z336" t="s">
        <v>6929</v>
      </c>
      <c r="AA336">
        <v>0.6604890070413147</v>
      </c>
      <c r="AB336">
        <f>HYPERLINK("Melting_Curves/meltCurve_P0A8E7_yajQ.pdf", "Melting_Curves/meltCurve_P0A8E7_yajQ.pdf")</f>
        <v>0</v>
      </c>
    </row>
    <row r="337" spans="1:28">
      <c r="A337" t="s">
        <v>363</v>
      </c>
      <c r="B337">
        <v>0.999984544473304</v>
      </c>
      <c r="C337">
        <v>0.888277550230085</v>
      </c>
      <c r="D337">
        <v>0.892314024052795</v>
      </c>
      <c r="E337">
        <v>0.848934369410791</v>
      </c>
      <c r="F337">
        <v>0.667232820996646</v>
      </c>
      <c r="G337">
        <v>0.412601781899967</v>
      </c>
      <c r="H337">
        <v>0.282690766251164</v>
      </c>
      <c r="I337">
        <v>0.189555623296048</v>
      </c>
      <c r="J337">
        <v>0.128037020675257</v>
      </c>
      <c r="K337">
        <v>0.116268184793816</v>
      </c>
      <c r="L337">
        <v>602.866247471776</v>
      </c>
      <c r="M337">
        <v>11.4981576860185</v>
      </c>
      <c r="N337">
        <v>52.6909282093553</v>
      </c>
      <c r="O337">
        <v>50.9208282830177</v>
      </c>
      <c r="P337">
        <v>-0.0549135429918636</v>
      </c>
      <c r="Q337">
        <v>0.0275144324761166</v>
      </c>
      <c r="R337">
        <v>0.989090083584053</v>
      </c>
      <c r="S337" t="s">
        <v>2005</v>
      </c>
      <c r="T337" t="s">
        <v>3312</v>
      </c>
      <c r="U337" t="s">
        <v>3312</v>
      </c>
      <c r="V337" t="s">
        <v>3312</v>
      </c>
      <c r="W337" t="s">
        <v>3649</v>
      </c>
      <c r="X337">
        <v>5</v>
      </c>
      <c r="Y337" t="s">
        <v>5288</v>
      </c>
      <c r="Z337" t="s">
        <v>6930</v>
      </c>
      <c r="AA337">
        <v>0.5503890990257134</v>
      </c>
      <c r="AB337">
        <f>HYPERLINK("Melting_Curves/meltCurve_P0A8F0_upp.pdf", "Melting_Curves/meltCurve_P0A8F0_upp.pdf")</f>
        <v>0</v>
      </c>
    </row>
    <row r="338" spans="1:28">
      <c r="A338" t="s">
        <v>364</v>
      </c>
      <c r="B338">
        <v>0.999984544473304</v>
      </c>
      <c r="C338">
        <v>1.01780895115985</v>
      </c>
      <c r="D338">
        <v>0.536288124712019</v>
      </c>
      <c r="E338">
        <v>0.396699866752444</v>
      </c>
      <c r="F338">
        <v>0.451488978332464</v>
      </c>
      <c r="G338">
        <v>0.254972711820153</v>
      </c>
      <c r="H338">
        <v>0.239524294280991</v>
      </c>
      <c r="I338">
        <v>0.149345689142272</v>
      </c>
      <c r="J338">
        <v>0.153161245301271</v>
      </c>
      <c r="K338">
        <v>0.194781666162673</v>
      </c>
      <c r="L338">
        <v>723.537037411643</v>
      </c>
      <c r="M338">
        <v>16.490563844236</v>
      </c>
      <c r="N338">
        <v>45.3114083426865</v>
      </c>
      <c r="O338">
        <v>43.2458092021352</v>
      </c>
      <c r="P338">
        <v>-0.07593865254246281</v>
      </c>
      <c r="Q338">
        <v>0.20347140155363</v>
      </c>
      <c r="R338">
        <v>0.923066803696191</v>
      </c>
      <c r="S338" t="s">
        <v>2006</v>
      </c>
      <c r="T338" t="s">
        <v>3312</v>
      </c>
      <c r="U338" t="s">
        <v>3312</v>
      </c>
      <c r="V338" t="s">
        <v>3312</v>
      </c>
      <c r="W338" t="s">
        <v>3650</v>
      </c>
      <c r="X338">
        <v>1</v>
      </c>
      <c r="Y338" t="s">
        <v>5289</v>
      </c>
      <c r="Z338" t="s">
        <v>6931</v>
      </c>
      <c r="AA338">
        <v>0.4023266393777579</v>
      </c>
      <c r="AB338">
        <f>HYPERLINK("Melting_Curves/meltCurve_P0A8F4_udk.pdf", "Melting_Curves/meltCurve_P0A8F4_udk.pdf")</f>
        <v>0</v>
      </c>
    </row>
    <row r="339" spans="1:28">
      <c r="A339" t="s">
        <v>365</v>
      </c>
      <c r="B339">
        <v>0.999984544473304</v>
      </c>
      <c r="C339">
        <v>1.15139224111263</v>
      </c>
      <c r="D339">
        <v>0.413440044531753</v>
      </c>
      <c r="E339">
        <v>0.114915493354679</v>
      </c>
      <c r="F339">
        <v>0.07629478392942329</v>
      </c>
      <c r="G339">
        <v>0.0566261913481531</v>
      </c>
      <c r="H339">
        <v>0.0318785228641864</v>
      </c>
      <c r="I339">
        <v>0.0254805426654781</v>
      </c>
      <c r="J339">
        <v>0.0283237429747682</v>
      </c>
      <c r="K339">
        <v>0.0255446841799446</v>
      </c>
      <c r="L339">
        <v>10729.2641251505</v>
      </c>
      <c r="M339">
        <v>250</v>
      </c>
      <c r="N339">
        <v>42.9356502366403</v>
      </c>
      <c r="O339">
        <v>42.9142975871542</v>
      </c>
      <c r="P339">
        <v>-1.38168530939131</v>
      </c>
      <c r="Q339">
        <v>0.0512948507462856</v>
      </c>
      <c r="R339">
        <v>0.982091291966297</v>
      </c>
      <c r="S339" t="s">
        <v>2007</v>
      </c>
      <c r="T339" t="s">
        <v>3312</v>
      </c>
      <c r="U339" t="s">
        <v>3312</v>
      </c>
      <c r="V339" t="s">
        <v>3312</v>
      </c>
      <c r="W339" t="s">
        <v>3651</v>
      </c>
      <c r="X339">
        <v>3</v>
      </c>
      <c r="Y339" t="s">
        <v>5290</v>
      </c>
      <c r="Z339" t="s">
        <v>6932</v>
      </c>
      <c r="AA339">
        <v>0.2384843717325114</v>
      </c>
      <c r="AB339">
        <f>HYPERLINK("Melting_Curves/meltCurve_P0A8F8_uvrB.pdf", "Melting_Curves/meltCurve_P0A8F8_uvrB.pdf")</f>
        <v>0</v>
      </c>
    </row>
    <row r="340" spans="1:28">
      <c r="A340" t="s">
        <v>366</v>
      </c>
      <c r="B340">
        <v>0.999984544473304</v>
      </c>
      <c r="C340">
        <v>1.0753739261086</v>
      </c>
      <c r="D340">
        <v>1.17889908964598</v>
      </c>
      <c r="E340">
        <v>0.978720200707593</v>
      </c>
      <c r="F340">
        <v>0.542762461611246</v>
      </c>
      <c r="G340">
        <v>0.13993058015106</v>
      </c>
      <c r="H340">
        <v>0.08834762117398449</v>
      </c>
      <c r="I340">
        <v>0.0644171689487235</v>
      </c>
      <c r="J340">
        <v>0.0474081510559623</v>
      </c>
      <c r="K340">
        <v>0.0444334996325368</v>
      </c>
      <c r="L340">
        <v>2027.48660202113</v>
      </c>
      <c r="M340">
        <v>40.3068723702919</v>
      </c>
      <c r="N340">
        <v>50.466874057422</v>
      </c>
      <c r="O340">
        <v>50.1779336550103</v>
      </c>
      <c r="P340">
        <v>-0.188378147970227</v>
      </c>
      <c r="Q340">
        <v>0.0619559633038934</v>
      </c>
      <c r="R340">
        <v>0.9818225813296521</v>
      </c>
      <c r="S340" t="s">
        <v>2008</v>
      </c>
      <c r="T340" t="s">
        <v>3312</v>
      </c>
      <c r="U340" t="s">
        <v>3312</v>
      </c>
      <c r="V340" t="s">
        <v>3312</v>
      </c>
      <c r="W340" t="s">
        <v>3652</v>
      </c>
      <c r="X340">
        <v>17</v>
      </c>
      <c r="Y340" t="s">
        <v>5291</v>
      </c>
      <c r="Z340" t="s">
        <v>6933</v>
      </c>
      <c r="AA340">
        <v>0.4810710093687151</v>
      </c>
      <c r="AB340">
        <f>HYPERLINK("Melting_Curves/meltCurve_P0A8G3_uxaC.pdf", "Melting_Curves/meltCurve_P0A8G3_uxaC.pdf")</f>
        <v>0</v>
      </c>
    </row>
    <row r="341" spans="1:28">
      <c r="A341" t="s">
        <v>367</v>
      </c>
      <c r="B341">
        <v>0.999984544473304</v>
      </c>
      <c r="C341">
        <v>0.72217662758325</v>
      </c>
      <c r="D341">
        <v>0.513829585845752</v>
      </c>
      <c r="E341">
        <v>0.407832292203191</v>
      </c>
      <c r="F341">
        <v>0.31505965466628</v>
      </c>
      <c r="G341">
        <v>0.244501767275212</v>
      </c>
      <c r="H341">
        <v>0.193926882319449</v>
      </c>
      <c r="I341">
        <v>0.151543683662732</v>
      </c>
      <c r="J341">
        <v>0.0126128922839659</v>
      </c>
      <c r="K341">
        <v>0.0101047619811298</v>
      </c>
      <c r="L341">
        <v>388.90949678368</v>
      </c>
      <c r="M341">
        <v>8.656881868241619</v>
      </c>
      <c r="N341">
        <v>45.0135350707324</v>
      </c>
      <c r="O341">
        <v>42.7206416977605</v>
      </c>
      <c r="P341">
        <v>-0.0502739517163871</v>
      </c>
      <c r="Q341">
        <v>0.008451253028841791</v>
      </c>
      <c r="R341">
        <v>0.953698732366333</v>
      </c>
      <c r="S341" t="s">
        <v>2009</v>
      </c>
      <c r="T341" t="s">
        <v>3312</v>
      </c>
      <c r="U341" t="s">
        <v>3312</v>
      </c>
      <c r="V341" t="s">
        <v>3312</v>
      </c>
      <c r="W341" t="s">
        <v>3653</v>
      </c>
      <c r="X341">
        <v>9</v>
      </c>
      <c r="Y341" t="s">
        <v>5292</v>
      </c>
      <c r="Z341" t="s">
        <v>6934</v>
      </c>
      <c r="AA341">
        <v>0.3318727756284533</v>
      </c>
      <c r="AB341">
        <f>HYPERLINK("Melting_Curves/meltCurve_P0A8G6_wrbA.pdf", "Melting_Curves/meltCurve_P0A8G6_wrbA.pdf")</f>
        <v>0</v>
      </c>
    </row>
    <row r="342" spans="1:28">
      <c r="A342" t="s">
        <v>368</v>
      </c>
      <c r="B342">
        <v>0.999984544473304</v>
      </c>
      <c r="C342">
        <v>1.15846504564478</v>
      </c>
      <c r="D342">
        <v>0.6046136110045049</v>
      </c>
      <c r="E342">
        <v>0.964850006651374</v>
      </c>
      <c r="F342">
        <v>0.830356350757652</v>
      </c>
      <c r="G342">
        <v>0.707870853034685</v>
      </c>
      <c r="H342">
        <v>0.643898644612272</v>
      </c>
      <c r="I342">
        <v>0.645607855440794</v>
      </c>
      <c r="J342">
        <v>0.413875516958974</v>
      </c>
      <c r="K342">
        <v>0.655762968322253</v>
      </c>
      <c r="L342">
        <v>388.921245590307</v>
      </c>
      <c r="M342">
        <v>7.2931604223181</v>
      </c>
      <c r="O342">
        <v>49.7563091728128</v>
      </c>
      <c r="P342">
        <v>-0.0202955450595822</v>
      </c>
      <c r="Q342">
        <v>0.447030667520873</v>
      </c>
      <c r="R342">
        <v>0.571279387029384</v>
      </c>
      <c r="S342" t="s">
        <v>2010</v>
      </c>
      <c r="T342" t="s">
        <v>3312</v>
      </c>
      <c r="U342" t="s">
        <v>3312</v>
      </c>
      <c r="V342" t="s">
        <v>3312</v>
      </c>
      <c r="W342" t="s">
        <v>3654</v>
      </c>
      <c r="X342">
        <v>2</v>
      </c>
      <c r="Y342" t="s">
        <v>5293</v>
      </c>
      <c r="Z342" t="s">
        <v>6935</v>
      </c>
      <c r="AA342">
        <v>0.7580426408276718</v>
      </c>
      <c r="AB342">
        <f>HYPERLINK("Melting_Curves/meltCurve_P0A8H6_yihI.pdf", "Melting_Curves/meltCurve_P0A8H6_yihI.pdf")</f>
        <v>0</v>
      </c>
    </row>
    <row r="343" spans="1:28">
      <c r="A343" t="s">
        <v>369</v>
      </c>
      <c r="B343">
        <v>0.999984544473304</v>
      </c>
      <c r="C343">
        <v>0.986581574808152</v>
      </c>
      <c r="D343">
        <v>0.969937543238246</v>
      </c>
      <c r="E343">
        <v>1.03797098224979</v>
      </c>
      <c r="F343">
        <v>0.912960190174407</v>
      </c>
      <c r="G343">
        <v>0.717997574574478</v>
      </c>
      <c r="H343">
        <v>0.661973370519204</v>
      </c>
      <c r="I343">
        <v>0.458666102472994</v>
      </c>
      <c r="J343">
        <v>0.261431095769287</v>
      </c>
      <c r="K343">
        <v>0.2012186448343</v>
      </c>
      <c r="L343">
        <v>737.773062997422</v>
      </c>
      <c r="M343">
        <v>12.3766843794748</v>
      </c>
      <c r="N343">
        <v>59.6099117281796</v>
      </c>
      <c r="O343">
        <v>58.1178802621154</v>
      </c>
      <c r="P343">
        <v>-0.0532509782007486</v>
      </c>
      <c r="Q343">
        <v>0</v>
      </c>
      <c r="R343">
        <v>0.98355868257457</v>
      </c>
      <c r="S343" t="s">
        <v>2011</v>
      </c>
      <c r="T343" t="s">
        <v>3312</v>
      </c>
      <c r="U343" t="s">
        <v>3312</v>
      </c>
      <c r="V343" t="s">
        <v>3312</v>
      </c>
      <c r="W343" t="s">
        <v>3655</v>
      </c>
      <c r="X343">
        <v>2</v>
      </c>
      <c r="Y343" t="s">
        <v>5294</v>
      </c>
      <c r="Z343" t="s">
        <v>6936</v>
      </c>
      <c r="AA343">
        <v>0.7420686818244602</v>
      </c>
      <c r="AB343">
        <f>HYPERLINK("Melting_Curves/meltCurve_P0A8I1_yqgF.pdf", "Melting_Curves/meltCurve_P0A8I1_yqgF.pdf")</f>
        <v>0</v>
      </c>
    </row>
    <row r="344" spans="1:28">
      <c r="A344" t="s">
        <v>370</v>
      </c>
      <c r="B344">
        <v>0.999984544473304</v>
      </c>
      <c r="C344">
        <v>0.426042333968488</v>
      </c>
      <c r="D344">
        <v>0.09505147999198151</v>
      </c>
      <c r="E344">
        <v>0.0298922918041891</v>
      </c>
      <c r="F344">
        <v>0.041514770285063</v>
      </c>
      <c r="G344">
        <v>0.021328531318398</v>
      </c>
      <c r="H344">
        <v>0.0212616484037236</v>
      </c>
      <c r="I344">
        <v>0.0120660586646231</v>
      </c>
      <c r="J344">
        <v>0</v>
      </c>
      <c r="K344">
        <v>0.0273983406074418</v>
      </c>
      <c r="L344">
        <v>1920.57120172794</v>
      </c>
      <c r="M344">
        <v>48.4669563785085</v>
      </c>
      <c r="N344">
        <v>39.6731411059886</v>
      </c>
      <c r="O344">
        <v>39.5591007668503</v>
      </c>
      <c r="P344">
        <v>-0.297796605531846</v>
      </c>
      <c r="Q344">
        <v>0.0277450262487407</v>
      </c>
      <c r="R344">
        <v>0.995205211686163</v>
      </c>
      <c r="S344" t="s">
        <v>2012</v>
      </c>
      <c r="T344" t="s">
        <v>3312</v>
      </c>
      <c r="U344" t="s">
        <v>3312</v>
      </c>
      <c r="V344" t="s">
        <v>3312</v>
      </c>
      <c r="W344" t="s">
        <v>3656</v>
      </c>
      <c r="X344">
        <v>1</v>
      </c>
      <c r="Y344" t="s">
        <v>5295</v>
      </c>
      <c r="Z344" t="s">
        <v>6937</v>
      </c>
      <c r="AA344">
        <v>0.1153742047609597</v>
      </c>
      <c r="AB344">
        <f>HYPERLINK("Melting_Curves/meltCurve_P0A8I3_yaaA.pdf", "Melting_Curves/meltCurve_P0A8I3_yaaA.pdf")</f>
        <v>0</v>
      </c>
    </row>
    <row r="345" spans="1:28">
      <c r="A345" t="s">
        <v>371</v>
      </c>
      <c r="B345">
        <v>0.999984544473304</v>
      </c>
      <c r="C345">
        <v>0.896298224148074</v>
      </c>
      <c r="D345">
        <v>1.01654195552836</v>
      </c>
      <c r="E345">
        <v>0.265586682119176</v>
      </c>
      <c r="F345">
        <v>0.125612262758751</v>
      </c>
      <c r="G345">
        <v>0.0831871530632379</v>
      </c>
      <c r="H345">
        <v>0.0649052281195628</v>
      </c>
      <c r="I345">
        <v>0.0431545717299655</v>
      </c>
      <c r="J345">
        <v>0.0371222032466936</v>
      </c>
      <c r="K345">
        <v>0.0356883643079806</v>
      </c>
      <c r="L345">
        <v>5653.78324900611</v>
      </c>
      <c r="M345">
        <v>122.623124336703</v>
      </c>
      <c r="N345">
        <v>46.1593545532458</v>
      </c>
      <c r="O345">
        <v>46.0947307599431</v>
      </c>
      <c r="P345">
        <v>-0.6218755094380159</v>
      </c>
      <c r="Q345">
        <v>0.0649338414680697</v>
      </c>
      <c r="R345">
        <v>0.989705836715967</v>
      </c>
      <c r="S345" t="s">
        <v>2013</v>
      </c>
      <c r="T345" t="s">
        <v>3312</v>
      </c>
      <c r="U345" t="s">
        <v>3312</v>
      </c>
      <c r="V345" t="s">
        <v>3312</v>
      </c>
      <c r="W345" t="s">
        <v>3657</v>
      </c>
      <c r="X345">
        <v>2</v>
      </c>
      <c r="Y345" t="s">
        <v>5296</v>
      </c>
      <c r="Z345" t="s">
        <v>6938</v>
      </c>
      <c r="AA345">
        <v>0.3491031851584653</v>
      </c>
      <c r="AB345">
        <f>HYPERLINK("Melting_Curves/meltCurve_P0A8I5_trmB.pdf", "Melting_Curves/meltCurve_P0A8I5_trmB.pdf")</f>
        <v>0</v>
      </c>
    </row>
    <row r="346" spans="1:28">
      <c r="A346" t="s">
        <v>372</v>
      </c>
      <c r="B346">
        <v>0.999984544473304</v>
      </c>
      <c r="C346">
        <v>1.37788455712412</v>
      </c>
      <c r="D346">
        <v>0.7436273641671099</v>
      </c>
      <c r="E346">
        <v>0.171365377374555</v>
      </c>
      <c r="F346">
        <v>0.0749216295254489</v>
      </c>
      <c r="G346">
        <v>0.0497230002128796</v>
      </c>
      <c r="H346">
        <v>0.0458401985933981</v>
      </c>
      <c r="I346">
        <v>0.0367231853853501</v>
      </c>
      <c r="J346">
        <v>0.0224505686334784</v>
      </c>
      <c r="K346">
        <v>0.0226126707335193</v>
      </c>
      <c r="L346">
        <v>1947.93878317596</v>
      </c>
      <c r="M346">
        <v>44.0900452679008</v>
      </c>
      <c r="N346">
        <v>44.2777936428844</v>
      </c>
      <c r="O346">
        <v>44.09032144671</v>
      </c>
      <c r="P346">
        <v>-0.238505136585445</v>
      </c>
      <c r="Q346">
        <v>0.0459748360522397</v>
      </c>
      <c r="R346">
        <v>0.931254166363047</v>
      </c>
      <c r="S346" t="s">
        <v>2014</v>
      </c>
      <c r="T346" t="s">
        <v>3312</v>
      </c>
      <c r="U346" t="s">
        <v>3312</v>
      </c>
      <c r="V346" t="s">
        <v>3312</v>
      </c>
      <c r="W346" t="s">
        <v>3658</v>
      </c>
      <c r="X346">
        <v>4</v>
      </c>
      <c r="Y346" t="s">
        <v>5297</v>
      </c>
      <c r="Z346" t="s">
        <v>6939</v>
      </c>
      <c r="AA346">
        <v>0.2767332029067372</v>
      </c>
      <c r="AB346">
        <f>HYPERLINK("Melting_Curves/meltCurve_P0A8J8_rhlB.pdf", "Melting_Curves/meltCurve_P0A8J8_rhlB.pdf")</f>
        <v>0</v>
      </c>
    </row>
    <row r="347" spans="1:28">
      <c r="A347" t="s">
        <v>373</v>
      </c>
      <c r="B347">
        <v>0.999984544473304</v>
      </c>
      <c r="C347">
        <v>0.821415533729097</v>
      </c>
      <c r="D347">
        <v>0.70692515648111</v>
      </c>
      <c r="E347">
        <v>0.129375851773642</v>
      </c>
      <c r="F347">
        <v>0.0695389194567551</v>
      </c>
      <c r="G347">
        <v>0.035764342886686</v>
      </c>
      <c r="H347">
        <v>0.0231836384152197</v>
      </c>
      <c r="I347">
        <v>0.0277450606784953</v>
      </c>
      <c r="J347">
        <v>0.009775930157860021</v>
      </c>
      <c r="K347">
        <v>0.0134283613538987</v>
      </c>
      <c r="L347">
        <v>1190.74478495467</v>
      </c>
      <c r="M347">
        <v>27.1218492624393</v>
      </c>
      <c r="N347">
        <v>43.9615337986926</v>
      </c>
      <c r="O347">
        <v>43.6669285736507</v>
      </c>
      <c r="P347">
        <v>-0.152548903967933</v>
      </c>
      <c r="Q347">
        <v>0.0175777125769413</v>
      </c>
      <c r="R347">
        <v>0.984351784043804</v>
      </c>
      <c r="S347" t="s">
        <v>2015</v>
      </c>
      <c r="T347" t="s">
        <v>3312</v>
      </c>
      <c r="U347" t="s">
        <v>3312</v>
      </c>
      <c r="V347" t="s">
        <v>3312</v>
      </c>
      <c r="W347" t="s">
        <v>3659</v>
      </c>
      <c r="X347">
        <v>2</v>
      </c>
      <c r="Y347" t="s">
        <v>5298</v>
      </c>
      <c r="Z347" t="s">
        <v>6940</v>
      </c>
      <c r="AA347">
        <v>0.2504189571640189</v>
      </c>
      <c r="AB347">
        <f>HYPERLINK("Melting_Curves/meltCurve_P0A8K1_psd.pdf", "Melting_Curves/meltCurve_P0A8K1_psd.pdf")</f>
        <v>0</v>
      </c>
    </row>
    <row r="348" spans="1:28">
      <c r="A348" t="s">
        <v>374</v>
      </c>
      <c r="B348">
        <v>0.999984544473304</v>
      </c>
      <c r="C348">
        <v>1.0518482393944</v>
      </c>
      <c r="D348">
        <v>0.9727315566288131</v>
      </c>
      <c r="E348">
        <v>0.864470208682418</v>
      </c>
      <c r="F348">
        <v>0.745730638998639</v>
      </c>
      <c r="G348">
        <v>0.700779868289146</v>
      </c>
      <c r="H348">
        <v>0.392738300042989</v>
      </c>
      <c r="I348">
        <v>0.0378235511765541</v>
      </c>
      <c r="J348">
        <v>0.0157136599024316</v>
      </c>
      <c r="K348">
        <v>0.0158517825268666</v>
      </c>
      <c r="L348">
        <v>1005.32172055652</v>
      </c>
      <c r="M348">
        <v>18.2328805591703</v>
      </c>
      <c r="N348">
        <v>55.1378463169988</v>
      </c>
      <c r="O348">
        <v>54.4874125791632</v>
      </c>
      <c r="P348">
        <v>-0.0836603126727261</v>
      </c>
      <c r="Q348">
        <v>0</v>
      </c>
      <c r="R348">
        <v>0.967118502690532</v>
      </c>
      <c r="S348" t="s">
        <v>2016</v>
      </c>
      <c r="T348" t="s">
        <v>3312</v>
      </c>
      <c r="U348" t="s">
        <v>3312</v>
      </c>
      <c r="V348" t="s">
        <v>3312</v>
      </c>
      <c r="W348" t="s">
        <v>3660</v>
      </c>
      <c r="X348">
        <v>9</v>
      </c>
      <c r="Y348" t="s">
        <v>5299</v>
      </c>
      <c r="Z348" t="s">
        <v>6941</v>
      </c>
      <c r="AA348">
        <v>0.6168456251128165</v>
      </c>
      <c r="AB348">
        <f>HYPERLINK("Melting_Curves/meltCurve_P0A8L1_serS.pdf", "Melting_Curves/meltCurve_P0A8L1_serS.pdf")</f>
        <v>0</v>
      </c>
    </row>
    <row r="349" spans="1:28">
      <c r="A349" t="s">
        <v>375</v>
      </c>
      <c r="B349">
        <v>0.999984544473304</v>
      </c>
      <c r="C349">
        <v>1.14820475947592</v>
      </c>
      <c r="D349">
        <v>1.08599389971181</v>
      </c>
      <c r="E349">
        <v>0.979448545162214</v>
      </c>
      <c r="F349">
        <v>0.944201024332937</v>
      </c>
      <c r="G349">
        <v>0.578448180187204</v>
      </c>
      <c r="H349">
        <v>0.154875360720705</v>
      </c>
      <c r="I349">
        <v>0.0505947228057153</v>
      </c>
      <c r="J349">
        <v>0.0319866756654587</v>
      </c>
      <c r="K349">
        <v>0.0331647716855274</v>
      </c>
      <c r="L349">
        <v>1869.51370257313</v>
      </c>
      <c r="M349">
        <v>34.4839747880991</v>
      </c>
      <c r="N349">
        <v>54.3107663920496</v>
      </c>
      <c r="O349">
        <v>54.0326376589538</v>
      </c>
      <c r="P349">
        <v>-0.154797539806155</v>
      </c>
      <c r="Q349">
        <v>0.0297999912143678</v>
      </c>
      <c r="R349">
        <v>0.985886077684716</v>
      </c>
      <c r="S349" t="s">
        <v>2017</v>
      </c>
      <c r="T349" t="s">
        <v>3312</v>
      </c>
      <c r="U349" t="s">
        <v>3312</v>
      </c>
      <c r="V349" t="s">
        <v>3312</v>
      </c>
      <c r="W349" t="s">
        <v>3661</v>
      </c>
      <c r="X349">
        <v>16</v>
      </c>
      <c r="Y349" t="s">
        <v>5300</v>
      </c>
      <c r="Z349" t="s">
        <v>6942</v>
      </c>
      <c r="AA349">
        <v>0.5912924949615411</v>
      </c>
      <c r="AB349">
        <f>HYPERLINK("Melting_Curves/meltCurve_P0A8M0_asnS.pdf", "Melting_Curves/meltCurve_P0A8M0_asnS.pdf")</f>
        <v>0</v>
      </c>
    </row>
    <row r="350" spans="1:28">
      <c r="A350" t="s">
        <v>376</v>
      </c>
      <c r="B350">
        <v>0.999984544473304</v>
      </c>
      <c r="C350">
        <v>0.902289698121217</v>
      </c>
      <c r="D350">
        <v>0.702568055133211</v>
      </c>
      <c r="E350">
        <v>0.416475816423645</v>
      </c>
      <c r="F350">
        <v>0.226765541966895</v>
      </c>
      <c r="G350">
        <v>0.139857456667711</v>
      </c>
      <c r="H350">
        <v>0.105628051147123</v>
      </c>
      <c r="I350">
        <v>0.091373217276065</v>
      </c>
      <c r="J350">
        <v>0.09885403739132451</v>
      </c>
      <c r="K350">
        <v>0.07882178979597811</v>
      </c>
      <c r="L350">
        <v>747.075629268411</v>
      </c>
      <c r="M350">
        <v>16.6007002512233</v>
      </c>
      <c r="N350">
        <v>45.4991267709754</v>
      </c>
      <c r="O350">
        <v>44.3648314955017</v>
      </c>
      <c r="P350">
        <v>-0.0858026778613928</v>
      </c>
      <c r="Q350">
        <v>0.0828427440053736</v>
      </c>
      <c r="R350">
        <v>0.999267580987068</v>
      </c>
      <c r="S350" t="s">
        <v>2018</v>
      </c>
      <c r="T350" t="s">
        <v>3312</v>
      </c>
      <c r="U350" t="s">
        <v>3312</v>
      </c>
      <c r="V350" t="s">
        <v>3312</v>
      </c>
      <c r="W350" t="s">
        <v>3662</v>
      </c>
      <c r="X350">
        <v>9</v>
      </c>
      <c r="Y350" t="s">
        <v>5301</v>
      </c>
      <c r="Z350" t="s">
        <v>6943</v>
      </c>
      <c r="AA350">
        <v>0.3452673973446699</v>
      </c>
      <c r="AB350">
        <f>HYPERLINK("Melting_Curves/meltCurve_P0A8M3_thrS.pdf", "Melting_Curves/meltCurve_P0A8M3_thrS.pdf")</f>
        <v>0</v>
      </c>
    </row>
    <row r="351" spans="1:28">
      <c r="A351" t="s">
        <v>377</v>
      </c>
      <c r="B351">
        <v>0.999984544473304</v>
      </c>
      <c r="C351">
        <v>3.84540019453575</v>
      </c>
      <c r="D351">
        <v>5.17509846956746</v>
      </c>
      <c r="E351">
        <v>3.87375212611812</v>
      </c>
      <c r="F351">
        <v>2.5667680000892</v>
      </c>
      <c r="G351">
        <v>2.7268401271817</v>
      </c>
      <c r="H351">
        <v>6.73687680376358</v>
      </c>
      <c r="I351">
        <v>11.5047154439247</v>
      </c>
      <c r="J351">
        <v>7.51382674346389</v>
      </c>
      <c r="K351">
        <v>11.4315369619085</v>
      </c>
      <c r="L351">
        <v>1e-05</v>
      </c>
      <c r="M351">
        <v>38.4790208653742</v>
      </c>
      <c r="Q351">
        <v>1.5</v>
      </c>
      <c r="R351">
        <v>-1.44256889319444</v>
      </c>
      <c r="S351" t="s">
        <v>2019</v>
      </c>
      <c r="T351" t="s">
        <v>3312</v>
      </c>
      <c r="U351" t="s">
        <v>3312</v>
      </c>
      <c r="V351" t="s">
        <v>3312</v>
      </c>
      <c r="W351" t="s">
        <v>3663</v>
      </c>
      <c r="X351">
        <v>1</v>
      </c>
      <c r="Y351" t="s">
        <v>5302</v>
      </c>
      <c r="Z351" t="s">
        <v>6944</v>
      </c>
      <c r="AA351">
        <v>1.5</v>
      </c>
      <c r="AB351">
        <f>HYPERLINK("Melting_Curves/meltCurve_P0A8M6_yeeX.pdf", "Melting_Curves/meltCurve_P0A8M6_yeeX.pdf")</f>
        <v>0</v>
      </c>
    </row>
    <row r="352" spans="1:28">
      <c r="A352" t="s">
        <v>378</v>
      </c>
      <c r="B352">
        <v>0.999984544473304</v>
      </c>
      <c r="C352">
        <v>1.14902446803761</v>
      </c>
      <c r="D352">
        <v>1.18480757509675</v>
      </c>
      <c r="E352">
        <v>1.04186365439989</v>
      </c>
      <c r="F352">
        <v>0.43987517804502</v>
      </c>
      <c r="G352">
        <v>0.173886257655253</v>
      </c>
      <c r="H352">
        <v>0.0646635756863871</v>
      </c>
      <c r="I352">
        <v>0.0390518106684609</v>
      </c>
      <c r="J352">
        <v>0.0272064059361394</v>
      </c>
      <c r="K352">
        <v>0.0252156808542983</v>
      </c>
      <c r="L352">
        <v>2530.15313760862</v>
      </c>
      <c r="M352">
        <v>50.7152442540335</v>
      </c>
      <c r="N352">
        <v>50.0135781681589</v>
      </c>
      <c r="O352">
        <v>49.8120178880211</v>
      </c>
      <c r="P352">
        <v>-0.239475925337231</v>
      </c>
      <c r="Q352">
        <v>0.0591571689878761</v>
      </c>
      <c r="R352">
        <v>0.969785004317261</v>
      </c>
      <c r="S352" t="s">
        <v>2020</v>
      </c>
      <c r="T352" t="s">
        <v>3312</v>
      </c>
      <c r="U352" t="s">
        <v>3312</v>
      </c>
      <c r="V352" t="s">
        <v>3312</v>
      </c>
      <c r="W352" t="s">
        <v>3664</v>
      </c>
      <c r="X352">
        <v>3</v>
      </c>
      <c r="Y352" t="s">
        <v>5303</v>
      </c>
      <c r="Z352" t="s">
        <v>6945</v>
      </c>
      <c r="AA352">
        <v>0.4653991891482961</v>
      </c>
      <c r="AB352">
        <f>HYPERLINK("Melting_Curves/meltCurve_P0A8N0_matP.pdf", "Melting_Curves/meltCurve_P0A8N0_matP.pdf")</f>
        <v>0</v>
      </c>
    </row>
    <row r="353" spans="1:28">
      <c r="A353" t="s">
        <v>379</v>
      </c>
      <c r="B353">
        <v>0.999984544473304</v>
      </c>
      <c r="C353">
        <v>1.01745008935811</v>
      </c>
      <c r="D353">
        <v>0.383820975474421</v>
      </c>
      <c r="E353">
        <v>0.190446559095973</v>
      </c>
      <c r="F353">
        <v>0.094316029719589</v>
      </c>
      <c r="G353">
        <v>0.0937458457708777</v>
      </c>
      <c r="H353">
        <v>0.037841327984595</v>
      </c>
      <c r="I353">
        <v>0.0214789381970226</v>
      </c>
      <c r="J353">
        <v>0.009709374503019111</v>
      </c>
      <c r="K353">
        <v>0.00814362895032239</v>
      </c>
      <c r="L353">
        <v>2476.4735920174</v>
      </c>
      <c r="M353">
        <v>58.2157275969755</v>
      </c>
      <c r="N353">
        <v>42.6392948705426</v>
      </c>
      <c r="O353">
        <v>42.4894904453092</v>
      </c>
      <c r="P353">
        <v>-0.320735042692744</v>
      </c>
      <c r="Q353">
        <v>0.063630268553826</v>
      </c>
      <c r="R353">
        <v>0.981498887454593</v>
      </c>
      <c r="S353" t="s">
        <v>2021</v>
      </c>
      <c r="T353" t="s">
        <v>3312</v>
      </c>
      <c r="U353" t="s">
        <v>3312</v>
      </c>
      <c r="V353" t="s">
        <v>3312</v>
      </c>
      <c r="W353" t="s">
        <v>3665</v>
      </c>
      <c r="X353">
        <v>13</v>
      </c>
      <c r="Y353" t="s">
        <v>5304</v>
      </c>
      <c r="Z353" t="s">
        <v>6946</v>
      </c>
      <c r="AA353">
        <v>0.2378309135613537</v>
      </c>
      <c r="AB353">
        <f>HYPERLINK("Melting_Curves/meltCurve_P0A8N3_lysS.pdf", "Melting_Curves/meltCurve_P0A8N3_lysS.pdf")</f>
        <v>0</v>
      </c>
    </row>
    <row r="354" spans="1:28">
      <c r="A354" t="s">
        <v>380</v>
      </c>
      <c r="B354">
        <v>0.999984544473304</v>
      </c>
      <c r="C354">
        <v>1.15580378020663</v>
      </c>
      <c r="D354">
        <v>0.5750434953525591</v>
      </c>
      <c r="E354">
        <v>0.124716156680626</v>
      </c>
      <c r="F354">
        <v>0.0490812935340174</v>
      </c>
      <c r="G354">
        <v>0.0261591566971801</v>
      </c>
      <c r="H354">
        <v>0.0202655086235496</v>
      </c>
      <c r="I354">
        <v>0.0148645968308029</v>
      </c>
      <c r="J354">
        <v>0.00990919261096054</v>
      </c>
      <c r="K354">
        <v>0.009420983622501549</v>
      </c>
      <c r="L354">
        <v>10133.1681571579</v>
      </c>
      <c r="M354">
        <v>235.417905538063</v>
      </c>
      <c r="N354">
        <v>43.0571278159575</v>
      </c>
      <c r="O354">
        <v>43.0402131725809</v>
      </c>
      <c r="P354">
        <v>-1.31773031842047</v>
      </c>
      <c r="Q354">
        <v>0.0363452790815565</v>
      </c>
      <c r="R354">
        <v>0.980781399976547</v>
      </c>
      <c r="S354" t="s">
        <v>2022</v>
      </c>
      <c r="T354" t="s">
        <v>3312</v>
      </c>
      <c r="U354" t="s">
        <v>3312</v>
      </c>
      <c r="V354" t="s">
        <v>3312</v>
      </c>
      <c r="W354" t="s">
        <v>3666</v>
      </c>
      <c r="X354">
        <v>18</v>
      </c>
      <c r="Y354" t="s">
        <v>5305</v>
      </c>
      <c r="Z354" t="s">
        <v>6947</v>
      </c>
      <c r="AA354">
        <v>0.230549823580749</v>
      </c>
      <c r="AB354">
        <f>HYPERLINK("Melting_Curves/meltCurve_P0A8N5_lysU.pdf", "Melting_Curves/meltCurve_P0A8N5_lysU.pdf")</f>
        <v>0</v>
      </c>
    </row>
    <row r="355" spans="1:28">
      <c r="A355" t="s">
        <v>381</v>
      </c>
      <c r="B355">
        <v>0.999984544473304</v>
      </c>
      <c r="C355">
        <v>1.01001329149067</v>
      </c>
      <c r="D355">
        <v>0.934175898488552</v>
      </c>
      <c r="E355">
        <v>1.05658035972428</v>
      </c>
      <c r="F355">
        <v>1.23078250614515</v>
      </c>
      <c r="G355">
        <v>0.996068117534921</v>
      </c>
      <c r="H355">
        <v>1.07440611559019</v>
      </c>
      <c r="I355">
        <v>0.848385286029924</v>
      </c>
      <c r="J355">
        <v>0.679724056507981</v>
      </c>
      <c r="K355">
        <v>0.694965549393132</v>
      </c>
      <c r="L355">
        <v>15000</v>
      </c>
      <c r="M355">
        <v>245.841321619732</v>
      </c>
      <c r="O355">
        <v>61.0109287660383</v>
      </c>
      <c r="P355">
        <v>-0.314959259892021</v>
      </c>
      <c r="Q355">
        <v>0.687343741758077</v>
      </c>
      <c r="R355">
        <v>0.746429027316744</v>
      </c>
      <c r="S355" t="s">
        <v>2023</v>
      </c>
      <c r="T355" t="s">
        <v>3312</v>
      </c>
      <c r="U355" t="s">
        <v>3312</v>
      </c>
      <c r="V355" t="s">
        <v>3312</v>
      </c>
      <c r="W355" t="s">
        <v>3667</v>
      </c>
      <c r="X355">
        <v>3</v>
      </c>
      <c r="Y355" t="s">
        <v>5306</v>
      </c>
      <c r="Z355" t="s">
        <v>6948</v>
      </c>
      <c r="AA355">
        <v>0.9376593490749188</v>
      </c>
      <c r="AB355">
        <f>HYPERLINK("Melting_Curves/meltCurve_P0A8P3_yggX.pdf", "Melting_Curves/meltCurve_P0A8P3_yggX.pdf")</f>
        <v>0</v>
      </c>
    </row>
    <row r="356" spans="1:28">
      <c r="A356" t="s">
        <v>382</v>
      </c>
      <c r="B356">
        <v>0.999984544473304</v>
      </c>
      <c r="C356">
        <v>1.03497575929016</v>
      </c>
      <c r="D356">
        <v>0.596627109985491</v>
      </c>
      <c r="E356">
        <v>0.781463771018723</v>
      </c>
      <c r="F356">
        <v>0.513244939508653</v>
      </c>
      <c r="G356">
        <v>0.321484579501788</v>
      </c>
      <c r="H356">
        <v>0.354898992754146</v>
      </c>
      <c r="I356">
        <v>0.237880779859737</v>
      </c>
      <c r="J356">
        <v>0.167965174382124</v>
      </c>
      <c r="K356">
        <v>0.114413343965463</v>
      </c>
      <c r="L356">
        <v>416.163540487683</v>
      </c>
      <c r="M356">
        <v>8.26710478669499</v>
      </c>
      <c r="N356">
        <v>50.7524819960343</v>
      </c>
      <c r="O356">
        <v>47.6520300806167</v>
      </c>
      <c r="P356">
        <v>-0.0420040115798623</v>
      </c>
      <c r="Q356">
        <v>0.0325142909587459</v>
      </c>
      <c r="R356">
        <v>0.911808064399393</v>
      </c>
      <c r="S356" t="s">
        <v>2024</v>
      </c>
      <c r="T356" t="s">
        <v>3312</v>
      </c>
      <c r="U356" t="s">
        <v>3312</v>
      </c>
      <c r="V356" t="s">
        <v>3312</v>
      </c>
      <c r="W356" t="s">
        <v>3668</v>
      </c>
      <c r="X356">
        <v>3</v>
      </c>
      <c r="Y356" t="s">
        <v>5307</v>
      </c>
      <c r="Z356" t="s">
        <v>6949</v>
      </c>
      <c r="AA356">
        <v>0.4994366562108211</v>
      </c>
      <c r="AB356">
        <f>HYPERLINK("Melting_Curves/meltCurve_P0A8Q0_frdC.pdf", "Melting_Curves/meltCurve_P0A8Q0_frdC.pdf")</f>
        <v>0</v>
      </c>
    </row>
    <row r="357" spans="1:28">
      <c r="A357" t="s">
        <v>383</v>
      </c>
      <c r="B357">
        <v>0.999984544473304</v>
      </c>
      <c r="C357">
        <v>0.987118184186797</v>
      </c>
      <c r="D357">
        <v>1.45933005099162</v>
      </c>
      <c r="E357">
        <v>1.30282978272622</v>
      </c>
      <c r="F357">
        <v>1.28872465537926</v>
      </c>
      <c r="G357">
        <v>1.13288631365044</v>
      </c>
      <c r="H357">
        <v>0.923993269080688</v>
      </c>
      <c r="I357">
        <v>0.966320807087496</v>
      </c>
      <c r="J357">
        <v>0.749851591391168</v>
      </c>
      <c r="K357">
        <v>0.900091401553287</v>
      </c>
      <c r="L357">
        <v>15000</v>
      </c>
      <c r="M357">
        <v>244.467795455121</v>
      </c>
      <c r="O357">
        <v>61.3536526990975</v>
      </c>
      <c r="P357">
        <v>-0.174353291557997</v>
      </c>
      <c r="Q357">
        <v>0.824971398106025</v>
      </c>
      <c r="R357">
        <v>0.0273418389527531</v>
      </c>
      <c r="S357" t="s">
        <v>2025</v>
      </c>
      <c r="T357" t="s">
        <v>3312</v>
      </c>
      <c r="U357" t="s">
        <v>3312</v>
      </c>
      <c r="V357" t="s">
        <v>3312</v>
      </c>
      <c r="W357" t="s">
        <v>3669</v>
      </c>
      <c r="X357">
        <v>1</v>
      </c>
      <c r="Y357" t="s">
        <v>5308</v>
      </c>
      <c r="Z357" t="s">
        <v>6950</v>
      </c>
      <c r="AA357">
        <v>0.9671013521229276</v>
      </c>
      <c r="AB357">
        <f>HYPERLINK("Melting_Curves/meltCurve_P0A8Q3_frdD.pdf", "Melting_Curves/meltCurve_P0A8Q3_frdD.pdf")</f>
        <v>0</v>
      </c>
    </row>
    <row r="358" spans="1:28">
      <c r="A358" t="s">
        <v>384</v>
      </c>
      <c r="B358">
        <v>0.999984544473304</v>
      </c>
      <c r="C358">
        <v>1.0290494107392</v>
      </c>
      <c r="D358">
        <v>1.01365523157462</v>
      </c>
      <c r="E358">
        <v>1.18582536445956</v>
      </c>
      <c r="F358">
        <v>1.03558500889358</v>
      </c>
      <c r="G358">
        <v>0.8987981082190299</v>
      </c>
      <c r="H358">
        <v>0.689897347391166</v>
      </c>
      <c r="I358">
        <v>0.657600681802065</v>
      </c>
      <c r="J358">
        <v>0.635188113456849</v>
      </c>
      <c r="K358">
        <v>0.91212660622571</v>
      </c>
      <c r="L358">
        <v>13479.4937154998</v>
      </c>
      <c r="M358">
        <v>250</v>
      </c>
      <c r="O358">
        <v>53.9145245069961</v>
      </c>
      <c r="P358">
        <v>-0.320294981220316</v>
      </c>
      <c r="Q358">
        <v>0.723703174685826</v>
      </c>
      <c r="R358">
        <v>0.725819493526737</v>
      </c>
      <c r="S358" t="s">
        <v>2026</v>
      </c>
      <c r="T358" t="s">
        <v>3312</v>
      </c>
      <c r="U358" t="s">
        <v>3312</v>
      </c>
      <c r="V358" t="s">
        <v>3312</v>
      </c>
      <c r="W358" t="s">
        <v>3670</v>
      </c>
      <c r="X358">
        <v>4</v>
      </c>
      <c r="Y358" t="s">
        <v>5309</v>
      </c>
      <c r="Z358" t="s">
        <v>6951</v>
      </c>
      <c r="AA358">
        <v>0.879542077500554</v>
      </c>
      <c r="AB358">
        <f>HYPERLINK("Melting_Curves/meltCurve_P0A8R0_rraA.pdf", "Melting_Curves/meltCurve_P0A8R0_rraA.pdf")</f>
        <v>0</v>
      </c>
    </row>
    <row r="359" spans="1:28">
      <c r="A359" t="s">
        <v>385</v>
      </c>
      <c r="B359">
        <v>0.999984544473304</v>
      </c>
      <c r="C359">
        <v>1.16851137369108</v>
      </c>
      <c r="D359">
        <v>0.769425321759821</v>
      </c>
      <c r="E359">
        <v>1.02823883492243</v>
      </c>
      <c r="F359">
        <v>0.862841483602341</v>
      </c>
      <c r="G359">
        <v>0.733501246165442</v>
      </c>
      <c r="H359">
        <v>0.575870984917449</v>
      </c>
      <c r="I359">
        <v>0.537020970415262</v>
      </c>
      <c r="J359">
        <v>0.354275133910349</v>
      </c>
      <c r="K359">
        <v>0.561498935106037</v>
      </c>
      <c r="L359">
        <v>994.730060379297</v>
      </c>
      <c r="M359">
        <v>18.539137586238</v>
      </c>
      <c r="N359">
        <v>61.6122520326161</v>
      </c>
      <c r="O359">
        <v>53.0430904349864</v>
      </c>
      <c r="P359">
        <v>-0.0476776469396737</v>
      </c>
      <c r="Q359">
        <v>0.454374141550858</v>
      </c>
      <c r="R359">
        <v>0.817185962937405</v>
      </c>
      <c r="S359" t="s">
        <v>2027</v>
      </c>
      <c r="T359" t="s">
        <v>3312</v>
      </c>
      <c r="U359" t="s">
        <v>3312</v>
      </c>
      <c r="V359" t="s">
        <v>3312</v>
      </c>
      <c r="W359" t="s">
        <v>3671</v>
      </c>
      <c r="X359">
        <v>2</v>
      </c>
      <c r="Y359" t="s">
        <v>5310</v>
      </c>
      <c r="Z359" t="s">
        <v>6952</v>
      </c>
      <c r="AA359">
        <v>0.7646908034588118</v>
      </c>
      <c r="AB359">
        <f>HYPERLINK("Melting_Curves/meltCurve_P0A8R4_slyX.pdf", "Melting_Curves/meltCurve_P0A8R4_slyX.pdf")</f>
        <v>0</v>
      </c>
    </row>
    <row r="360" spans="1:28">
      <c r="A360" t="s">
        <v>386</v>
      </c>
      <c r="B360">
        <v>0.999984544473304</v>
      </c>
      <c r="C360">
        <v>0.993098659202771</v>
      </c>
      <c r="D360">
        <v>0.938724507142611</v>
      </c>
      <c r="E360">
        <v>0.816382049906201</v>
      </c>
      <c r="F360">
        <v>0.308968380345921</v>
      </c>
      <c r="G360">
        <v>0.269102339532054</v>
      </c>
      <c r="H360">
        <v>0.168014801851754</v>
      </c>
      <c r="I360">
        <v>0.188977701050702</v>
      </c>
      <c r="J360">
        <v>0.145095293310106</v>
      </c>
      <c r="K360">
        <v>0.108257171876582</v>
      </c>
      <c r="L360">
        <v>1585.92023439923</v>
      </c>
      <c r="M360">
        <v>32.9072740367559</v>
      </c>
      <c r="N360">
        <v>48.786436880127</v>
      </c>
      <c r="O360">
        <v>48.0166765826073</v>
      </c>
      <c r="P360">
        <v>-0.143097676391714</v>
      </c>
      <c r="Q360">
        <v>0.164799385462471</v>
      </c>
      <c r="R360">
        <v>0.989797939727051</v>
      </c>
      <c r="S360" t="s">
        <v>2028</v>
      </c>
      <c r="T360" t="s">
        <v>3312</v>
      </c>
      <c r="U360" t="s">
        <v>3312</v>
      </c>
      <c r="V360" t="s">
        <v>3312</v>
      </c>
      <c r="W360" t="s">
        <v>3672</v>
      </c>
      <c r="X360">
        <v>1</v>
      </c>
      <c r="Y360" t="s">
        <v>5311</v>
      </c>
      <c r="Z360" t="s">
        <v>6953</v>
      </c>
      <c r="AA360">
        <v>0.4805520834480771</v>
      </c>
      <c r="AB360">
        <f>HYPERLINK("Melting_Curves/meltCurve_P0A8R7_ycjF.pdf", "Melting_Curves/meltCurve_P0A8R7_ycjF.pdf")</f>
        <v>0</v>
      </c>
    </row>
    <row r="361" spans="1:28">
      <c r="A361" t="s">
        <v>387</v>
      </c>
      <c r="B361">
        <v>0.999984544473304</v>
      </c>
      <c r="C361">
        <v>1.18885462847226</v>
      </c>
      <c r="D361">
        <v>0.890553809521611</v>
      </c>
      <c r="E361">
        <v>0.929967573729476</v>
      </c>
      <c r="F361">
        <v>0.53421522158609</v>
      </c>
      <c r="G361">
        <v>0.462073321967001</v>
      </c>
      <c r="H361">
        <v>0.382180165888439</v>
      </c>
      <c r="I361">
        <v>0.238801558465834</v>
      </c>
      <c r="J361">
        <v>0.115209653867913</v>
      </c>
      <c r="K361">
        <v>0.164553781448908</v>
      </c>
      <c r="L361">
        <v>717.319486659531</v>
      </c>
      <c r="M361">
        <v>13.8892067203628</v>
      </c>
      <c r="N361">
        <v>52.7665709939697</v>
      </c>
      <c r="O361">
        <v>50.6105203709681</v>
      </c>
      <c r="P361">
        <v>-0.0598526642926744</v>
      </c>
      <c r="Q361">
        <v>0.127736489777303</v>
      </c>
      <c r="R361">
        <v>0.941316194534556</v>
      </c>
      <c r="S361" t="s">
        <v>2029</v>
      </c>
      <c r="T361" t="s">
        <v>3312</v>
      </c>
      <c r="U361" t="s">
        <v>3312</v>
      </c>
      <c r="V361" t="s">
        <v>3312</v>
      </c>
      <c r="W361" t="s">
        <v>3673</v>
      </c>
      <c r="X361">
        <v>1</v>
      </c>
      <c r="Y361" t="s">
        <v>5312</v>
      </c>
      <c r="Z361" t="s">
        <v>6954</v>
      </c>
      <c r="AA361">
        <v>0.5721726377473108</v>
      </c>
      <c r="AB361">
        <f>HYPERLINK("Melting_Curves/meltCurve_P0A8S1_argP.pdf", "Melting_Curves/meltCurve_P0A8S1_argP.pdf")</f>
        <v>0</v>
      </c>
    </row>
    <row r="362" spans="1:28">
      <c r="A362" t="s">
        <v>388</v>
      </c>
      <c r="B362">
        <v>0.999984544473304</v>
      </c>
      <c r="C362">
        <v>0.908355923513681</v>
      </c>
      <c r="D362">
        <v>0.972150931351887</v>
      </c>
      <c r="E362">
        <v>0.931569751893875</v>
      </c>
      <c r="F362">
        <v>0.80607284009042</v>
      </c>
      <c r="G362">
        <v>0.390202372191685</v>
      </c>
      <c r="H362">
        <v>0.194212732267632</v>
      </c>
      <c r="I362">
        <v>0.147798236482523</v>
      </c>
      <c r="J362">
        <v>0.114999210415024</v>
      </c>
      <c r="K362">
        <v>0.101136164810753</v>
      </c>
      <c r="L362">
        <v>1385.84513972306</v>
      </c>
      <c r="M362">
        <v>26.4640456454782</v>
      </c>
      <c r="N362">
        <v>52.8656078218532</v>
      </c>
      <c r="O362">
        <v>52.0708164073736</v>
      </c>
      <c r="P362">
        <v>-0.113028824602935</v>
      </c>
      <c r="Q362">
        <v>0.110424743664901</v>
      </c>
      <c r="R362">
        <v>0.992001085425196</v>
      </c>
      <c r="S362" t="s">
        <v>2030</v>
      </c>
      <c r="T362" t="s">
        <v>3312</v>
      </c>
      <c r="U362" t="s">
        <v>3312</v>
      </c>
      <c r="V362" t="s">
        <v>3312</v>
      </c>
      <c r="W362" t="s">
        <v>3674</v>
      </c>
      <c r="X362">
        <v>4</v>
      </c>
      <c r="Y362" t="s">
        <v>5313</v>
      </c>
      <c r="Z362" t="s">
        <v>6955</v>
      </c>
      <c r="AA362">
        <v>0.5732131466858483</v>
      </c>
      <c r="AB362">
        <f>HYPERLINK("Melting_Curves/meltCurve_P0A8T1_prmA.pdf", "Melting_Curves/meltCurve_P0A8T1_prmA.pdf")</f>
        <v>0</v>
      </c>
    </row>
    <row r="363" spans="1:28">
      <c r="A363" t="s">
        <v>389</v>
      </c>
      <c r="B363">
        <v>0.999984544473304</v>
      </c>
      <c r="C363">
        <v>1.0633985761972</v>
      </c>
      <c r="D363">
        <v>0.464639287456247</v>
      </c>
      <c r="E363">
        <v>0.204561956190507</v>
      </c>
      <c r="F363">
        <v>0.08633336411046411</v>
      </c>
      <c r="G363">
        <v>0.0698967691807945</v>
      </c>
      <c r="H363">
        <v>0.0372077838352748</v>
      </c>
      <c r="I363">
        <v>0.0237369199088134</v>
      </c>
      <c r="J363">
        <v>0.0180933483541824</v>
      </c>
      <c r="K363">
        <v>0.0168077964795372</v>
      </c>
      <c r="L363">
        <v>2113.31517854193</v>
      </c>
      <c r="M363">
        <v>49.3513985785371</v>
      </c>
      <c r="N363">
        <v>42.9355748760186</v>
      </c>
      <c r="O363">
        <v>42.7516535245067</v>
      </c>
      <c r="P363">
        <v>-0.270903974496844</v>
      </c>
      <c r="Q363">
        <v>0.0612965174129805</v>
      </c>
      <c r="R363">
        <v>0.97979516896343</v>
      </c>
      <c r="S363" t="s">
        <v>2031</v>
      </c>
      <c r="T363" t="s">
        <v>3312</v>
      </c>
      <c r="U363" t="s">
        <v>3312</v>
      </c>
      <c r="V363" t="s">
        <v>3312</v>
      </c>
      <c r="W363" t="s">
        <v>3675</v>
      </c>
      <c r="X363">
        <v>18</v>
      </c>
      <c r="Y363" t="s">
        <v>5314</v>
      </c>
      <c r="Z363" t="s">
        <v>6956</v>
      </c>
      <c r="AA363">
        <v>0.2452895718210087</v>
      </c>
      <c r="AB363">
        <f>HYPERLINK("Melting_Curves/meltCurve_P0A8T7_rpoC.pdf", "Melting_Curves/meltCurve_P0A8T7_rpoC.pdf")</f>
        <v>0</v>
      </c>
    </row>
    <row r="364" spans="1:28">
      <c r="A364" t="s">
        <v>390</v>
      </c>
      <c r="B364">
        <v>0.999984544473304</v>
      </c>
      <c r="C364">
        <v>0.58042563742824</v>
      </c>
      <c r="D364">
        <v>0.8087410685336059</v>
      </c>
      <c r="E364">
        <v>0.341896691777226</v>
      </c>
      <c r="F364">
        <v>0.1206387485812</v>
      </c>
      <c r="G364">
        <v>0.0808899857584979</v>
      </c>
      <c r="H364">
        <v>0.0459758883962401</v>
      </c>
      <c r="I364">
        <v>0.0341822612297523</v>
      </c>
      <c r="J364">
        <v>0.0339839438798385</v>
      </c>
      <c r="K364">
        <v>0.029117547469944</v>
      </c>
      <c r="L364">
        <v>571.397085504952</v>
      </c>
      <c r="M364">
        <v>12.8367936036354</v>
      </c>
      <c r="N364">
        <v>44.5124493577534</v>
      </c>
      <c r="O364">
        <v>43.473715266786</v>
      </c>
      <c r="P364">
        <v>-0.0738329868120824</v>
      </c>
      <c r="Q364">
        <v>0</v>
      </c>
      <c r="R364">
        <v>0.911786301847495</v>
      </c>
      <c r="S364" t="s">
        <v>2032</v>
      </c>
      <c r="T364" t="s">
        <v>3312</v>
      </c>
      <c r="U364" t="s">
        <v>3312</v>
      </c>
      <c r="V364" t="s">
        <v>3312</v>
      </c>
      <c r="W364" t="s">
        <v>3676</v>
      </c>
      <c r="X364">
        <v>1</v>
      </c>
      <c r="Y364" t="s">
        <v>5315</v>
      </c>
      <c r="Z364" t="s">
        <v>6957</v>
      </c>
      <c r="AA364">
        <v>0.2833927916083673</v>
      </c>
      <c r="AB364">
        <f>HYPERLINK("Melting_Curves/meltCurve_P0A8U0_syd.pdf", "Melting_Curves/meltCurve_P0A8U0_syd.pdf")</f>
        <v>0</v>
      </c>
    </row>
    <row r="365" spans="1:28">
      <c r="A365" t="s">
        <v>391</v>
      </c>
      <c r="B365">
        <v>0.999984544473304</v>
      </c>
      <c r="C365">
        <v>2.70555731407973</v>
      </c>
      <c r="D365">
        <v>2.21077524355078</v>
      </c>
      <c r="E365">
        <v>2.32856550433881</v>
      </c>
      <c r="F365">
        <v>1.39088180392962</v>
      </c>
      <c r="G365">
        <v>1.56728456536696</v>
      </c>
      <c r="H365">
        <v>0.784585934334241</v>
      </c>
      <c r="I365">
        <v>0.922512760936165</v>
      </c>
      <c r="J365">
        <v>0.567572113557952</v>
      </c>
      <c r="K365">
        <v>0.407742773569258</v>
      </c>
      <c r="L365">
        <v>2673.69582380472</v>
      </c>
      <c r="M365">
        <v>42.2812530145211</v>
      </c>
      <c r="N365">
        <v>65.04991220499269</v>
      </c>
      <c r="O365">
        <v>63.0950066326171</v>
      </c>
      <c r="P365">
        <v>-0.109529381968782</v>
      </c>
      <c r="Q365">
        <v>0.346211920710377</v>
      </c>
      <c r="R365">
        <v>-0.16932093803134</v>
      </c>
      <c r="S365" t="s">
        <v>2033</v>
      </c>
      <c r="T365" t="s">
        <v>3312</v>
      </c>
      <c r="U365" t="s">
        <v>3312</v>
      </c>
      <c r="V365" t="s">
        <v>3312</v>
      </c>
      <c r="W365" t="s">
        <v>3677</v>
      </c>
      <c r="X365">
        <v>2</v>
      </c>
      <c r="Y365" t="s">
        <v>5316</v>
      </c>
      <c r="Z365" t="s">
        <v>6958</v>
      </c>
      <c r="AA365">
        <v>0.9170926597257421</v>
      </c>
      <c r="AB365">
        <f>HYPERLINK("Melting_Curves/meltCurve_P0A8U2_yafD.pdf", "Melting_Curves/meltCurve_P0A8U2_yafD.pdf")</f>
        <v>0</v>
      </c>
    </row>
    <row r="366" spans="1:28">
      <c r="A366" t="s">
        <v>392</v>
      </c>
      <c r="B366">
        <v>0.999984544473304</v>
      </c>
      <c r="C366">
        <v>0.934089896740413</v>
      </c>
      <c r="D366">
        <v>0.7305788887647739</v>
      </c>
      <c r="E366">
        <v>0.931285294727889</v>
      </c>
      <c r="F366">
        <v>0.893575746485326</v>
      </c>
      <c r="G366">
        <v>0.771417017385544</v>
      </c>
      <c r="H366">
        <v>0.601341080077357</v>
      </c>
      <c r="I366">
        <v>0.634387988709594</v>
      </c>
      <c r="J366">
        <v>0.474044644135197</v>
      </c>
      <c r="K366">
        <v>0.597646226495791</v>
      </c>
      <c r="L366">
        <v>256.765455690788</v>
      </c>
      <c r="M366">
        <v>3.73367975936938</v>
      </c>
      <c r="O366">
        <v>55.1822191609786</v>
      </c>
      <c r="P366">
        <v>-0.0171857601482107</v>
      </c>
      <c r="Q366">
        <v>0</v>
      </c>
      <c r="R366">
        <v>0.763823828345934</v>
      </c>
      <c r="S366" t="s">
        <v>2034</v>
      </c>
      <c r="T366" t="s">
        <v>3312</v>
      </c>
      <c r="U366" t="s">
        <v>3312</v>
      </c>
      <c r="V366" t="s">
        <v>3312</v>
      </c>
      <c r="W366" t="s">
        <v>3678</v>
      </c>
      <c r="X366">
        <v>1</v>
      </c>
      <c r="Y366" t="s">
        <v>5317</v>
      </c>
      <c r="Z366" t="s">
        <v>6959</v>
      </c>
      <c r="AA366">
        <v>0.7606679963246298</v>
      </c>
      <c r="AB366">
        <f>HYPERLINK("Melting_Curves/meltCurve_P0A8U6_metJ.pdf", "Melting_Curves/meltCurve_P0A8U6_metJ.pdf")</f>
        <v>0</v>
      </c>
    </row>
    <row r="367" spans="1:28">
      <c r="A367" t="s">
        <v>393</v>
      </c>
      <c r="B367">
        <v>0.999984544473304</v>
      </c>
      <c r="C367">
        <v>0.8299720202773609</v>
      </c>
      <c r="D367">
        <v>0.811214652879265</v>
      </c>
      <c r="E367">
        <v>0.693235575301607</v>
      </c>
      <c r="F367">
        <v>0.772858364340097</v>
      </c>
      <c r="G367">
        <v>0.673082806180654</v>
      </c>
      <c r="H367">
        <v>0.531938418327609</v>
      </c>
      <c r="I367">
        <v>0.380093768900648</v>
      </c>
      <c r="J367">
        <v>0.187120045931109</v>
      </c>
      <c r="K367">
        <v>0.106731432597815</v>
      </c>
      <c r="L367">
        <v>403.185483227606</v>
      </c>
      <c r="M367">
        <v>7.22950098076561</v>
      </c>
      <c r="N367">
        <v>55.7694775952881</v>
      </c>
      <c r="O367">
        <v>51.9765551461816</v>
      </c>
      <c r="P367">
        <v>-0.0348301570744469</v>
      </c>
      <c r="Q367">
        <v>0</v>
      </c>
      <c r="R367">
        <v>0.890707559309136</v>
      </c>
      <c r="S367" t="s">
        <v>2035</v>
      </c>
      <c r="T367" t="s">
        <v>3312</v>
      </c>
      <c r="U367" t="s">
        <v>3312</v>
      </c>
      <c r="V367" t="s">
        <v>3312</v>
      </c>
      <c r="W367" t="s">
        <v>3679</v>
      </c>
      <c r="X367">
        <v>5</v>
      </c>
      <c r="Y367" t="s">
        <v>5318</v>
      </c>
      <c r="Z367" t="s">
        <v>6960</v>
      </c>
      <c r="AA367">
        <v>0.6215825459170152</v>
      </c>
      <c r="AB367">
        <f>HYPERLINK("Melting_Curves/meltCurve_P0A8V0_rbn.pdf", "Melting_Curves/meltCurve_P0A8V0_rbn.pdf")</f>
        <v>0</v>
      </c>
    </row>
    <row r="368" spans="1:28">
      <c r="A368" t="s">
        <v>394</v>
      </c>
      <c r="B368">
        <v>0.999984544473304</v>
      </c>
      <c r="C368">
        <v>1.28021901163738</v>
      </c>
      <c r="D368">
        <v>0.400722948691062</v>
      </c>
      <c r="E368">
        <v>0.157934307211207</v>
      </c>
      <c r="F368">
        <v>0.0729819348672523</v>
      </c>
      <c r="G368">
        <v>0.0482786383390078</v>
      </c>
      <c r="H368">
        <v>0.0340345649730388</v>
      </c>
      <c r="I368">
        <v>0.0235235666523845</v>
      </c>
      <c r="J368">
        <v>0.0168395407605047</v>
      </c>
      <c r="K368">
        <v>0.0198453773693012</v>
      </c>
      <c r="L368">
        <v>10726.551239123</v>
      </c>
      <c r="M368">
        <v>250</v>
      </c>
      <c r="N368">
        <v>42.9255703987661</v>
      </c>
      <c r="O368">
        <v>42.9034564830353</v>
      </c>
      <c r="P368">
        <v>-1.37904341397597</v>
      </c>
      <c r="Q368">
        <v>0.0533482745331439</v>
      </c>
      <c r="R368">
        <v>0.9507831468214361</v>
      </c>
      <c r="S368" t="s">
        <v>2036</v>
      </c>
      <c r="T368" t="s">
        <v>3312</v>
      </c>
      <c r="U368" t="s">
        <v>3312</v>
      </c>
      <c r="V368" t="s">
        <v>3312</v>
      </c>
      <c r="W368" t="s">
        <v>3675</v>
      </c>
      <c r="X368">
        <v>27</v>
      </c>
      <c r="Y368" t="s">
        <v>5319</v>
      </c>
      <c r="Z368" t="s">
        <v>6961</v>
      </c>
      <c r="AA368">
        <v>0.2397901942456383</v>
      </c>
      <c r="AB368">
        <f>HYPERLINK("Melting_Curves/meltCurve_P0A8V2_rpoB.pdf", "Melting_Curves/meltCurve_P0A8V2_rpoB.pdf")</f>
        <v>0</v>
      </c>
    </row>
    <row r="369" spans="1:28">
      <c r="A369" t="s">
        <v>395</v>
      </c>
      <c r="B369">
        <v>0.999984544473304</v>
      </c>
      <c r="C369">
        <v>0.873345410133456</v>
      </c>
      <c r="D369">
        <v>0.982531891538674</v>
      </c>
      <c r="E369">
        <v>0.945062852309286</v>
      </c>
      <c r="F369">
        <v>0.946800577651389</v>
      </c>
      <c r="G369">
        <v>0.718282169302658</v>
      </c>
      <c r="H369">
        <v>0.367482609562177</v>
      </c>
      <c r="I369">
        <v>0.144475599384965</v>
      </c>
      <c r="J369">
        <v>0.0918912406931041</v>
      </c>
      <c r="K369">
        <v>0.06316765412785991</v>
      </c>
      <c r="L369">
        <v>1339.0050041618</v>
      </c>
      <c r="M369">
        <v>24.016796438308</v>
      </c>
      <c r="N369">
        <v>55.9779935026673</v>
      </c>
      <c r="O369">
        <v>55.3706345579229</v>
      </c>
      <c r="P369">
        <v>-0.103446042402688</v>
      </c>
      <c r="Q369">
        <v>0.0460371722750554</v>
      </c>
      <c r="R369">
        <v>0.9870391522581971</v>
      </c>
      <c r="S369" t="s">
        <v>2037</v>
      </c>
      <c r="T369" t="s">
        <v>3312</v>
      </c>
      <c r="U369" t="s">
        <v>3312</v>
      </c>
      <c r="V369" t="s">
        <v>3312</v>
      </c>
      <c r="W369" t="s">
        <v>3680</v>
      </c>
      <c r="X369">
        <v>3</v>
      </c>
      <c r="Y369" t="s">
        <v>5320</v>
      </c>
      <c r="Z369" t="s">
        <v>6962</v>
      </c>
      <c r="AA369">
        <v>0.6506238025483557</v>
      </c>
      <c r="AB369">
        <f>HYPERLINK("Melting_Curves/meltCurve_P0A8V6_fadR.pdf", "Melting_Curves/meltCurve_P0A8V6_fadR.pdf")</f>
        <v>0</v>
      </c>
    </row>
    <row r="370" spans="1:28">
      <c r="A370" t="s">
        <v>396</v>
      </c>
      <c r="B370">
        <v>0.999984544473304</v>
      </c>
      <c r="C370">
        <v>0.817400220845977</v>
      </c>
      <c r="D370">
        <v>0.784414023513062</v>
      </c>
      <c r="E370">
        <v>0.762238099635331</v>
      </c>
      <c r="F370">
        <v>0.632479359401135</v>
      </c>
      <c r="G370">
        <v>0.410595313347036</v>
      </c>
      <c r="H370">
        <v>0.234920872173316</v>
      </c>
      <c r="I370">
        <v>0.148821413712807</v>
      </c>
      <c r="J370">
        <v>0.09648771912604261</v>
      </c>
      <c r="K370">
        <v>0.0813861848682961</v>
      </c>
      <c r="L370">
        <v>487.421744627712</v>
      </c>
      <c r="M370">
        <v>9.49955352819485</v>
      </c>
      <c r="N370">
        <v>51.3099632976255</v>
      </c>
      <c r="O370">
        <v>49.1905322415308</v>
      </c>
      <c r="P370">
        <v>-0.0483079415838308</v>
      </c>
      <c r="Q370">
        <v>0</v>
      </c>
      <c r="R370">
        <v>0.9687244679570119</v>
      </c>
      <c r="S370" t="s">
        <v>2038</v>
      </c>
      <c r="T370" t="s">
        <v>3312</v>
      </c>
      <c r="U370" t="s">
        <v>3312</v>
      </c>
      <c r="V370" t="s">
        <v>3312</v>
      </c>
      <c r="W370" t="s">
        <v>3681</v>
      </c>
      <c r="X370">
        <v>4</v>
      </c>
      <c r="Y370" t="s">
        <v>5321</v>
      </c>
      <c r="Z370" t="s">
        <v>6963</v>
      </c>
      <c r="AA370">
        <v>0.5073029137889227</v>
      </c>
      <c r="AB370">
        <f>HYPERLINK("Melting_Curves/meltCurve_P0A8W0_nanR.pdf", "Melting_Curves/meltCurve_P0A8W0_nanR.pdf")</f>
        <v>0</v>
      </c>
    </row>
    <row r="371" spans="1:28">
      <c r="A371" t="s">
        <v>397</v>
      </c>
      <c r="B371">
        <v>0.999984544473304</v>
      </c>
      <c r="C371">
        <v>1.00624577673723</v>
      </c>
      <c r="D371">
        <v>0.694695215423392</v>
      </c>
      <c r="E371">
        <v>0.843946748294122</v>
      </c>
      <c r="F371">
        <v>0.753136923440052</v>
      </c>
      <c r="G371">
        <v>0.501333338049302</v>
      </c>
      <c r="H371">
        <v>0.442114793491046</v>
      </c>
      <c r="I371">
        <v>0.307228126735382</v>
      </c>
      <c r="J371">
        <v>0.254568757683384</v>
      </c>
      <c r="K371">
        <v>0.215882928930197</v>
      </c>
      <c r="L371">
        <v>401.569475713109</v>
      </c>
      <c r="M371">
        <v>7.2939925700898</v>
      </c>
      <c r="N371">
        <v>55.0548334716821</v>
      </c>
      <c r="O371">
        <v>51.3693183321014</v>
      </c>
      <c r="P371">
        <v>-0.0355543802623477</v>
      </c>
      <c r="Q371">
        <v>0</v>
      </c>
      <c r="R371">
        <v>0.933020988986746</v>
      </c>
      <c r="S371" t="s">
        <v>2039</v>
      </c>
      <c r="T371" t="s">
        <v>3312</v>
      </c>
      <c r="U371" t="s">
        <v>3312</v>
      </c>
      <c r="V371" t="s">
        <v>3312</v>
      </c>
      <c r="W371" t="s">
        <v>3682</v>
      </c>
      <c r="X371">
        <v>4</v>
      </c>
      <c r="Y371" t="s">
        <v>5322</v>
      </c>
      <c r="Z371" t="s">
        <v>6964</v>
      </c>
      <c r="AA371">
        <v>0.6049407806185149</v>
      </c>
      <c r="AB371">
        <f>HYPERLINK("Melting_Curves/meltCurve_P0A8W2_slyA.pdf", "Melting_Curves/meltCurve_P0A8W2_slyA.pdf")</f>
        <v>0</v>
      </c>
    </row>
    <row r="372" spans="1:28">
      <c r="A372" t="s">
        <v>398</v>
      </c>
      <c r="B372">
        <v>0.999984544473304</v>
      </c>
      <c r="C372">
        <v>1.00490048545717</v>
      </c>
      <c r="D372">
        <v>1.12509080439648</v>
      </c>
      <c r="E372">
        <v>0.900196802234857</v>
      </c>
      <c r="F372">
        <v>1.05713800091507</v>
      </c>
      <c r="G372">
        <v>0.801749988907303</v>
      </c>
      <c r="H372">
        <v>0.403373816529377</v>
      </c>
      <c r="I372">
        <v>0.1870048674947</v>
      </c>
      <c r="J372">
        <v>0.0730330995619404</v>
      </c>
      <c r="K372">
        <v>0.09229170193020129</v>
      </c>
      <c r="L372">
        <v>1709.88963405603</v>
      </c>
      <c r="M372">
        <v>30.3829113143114</v>
      </c>
      <c r="N372">
        <v>56.5995899399043</v>
      </c>
      <c r="O372">
        <v>56.0358959566626</v>
      </c>
      <c r="P372">
        <v>-0.124806157899982</v>
      </c>
      <c r="Q372">
        <v>0.07927440054268881</v>
      </c>
      <c r="R372">
        <v>0.979565587767997</v>
      </c>
      <c r="S372" t="s">
        <v>2040</v>
      </c>
      <c r="T372" t="s">
        <v>3312</v>
      </c>
      <c r="U372" t="s">
        <v>3312</v>
      </c>
      <c r="V372" t="s">
        <v>3312</v>
      </c>
      <c r="W372" t="s">
        <v>3683</v>
      </c>
      <c r="X372">
        <v>2</v>
      </c>
      <c r="Y372" t="s">
        <v>5323</v>
      </c>
      <c r="Z372" t="s">
        <v>6965</v>
      </c>
      <c r="AA372">
        <v>0.6765075128001153</v>
      </c>
      <c r="AB372">
        <f>HYPERLINK("Melting_Curves/meltCurve_P0A8W5_yqgE.pdf", "Melting_Curves/meltCurve_P0A8W5_yqgE.pdf")</f>
        <v>0</v>
      </c>
    </row>
    <row r="373" spans="1:28">
      <c r="A373" t="s">
        <v>399</v>
      </c>
      <c r="B373">
        <v>0.999984544473304</v>
      </c>
      <c r="C373">
        <v>0.9246701469777771</v>
      </c>
      <c r="D373">
        <v>1.17031124524465</v>
      </c>
      <c r="E373">
        <v>1.06875629474295</v>
      </c>
      <c r="F373">
        <v>1.1241151487692</v>
      </c>
      <c r="G373">
        <v>1.03037951852918</v>
      </c>
      <c r="H373">
        <v>0.915479560437952</v>
      </c>
      <c r="I373">
        <v>0.587558828935418</v>
      </c>
      <c r="J373">
        <v>0.0434371509654654</v>
      </c>
      <c r="K373">
        <v>0.040774197206284</v>
      </c>
      <c r="L373">
        <v>3993.80266663195</v>
      </c>
      <c r="M373">
        <v>65.1807652566721</v>
      </c>
      <c r="N373">
        <v>61.3032147309445</v>
      </c>
      <c r="O373">
        <v>61.2151225923953</v>
      </c>
      <c r="P373">
        <v>-0.261949868751699</v>
      </c>
      <c r="Q373">
        <v>0.015949694346467</v>
      </c>
      <c r="R373">
        <v>0.9618566043889</v>
      </c>
      <c r="S373" t="s">
        <v>2041</v>
      </c>
      <c r="T373" t="s">
        <v>3312</v>
      </c>
      <c r="U373" t="s">
        <v>3312</v>
      </c>
      <c r="V373" t="s">
        <v>3312</v>
      </c>
      <c r="W373" t="s">
        <v>3684</v>
      </c>
      <c r="X373">
        <v>9</v>
      </c>
      <c r="Y373" t="s">
        <v>5324</v>
      </c>
      <c r="Z373" t="s">
        <v>6966</v>
      </c>
      <c r="AA373">
        <v>0.8135520606410925</v>
      </c>
      <c r="AB373">
        <f>HYPERLINK("Melting_Curves/meltCurve_P0A8W8_yfbU.pdf", "Melting_Curves/meltCurve_P0A8W8_yfbU.pdf")</f>
        <v>0</v>
      </c>
    </row>
    <row r="374" spans="1:28">
      <c r="A374" t="s">
        <v>400</v>
      </c>
      <c r="B374">
        <v>0.999984544473304</v>
      </c>
      <c r="C374">
        <v>0.8183680473520391</v>
      </c>
      <c r="D374">
        <v>0.937439440166681</v>
      </c>
      <c r="E374">
        <v>1.03589065457665</v>
      </c>
      <c r="F374">
        <v>1.09388763580269</v>
      </c>
      <c r="G374">
        <v>0.882503872828824</v>
      </c>
      <c r="H374">
        <v>0.83395708800739</v>
      </c>
      <c r="I374">
        <v>0.774568240653554</v>
      </c>
      <c r="J374">
        <v>0.580045124898542</v>
      </c>
      <c r="K374">
        <v>0.732987273969089</v>
      </c>
      <c r="L374">
        <v>1371.90267597337</v>
      </c>
      <c r="M374">
        <v>23.9856250287251</v>
      </c>
      <c r="O374">
        <v>56.8037197682009</v>
      </c>
      <c r="P374">
        <v>-0.0356305938935079</v>
      </c>
      <c r="Q374">
        <v>0.66247801463034</v>
      </c>
      <c r="R374">
        <v>0.673841527283595</v>
      </c>
      <c r="S374" t="s">
        <v>2042</v>
      </c>
      <c r="T374" t="s">
        <v>3312</v>
      </c>
      <c r="U374" t="s">
        <v>3312</v>
      </c>
      <c r="V374" t="s">
        <v>3312</v>
      </c>
      <c r="W374" t="s">
        <v>3685</v>
      </c>
      <c r="X374">
        <v>11</v>
      </c>
      <c r="Y374" t="s">
        <v>5325</v>
      </c>
      <c r="Z374" t="s">
        <v>6967</v>
      </c>
      <c r="AA374">
        <v>0.8922695265306646</v>
      </c>
      <c r="AB374">
        <f>HYPERLINK("Melting_Curves/meltCurve_P0A8X0_yjgA.pdf", "Melting_Curves/meltCurve_P0A8X0_yjgA.pdf")</f>
        <v>0</v>
      </c>
    </row>
    <row r="375" spans="1:28">
      <c r="A375" t="s">
        <v>401</v>
      </c>
      <c r="B375">
        <v>0.999984544473304</v>
      </c>
      <c r="C375">
        <v>0.938363521728579</v>
      </c>
      <c r="D375">
        <v>0.914363608480272</v>
      </c>
      <c r="E375">
        <v>0.992591639613427</v>
      </c>
      <c r="F375">
        <v>1.24596428070862</v>
      </c>
      <c r="G375">
        <v>0.951950020739472</v>
      </c>
      <c r="H375">
        <v>0.994715483519141</v>
      </c>
      <c r="I375">
        <v>0.983710353298428</v>
      </c>
      <c r="J375">
        <v>0.734452179343457</v>
      </c>
      <c r="K375">
        <v>0.773745676191107</v>
      </c>
      <c r="L375">
        <v>15000</v>
      </c>
      <c r="M375">
        <v>243.257743693484</v>
      </c>
      <c r="O375">
        <v>61.6588337592936</v>
      </c>
      <c r="P375">
        <v>-0.242543320056411</v>
      </c>
      <c r="Q375">
        <v>0.7540890514340181</v>
      </c>
      <c r="R375">
        <v>0.569867735644098</v>
      </c>
      <c r="S375" t="s">
        <v>2043</v>
      </c>
      <c r="T375" t="s">
        <v>3312</v>
      </c>
      <c r="U375" t="s">
        <v>3312</v>
      </c>
      <c r="V375" t="s">
        <v>3312</v>
      </c>
      <c r="W375" t="s">
        <v>3686</v>
      </c>
      <c r="X375">
        <v>5</v>
      </c>
      <c r="Y375" t="s">
        <v>5326</v>
      </c>
      <c r="Z375" t="s">
        <v>6968</v>
      </c>
      <c r="AA375">
        <v>0.9562804743042157</v>
      </c>
      <c r="AB375">
        <f>HYPERLINK("Melting_Curves/meltCurve_P0A8X2_yceI.pdf", "Melting_Curves/meltCurve_P0A8X2_yceI.pdf")</f>
        <v>0</v>
      </c>
    </row>
    <row r="376" spans="1:28">
      <c r="A376" t="s">
        <v>402</v>
      </c>
      <c r="B376">
        <v>0.999984544473304</v>
      </c>
      <c r="C376">
        <v>0.8906708388265711</v>
      </c>
      <c r="D376">
        <v>0.967574343743222</v>
      </c>
      <c r="E376">
        <v>1.0380982194029</v>
      </c>
      <c r="F376">
        <v>0.91245907562128</v>
      </c>
      <c r="G376">
        <v>0.387222687174165</v>
      </c>
      <c r="H376">
        <v>0.13351042859226</v>
      </c>
      <c r="I376">
        <v>0.075491848243984</v>
      </c>
      <c r="J376">
        <v>0.0536635339130479</v>
      </c>
      <c r="K376">
        <v>0.0544275327536711</v>
      </c>
      <c r="L376">
        <v>2098.43728960847</v>
      </c>
      <c r="M376">
        <v>39.6108055316736</v>
      </c>
      <c r="N376">
        <v>53.1656574426105</v>
      </c>
      <c r="O376">
        <v>52.8419183678382</v>
      </c>
      <c r="P376">
        <v>-0.175079539711711</v>
      </c>
      <c r="Q376">
        <v>0.06575839999325681</v>
      </c>
      <c r="R376">
        <v>0.991081664927481</v>
      </c>
      <c r="S376" t="s">
        <v>2044</v>
      </c>
      <c r="T376" t="s">
        <v>3312</v>
      </c>
      <c r="U376" t="s">
        <v>3312</v>
      </c>
      <c r="V376" t="s">
        <v>3312</v>
      </c>
      <c r="W376" t="s">
        <v>3687</v>
      </c>
      <c r="X376">
        <v>6</v>
      </c>
      <c r="Y376" t="s">
        <v>5327</v>
      </c>
      <c r="Z376" t="s">
        <v>6969</v>
      </c>
      <c r="AA376">
        <v>0.5667575557954059</v>
      </c>
      <c r="AB376">
        <f>HYPERLINK("Melting_Curves/meltCurve_P0A8Y3_yihX.pdf", "Melting_Curves/meltCurve_P0A8Y3_yihX.pdf")</f>
        <v>0</v>
      </c>
    </row>
    <row r="377" spans="1:28">
      <c r="A377" t="s">
        <v>403</v>
      </c>
      <c r="B377">
        <v>0.999984544473304</v>
      </c>
      <c r="C377">
        <v>0.696031622450145</v>
      </c>
      <c r="D377">
        <v>0.752384632271928</v>
      </c>
      <c r="E377">
        <v>0.279603625166411</v>
      </c>
      <c r="F377">
        <v>0.113780543942779</v>
      </c>
      <c r="G377">
        <v>0.0745730501402041</v>
      </c>
      <c r="H377">
        <v>0.0643422494544325</v>
      </c>
      <c r="I377">
        <v>0.0385069490612635</v>
      </c>
      <c r="J377">
        <v>0.043478609380314</v>
      </c>
      <c r="K377">
        <v>0.0407709707712996</v>
      </c>
      <c r="L377">
        <v>700.489492967688</v>
      </c>
      <c r="M377">
        <v>15.8475269708594</v>
      </c>
      <c r="N377">
        <v>44.3446767693146</v>
      </c>
      <c r="O377">
        <v>43.515933842209</v>
      </c>
      <c r="P377">
        <v>-0.08878584461180709</v>
      </c>
      <c r="Q377">
        <v>0.0248862684917676</v>
      </c>
      <c r="R377">
        <v>0.960182427058155</v>
      </c>
      <c r="S377" t="s">
        <v>2045</v>
      </c>
      <c r="T377" t="s">
        <v>3312</v>
      </c>
      <c r="U377" t="s">
        <v>3312</v>
      </c>
      <c r="V377" t="s">
        <v>3312</v>
      </c>
      <c r="W377" t="s">
        <v>3688</v>
      </c>
      <c r="X377">
        <v>3</v>
      </c>
      <c r="Y377" t="s">
        <v>5328</v>
      </c>
      <c r="Z377" t="s">
        <v>6970</v>
      </c>
      <c r="AA377">
        <v>0.2803614357673471</v>
      </c>
      <c r="AB377">
        <f>HYPERLINK("Melting_Curves/meltCurve_P0A8Y5_yidA.pdf", "Melting_Curves/meltCurve_P0A8Y5_yidA.pdf")</f>
        <v>0</v>
      </c>
    </row>
    <row r="378" spans="1:28">
      <c r="A378" t="s">
        <v>404</v>
      </c>
      <c r="B378">
        <v>0.999984544473304</v>
      </c>
      <c r="C378">
        <v>1.003554525419</v>
      </c>
      <c r="D378">
        <v>0.523435339872131</v>
      </c>
      <c r="E378">
        <v>0.808236336639384</v>
      </c>
      <c r="F378">
        <v>0.407308773198345</v>
      </c>
      <c r="G378">
        <v>0.302460563575058</v>
      </c>
      <c r="H378">
        <v>0.210045288962619</v>
      </c>
      <c r="I378">
        <v>0.181781785477604</v>
      </c>
      <c r="J378">
        <v>0.0975338421897551</v>
      </c>
      <c r="K378">
        <v>0.104987242965448</v>
      </c>
      <c r="L378">
        <v>442.559901479449</v>
      </c>
      <c r="M378">
        <v>9.03587046221009</v>
      </c>
      <c r="N378">
        <v>49.1346674184069</v>
      </c>
      <c r="O378">
        <v>46.7577822771713</v>
      </c>
      <c r="P378">
        <v>-0.0476605966925022</v>
      </c>
      <c r="Q378">
        <v>0.0141909493614606</v>
      </c>
      <c r="R378">
        <v>0.892693474791761</v>
      </c>
      <c r="S378" t="s">
        <v>2046</v>
      </c>
      <c r="T378" t="s">
        <v>3312</v>
      </c>
      <c r="U378" t="s">
        <v>3312</v>
      </c>
      <c r="V378" t="s">
        <v>3312</v>
      </c>
      <c r="W378" t="s">
        <v>3689</v>
      </c>
      <c r="X378">
        <v>1</v>
      </c>
      <c r="Y378" t="s">
        <v>5329</v>
      </c>
      <c r="Z378" t="s">
        <v>6971</v>
      </c>
      <c r="AA378">
        <v>0.4486523132172163</v>
      </c>
      <c r="AB378">
        <f>HYPERLINK("Melting_Curves/meltCurve_P0A8Z0_yciA.pdf", "Melting_Curves/meltCurve_P0A8Z0_yciA.pdf")</f>
        <v>0</v>
      </c>
    </row>
    <row r="379" spans="1:28">
      <c r="A379" t="s">
        <v>405</v>
      </c>
      <c r="B379">
        <v>0.999984544473304</v>
      </c>
      <c r="C379">
        <v>0.791894880006745</v>
      </c>
      <c r="D379">
        <v>1.06427442091406</v>
      </c>
      <c r="E379">
        <v>0.989994149133343</v>
      </c>
      <c r="F379">
        <v>0.76354734904233</v>
      </c>
      <c r="G379">
        <v>0.437077243000695</v>
      </c>
      <c r="H379">
        <v>0.148015380463363</v>
      </c>
      <c r="I379">
        <v>0.0736772802611899</v>
      </c>
      <c r="J379">
        <v>0.0529662122917544</v>
      </c>
      <c r="K379">
        <v>0.0516574740758963</v>
      </c>
      <c r="L379">
        <v>1269.22323191376</v>
      </c>
      <c r="M379">
        <v>24.0218506530951</v>
      </c>
      <c r="N379">
        <v>53.0142451459563</v>
      </c>
      <c r="O379">
        <v>52.4741224427308</v>
      </c>
      <c r="P379">
        <v>-0.110012623788132</v>
      </c>
      <c r="Q379">
        <v>0.0387543461370065</v>
      </c>
      <c r="R379">
        <v>0.970011356472159</v>
      </c>
      <c r="S379" t="s">
        <v>2047</v>
      </c>
      <c r="T379" t="s">
        <v>3312</v>
      </c>
      <c r="U379" t="s">
        <v>3312</v>
      </c>
      <c r="V379" t="s">
        <v>3312</v>
      </c>
      <c r="W379" t="s">
        <v>3690</v>
      </c>
      <c r="X379">
        <v>7</v>
      </c>
      <c r="Y379" t="s">
        <v>5330</v>
      </c>
      <c r="Z379" t="s">
        <v>6972</v>
      </c>
      <c r="AA379">
        <v>0.5552745933211274</v>
      </c>
      <c r="AB379">
        <f>HYPERLINK("Melting_Curves/meltCurve_P0A901_blc.pdf", "Melting_Curves/meltCurve_P0A901_blc.pdf")</f>
        <v>0</v>
      </c>
    </row>
    <row r="380" spans="1:28">
      <c r="A380" t="s">
        <v>406</v>
      </c>
      <c r="B380">
        <v>0.999984544473304</v>
      </c>
      <c r="C380">
        <v>0.94672557782439</v>
      </c>
      <c r="D380">
        <v>0.910920402565713</v>
      </c>
      <c r="E380">
        <v>0.929546841623236</v>
      </c>
      <c r="F380">
        <v>1.07701436905391</v>
      </c>
      <c r="G380">
        <v>0.897682803685943</v>
      </c>
      <c r="H380">
        <v>0.97109040757559</v>
      </c>
      <c r="I380">
        <v>0.88189126775532</v>
      </c>
      <c r="J380">
        <v>0.754192334975602</v>
      </c>
      <c r="K380">
        <v>0.628314950779945</v>
      </c>
      <c r="L380">
        <v>938.886387438576</v>
      </c>
      <c r="M380">
        <v>13.4871775856276</v>
      </c>
      <c r="Q380">
        <v>0</v>
      </c>
      <c r="R380">
        <v>0.792335269728665</v>
      </c>
      <c r="S380" t="s">
        <v>2048</v>
      </c>
      <c r="T380" t="s">
        <v>3312</v>
      </c>
      <c r="U380" t="s">
        <v>3312</v>
      </c>
      <c r="V380" t="s">
        <v>3312</v>
      </c>
      <c r="W380" t="s">
        <v>3691</v>
      </c>
      <c r="X380">
        <v>7</v>
      </c>
      <c r="Y380" t="s">
        <v>5331</v>
      </c>
      <c r="Z380" t="s">
        <v>6973</v>
      </c>
      <c r="AA380">
        <v>0.9357456091627647</v>
      </c>
      <c r="AB380">
        <f>HYPERLINK("Melting_Curves/meltCurve_P0A903_bamC.pdf", "Melting_Curves/meltCurve_P0A903_bamC.pdf")</f>
        <v>0</v>
      </c>
    </row>
    <row r="381" spans="1:28">
      <c r="A381" t="s">
        <v>407</v>
      </c>
      <c r="B381">
        <v>0.999984544473304</v>
      </c>
      <c r="C381">
        <v>1.42520980480715</v>
      </c>
      <c r="D381">
        <v>1.62384055243902</v>
      </c>
      <c r="E381">
        <v>2.9026081737961</v>
      </c>
      <c r="F381">
        <v>3.4264728320166</v>
      </c>
      <c r="G381">
        <v>4.03015671938287</v>
      </c>
      <c r="H381">
        <v>3.81642079632871</v>
      </c>
      <c r="I381">
        <v>3.88827463571096</v>
      </c>
      <c r="J381">
        <v>3.36686015837294</v>
      </c>
      <c r="K381">
        <v>3.68524176384836</v>
      </c>
      <c r="S381" t="s">
        <v>2049</v>
      </c>
      <c r="T381" t="s">
        <v>3312</v>
      </c>
      <c r="U381" t="s">
        <v>3313</v>
      </c>
      <c r="V381" t="s">
        <v>3312</v>
      </c>
      <c r="W381" t="s">
        <v>3692</v>
      </c>
      <c r="X381">
        <v>1</v>
      </c>
      <c r="Y381" t="s">
        <v>5332</v>
      </c>
      <c r="Z381" t="s">
        <v>6974</v>
      </c>
      <c r="AB381">
        <f>HYPERLINK("Melting_Curves/meltCurve_P0A905_slyB.pdf", "Melting_Curves/meltCurve_P0A905_slyB.pdf")</f>
        <v>0</v>
      </c>
    </row>
    <row r="382" spans="1:28">
      <c r="A382" t="s">
        <v>408</v>
      </c>
      <c r="B382">
        <v>0.999984544473304</v>
      </c>
      <c r="C382">
        <v>1.15565766266584</v>
      </c>
      <c r="D382">
        <v>1.17006017927976</v>
      </c>
      <c r="E382">
        <v>1.47884926362236</v>
      </c>
      <c r="F382">
        <v>1.7697289136678</v>
      </c>
      <c r="G382">
        <v>1.74499622099652</v>
      </c>
      <c r="H382">
        <v>1.84408224673479</v>
      </c>
      <c r="I382">
        <v>1.81046122968979</v>
      </c>
      <c r="J382">
        <v>1.41772513476981</v>
      </c>
      <c r="K382">
        <v>1.50029045514584</v>
      </c>
      <c r="L382">
        <v>1677.39468536694</v>
      </c>
      <c r="M382">
        <v>38.5898524761836</v>
      </c>
      <c r="O382">
        <v>43.3510129758508</v>
      </c>
      <c r="P382">
        <v>0.111271750564997</v>
      </c>
      <c r="Q382">
        <v>1.5</v>
      </c>
      <c r="R382">
        <v>0.546726335920249</v>
      </c>
      <c r="S382" t="s">
        <v>2050</v>
      </c>
      <c r="T382" t="s">
        <v>3312</v>
      </c>
      <c r="U382" t="s">
        <v>3312</v>
      </c>
      <c r="V382" t="s">
        <v>3312</v>
      </c>
      <c r="W382" t="s">
        <v>3693</v>
      </c>
      <c r="X382">
        <v>16</v>
      </c>
      <c r="Y382" t="s">
        <v>5333</v>
      </c>
      <c r="Z382" t="s">
        <v>6975</v>
      </c>
      <c r="AA382">
        <v>1.390581637747783</v>
      </c>
      <c r="AB382">
        <f>HYPERLINK("Melting_Curves/meltCurve_P0A910_ompA.pdf", "Melting_Curves/meltCurve_P0A910_ompA.pdf")</f>
        <v>0</v>
      </c>
    </row>
    <row r="383" spans="1:28">
      <c r="A383" t="s">
        <v>409</v>
      </c>
      <c r="B383">
        <v>0.999984544473304</v>
      </c>
      <c r="C383">
        <v>0.941739405383182</v>
      </c>
      <c r="D383">
        <v>0.850782858754748</v>
      </c>
      <c r="E383">
        <v>0.94554595408663</v>
      </c>
      <c r="F383">
        <v>1.19444913175218</v>
      </c>
      <c r="G383">
        <v>0.967060306418104</v>
      </c>
      <c r="H383">
        <v>1.20749798529783</v>
      </c>
      <c r="I383">
        <v>1.04937311177846</v>
      </c>
      <c r="J383">
        <v>0.929834157719109</v>
      </c>
      <c r="K383">
        <v>0.730029384372025</v>
      </c>
      <c r="L383">
        <v>15000</v>
      </c>
      <c r="M383">
        <v>232.962715559566</v>
      </c>
      <c r="O383">
        <v>64.38323960831561</v>
      </c>
      <c r="P383">
        <v>-0.244241539189032</v>
      </c>
      <c r="Q383">
        <v>0.729998652601676</v>
      </c>
      <c r="R383">
        <v>0.397087124448219</v>
      </c>
      <c r="S383" t="s">
        <v>2051</v>
      </c>
      <c r="T383" t="s">
        <v>3312</v>
      </c>
      <c r="U383" t="s">
        <v>3312</v>
      </c>
      <c r="V383" t="s">
        <v>3312</v>
      </c>
      <c r="W383" t="s">
        <v>3694</v>
      </c>
      <c r="X383">
        <v>4</v>
      </c>
      <c r="Y383" t="s">
        <v>5334</v>
      </c>
      <c r="Z383" t="s">
        <v>6976</v>
      </c>
      <c r="AA383">
        <v>0.9765265822058187</v>
      </c>
      <c r="AB383">
        <f>HYPERLINK("Melting_Curves/meltCurve_P0A912_pal.pdf", "Melting_Curves/meltCurve_P0A912_pal.pdf")</f>
        <v>0</v>
      </c>
    </row>
    <row r="384" spans="1:28">
      <c r="A384" t="s">
        <v>410</v>
      </c>
      <c r="B384">
        <v>0.999984544473304</v>
      </c>
      <c r="C384">
        <v>0.878768493403091</v>
      </c>
      <c r="D384">
        <v>1.19995574831212</v>
      </c>
      <c r="E384">
        <v>1.21703481774202</v>
      </c>
      <c r="F384">
        <v>1.59754412106135</v>
      </c>
      <c r="G384">
        <v>1.21547618006413</v>
      </c>
      <c r="H384">
        <v>1.39466391102164</v>
      </c>
      <c r="I384">
        <v>1.47236614628462</v>
      </c>
      <c r="J384">
        <v>1.48669022473593</v>
      </c>
      <c r="K384">
        <v>1.23051438684235</v>
      </c>
      <c r="L384">
        <v>1281.96781321316</v>
      </c>
      <c r="M384">
        <v>29.0934587702021</v>
      </c>
      <c r="O384">
        <v>43.8571734524319</v>
      </c>
      <c r="P384">
        <v>0.06454067408347119</v>
      </c>
      <c r="Q384">
        <v>1.38916661123771</v>
      </c>
      <c r="R384">
        <v>0.654780509534077</v>
      </c>
      <c r="S384" t="s">
        <v>2052</v>
      </c>
      <c r="T384" t="s">
        <v>3312</v>
      </c>
      <c r="U384" t="s">
        <v>3312</v>
      </c>
      <c r="V384" t="s">
        <v>3312</v>
      </c>
      <c r="W384" t="s">
        <v>3695</v>
      </c>
      <c r="X384">
        <v>1</v>
      </c>
      <c r="Y384" t="s">
        <v>5335</v>
      </c>
      <c r="Z384" t="s">
        <v>6977</v>
      </c>
      <c r="AA384">
        <v>1.295226032782477</v>
      </c>
      <c r="AB384">
        <f>HYPERLINK("Melting_Curves/meltCurve_P0A915_ompW.pdf", "Melting_Curves/meltCurve_P0A915_ompW.pdf")</f>
        <v>0</v>
      </c>
    </row>
    <row r="385" spans="1:28">
      <c r="A385" t="s">
        <v>411</v>
      </c>
      <c r="B385">
        <v>0.999984544473304</v>
      </c>
      <c r="C385">
        <v>1.25359557835975</v>
      </c>
      <c r="D385">
        <v>1.4487194583556</v>
      </c>
      <c r="E385">
        <v>1.52521986493141</v>
      </c>
      <c r="F385">
        <v>1.89635797515171</v>
      </c>
      <c r="G385">
        <v>1.60303747156852</v>
      </c>
      <c r="H385">
        <v>1.71673797039824</v>
      </c>
      <c r="I385">
        <v>1.57153669338042</v>
      </c>
      <c r="J385">
        <v>1.39345887285786</v>
      </c>
      <c r="K385">
        <v>1.12217680288357</v>
      </c>
      <c r="L385">
        <v>1618.70903547292</v>
      </c>
      <c r="M385">
        <v>40.5406551439292</v>
      </c>
      <c r="O385">
        <v>39.8312649212076</v>
      </c>
      <c r="P385">
        <v>0.127226500239437</v>
      </c>
      <c r="Q385">
        <v>1.5</v>
      </c>
      <c r="R385">
        <v>0.435665185640927</v>
      </c>
      <c r="S385" t="s">
        <v>2053</v>
      </c>
      <c r="T385" t="s">
        <v>3312</v>
      </c>
      <c r="U385" t="s">
        <v>3312</v>
      </c>
      <c r="V385" t="s">
        <v>3312</v>
      </c>
      <c r="W385" t="s">
        <v>3696</v>
      </c>
      <c r="X385">
        <v>5</v>
      </c>
      <c r="Y385" t="s">
        <v>5336</v>
      </c>
      <c r="Z385" t="s">
        <v>6978</v>
      </c>
      <c r="AA385">
        <v>1.44932132774803</v>
      </c>
      <c r="AB385">
        <f>HYPERLINK("Melting_Curves/meltCurve_P0A917_ompX.pdf", "Melting_Curves/meltCurve_P0A917_ompX.pdf")</f>
        <v>0</v>
      </c>
    </row>
    <row r="386" spans="1:28">
      <c r="A386" t="s">
        <v>412</v>
      </c>
      <c r="B386">
        <v>0.999984544473304</v>
      </c>
      <c r="C386">
        <v>1.14336224120153</v>
      </c>
      <c r="D386">
        <v>0.525179673324863</v>
      </c>
      <c r="E386">
        <v>0.909260485342519</v>
      </c>
      <c r="F386">
        <v>0.730547594245364</v>
      </c>
      <c r="G386">
        <v>0.405341349316792</v>
      </c>
      <c r="H386">
        <v>0.734290122408176</v>
      </c>
      <c r="I386">
        <v>0.443467129260862</v>
      </c>
      <c r="J386">
        <v>0.236791090264966</v>
      </c>
      <c r="K386">
        <v>0.192130108265758</v>
      </c>
      <c r="L386">
        <v>356.613345938042</v>
      </c>
      <c r="M386">
        <v>6.29172077349151</v>
      </c>
      <c r="N386">
        <v>56.6797825293445</v>
      </c>
      <c r="O386">
        <v>51.7618541035142</v>
      </c>
      <c r="P386">
        <v>-0.0304708377059501</v>
      </c>
      <c r="Q386">
        <v>0</v>
      </c>
      <c r="R386">
        <v>0.681761432114702</v>
      </c>
      <c r="S386" t="s">
        <v>2054</v>
      </c>
      <c r="T386" t="s">
        <v>3312</v>
      </c>
      <c r="U386" t="s">
        <v>3312</v>
      </c>
      <c r="V386" t="s">
        <v>3312</v>
      </c>
      <c r="W386" t="s">
        <v>3697</v>
      </c>
      <c r="X386">
        <v>1</v>
      </c>
      <c r="Y386" t="s">
        <v>5337</v>
      </c>
      <c r="Z386" t="s">
        <v>6979</v>
      </c>
      <c r="AA386">
        <v>0.6343564434588882</v>
      </c>
      <c r="AB386">
        <f>HYPERLINK("Melting_Curves/meltCurve_P0A927_tsx.pdf", "Melting_Curves/meltCurve_P0A927_tsx.pdf")</f>
        <v>0</v>
      </c>
    </row>
    <row r="387" spans="1:28">
      <c r="A387" t="s">
        <v>413</v>
      </c>
      <c r="B387">
        <v>0.999984544473304</v>
      </c>
      <c r="C387">
        <v>0.7296881025113831</v>
      </c>
      <c r="D387">
        <v>1.19070575720509</v>
      </c>
      <c r="E387">
        <v>1.13802088253274</v>
      </c>
      <c r="F387">
        <v>1.12762856153623</v>
      </c>
      <c r="G387">
        <v>1.11681727174684</v>
      </c>
      <c r="H387">
        <v>1.00503158799195</v>
      </c>
      <c r="I387">
        <v>0.9986910011392049</v>
      </c>
      <c r="J387">
        <v>0.8739075350365491</v>
      </c>
      <c r="K387">
        <v>0.79259608902288</v>
      </c>
      <c r="L387">
        <v>6931.98936455585</v>
      </c>
      <c r="M387">
        <v>108.566724543868</v>
      </c>
      <c r="O387">
        <v>63.8283807059366</v>
      </c>
      <c r="P387">
        <v>-0.08872959362794861</v>
      </c>
      <c r="Q387">
        <v>0.791336946543701</v>
      </c>
      <c r="R387">
        <v>0.270809523687374</v>
      </c>
      <c r="S387" t="s">
        <v>2055</v>
      </c>
      <c r="T387" t="s">
        <v>3312</v>
      </c>
      <c r="U387" t="s">
        <v>3312</v>
      </c>
      <c r="V387" t="s">
        <v>3312</v>
      </c>
      <c r="W387" t="s">
        <v>3698</v>
      </c>
      <c r="X387">
        <v>1</v>
      </c>
      <c r="Y387" t="s">
        <v>5338</v>
      </c>
      <c r="Z387" t="s">
        <v>6980</v>
      </c>
      <c r="AA387">
        <v>0.9781869314071795</v>
      </c>
      <c r="AB387">
        <f>HYPERLINK("Melting_Curves/meltCurve_P0A937_bamE.pdf", "Melting_Curves/meltCurve_P0A937_bamE.pdf")</f>
        <v>0</v>
      </c>
    </row>
    <row r="388" spans="1:28">
      <c r="A388" t="s">
        <v>414</v>
      </c>
      <c r="B388">
        <v>0.999984544473304</v>
      </c>
      <c r="C388">
        <v>1.29112637256275</v>
      </c>
      <c r="D388">
        <v>0.903642652642189</v>
      </c>
      <c r="E388">
        <v>1.25845919265476</v>
      </c>
      <c r="F388">
        <v>0.939520422569926</v>
      </c>
      <c r="G388">
        <v>0.509902279747907</v>
      </c>
      <c r="H388">
        <v>0.250000856035538</v>
      </c>
      <c r="I388">
        <v>0.19009494773048</v>
      </c>
      <c r="J388">
        <v>0.142099749692054</v>
      </c>
      <c r="K388">
        <v>0.131003696509753</v>
      </c>
      <c r="L388">
        <v>2079.41111765901</v>
      </c>
      <c r="M388">
        <v>38.9227684675524</v>
      </c>
      <c r="N388">
        <v>53.9615789508076</v>
      </c>
      <c r="O388">
        <v>53.2835915937138</v>
      </c>
      <c r="P388">
        <v>-0.153273119880969</v>
      </c>
      <c r="Q388">
        <v>0.160704772680765</v>
      </c>
      <c r="R388">
        <v>0.915892108614822</v>
      </c>
      <c r="S388" t="s">
        <v>2056</v>
      </c>
      <c r="T388" t="s">
        <v>3312</v>
      </c>
      <c r="U388" t="s">
        <v>3312</v>
      </c>
      <c r="V388" t="s">
        <v>3312</v>
      </c>
      <c r="W388" t="s">
        <v>3699</v>
      </c>
      <c r="X388">
        <v>15</v>
      </c>
      <c r="Y388" t="s">
        <v>5339</v>
      </c>
      <c r="Z388" t="s">
        <v>6981</v>
      </c>
      <c r="AA388">
        <v>0.6234433220982848</v>
      </c>
      <c r="AB388">
        <f>HYPERLINK("Melting_Curves/meltCurve_P0A940_bamA.pdf", "Melting_Curves/meltCurve_P0A940_bamA.pdf")</f>
        <v>0</v>
      </c>
    </row>
    <row r="389" spans="1:28">
      <c r="A389" t="s">
        <v>415</v>
      </c>
      <c r="B389">
        <v>0.999984544473304</v>
      </c>
      <c r="C389">
        <v>0.90813715420205</v>
      </c>
      <c r="D389">
        <v>0.891236176450995</v>
      </c>
      <c r="E389">
        <v>0.885805580958412</v>
      </c>
      <c r="F389">
        <v>0.980242979759011</v>
      </c>
      <c r="G389">
        <v>0.8711032272892</v>
      </c>
      <c r="H389">
        <v>0.6742784217007119</v>
      </c>
      <c r="I389">
        <v>0.645881961259455</v>
      </c>
      <c r="J389">
        <v>0.489882740099751</v>
      </c>
      <c r="K389">
        <v>0.5092985043339699</v>
      </c>
      <c r="L389">
        <v>432.389938541955</v>
      </c>
      <c r="M389">
        <v>6.55836558375553</v>
      </c>
      <c r="N389">
        <v>65.92952445725371</v>
      </c>
      <c r="O389">
        <v>60.6059594538257</v>
      </c>
      <c r="P389">
        <v>-0.0271169133761143</v>
      </c>
      <c r="Q389">
        <v>0</v>
      </c>
      <c r="R389">
        <v>0.892779892855758</v>
      </c>
      <c r="S389" t="s">
        <v>2057</v>
      </c>
      <c r="T389" t="s">
        <v>3312</v>
      </c>
      <c r="U389" t="s">
        <v>3312</v>
      </c>
      <c r="V389" t="s">
        <v>3312</v>
      </c>
      <c r="W389" t="s">
        <v>3700</v>
      </c>
      <c r="X389">
        <v>1</v>
      </c>
      <c r="Y389" t="s">
        <v>5340</v>
      </c>
      <c r="Z389" t="s">
        <v>6982</v>
      </c>
      <c r="AA389">
        <v>0.8075172392992692</v>
      </c>
      <c r="AB389">
        <f>HYPERLINK("Melting_Curves/meltCurve_P0A948_rimJ.pdf", "Melting_Curves/meltCurve_P0A948_rimJ.pdf")</f>
        <v>0</v>
      </c>
    </row>
    <row r="390" spans="1:28">
      <c r="A390" t="s">
        <v>416</v>
      </c>
      <c r="B390">
        <v>0.999984544473304</v>
      </c>
      <c r="C390">
        <v>0.933523094563772</v>
      </c>
      <c r="D390">
        <v>0.704360180964235</v>
      </c>
      <c r="E390">
        <v>0.20928019711638</v>
      </c>
      <c r="F390">
        <v>0.0792772189554478</v>
      </c>
      <c r="G390">
        <v>0.0484511441364007</v>
      </c>
      <c r="H390">
        <v>0.0372069282090695</v>
      </c>
      <c r="I390">
        <v>0.0201410144388746</v>
      </c>
      <c r="J390">
        <v>0.0111114090658377</v>
      </c>
      <c r="K390">
        <v>0.011248146894603</v>
      </c>
      <c r="L390">
        <v>1193.30346029397</v>
      </c>
      <c r="M390">
        <v>26.9710974488808</v>
      </c>
      <c r="N390">
        <v>44.3273918313526</v>
      </c>
      <c r="O390">
        <v>44.0026839263045</v>
      </c>
      <c r="P390">
        <v>-0.149436034748374</v>
      </c>
      <c r="Q390">
        <v>0.0248042801978792</v>
      </c>
      <c r="R390">
        <v>0.998880769498668</v>
      </c>
      <c r="S390" t="s">
        <v>2058</v>
      </c>
      <c r="T390" t="s">
        <v>3312</v>
      </c>
      <c r="U390" t="s">
        <v>3312</v>
      </c>
      <c r="V390" t="s">
        <v>3312</v>
      </c>
      <c r="W390" t="s">
        <v>3701</v>
      </c>
      <c r="X390">
        <v>13</v>
      </c>
      <c r="Y390" t="s">
        <v>5341</v>
      </c>
      <c r="Z390" t="s">
        <v>6983</v>
      </c>
      <c r="AA390">
        <v>0.2670722233338146</v>
      </c>
      <c r="AB390">
        <f>HYPERLINK("Melting_Curves/meltCurve_P0A953_fabB.pdf", "Melting_Curves/meltCurve_P0A953_fabB.pdf")</f>
        <v>0</v>
      </c>
    </row>
    <row r="391" spans="1:28">
      <c r="A391" t="s">
        <v>417</v>
      </c>
      <c r="B391">
        <v>0.999984544473304</v>
      </c>
      <c r="C391">
        <v>0.93761334096888</v>
      </c>
      <c r="D391">
        <v>0.9632131786981381</v>
      </c>
      <c r="E391">
        <v>1.05136607211162</v>
      </c>
      <c r="F391">
        <v>0.957066817513248</v>
      </c>
      <c r="G391">
        <v>0.913322565885632</v>
      </c>
      <c r="H391">
        <v>0.811890377070261</v>
      </c>
      <c r="I391">
        <v>0.746968524651822</v>
      </c>
      <c r="J391">
        <v>0.621940167027664</v>
      </c>
      <c r="K391">
        <v>0.703803221243081</v>
      </c>
      <c r="L391">
        <v>1136.68663757813</v>
      </c>
      <c r="M391">
        <v>19.9815356944075</v>
      </c>
      <c r="O391">
        <v>56.3262768606233</v>
      </c>
      <c r="P391">
        <v>-0.031046597166184</v>
      </c>
      <c r="Q391">
        <v>0.649940459949166</v>
      </c>
      <c r="R391">
        <v>0.91955306355392</v>
      </c>
      <c r="S391" t="s">
        <v>2059</v>
      </c>
      <c r="T391" t="s">
        <v>3312</v>
      </c>
      <c r="U391" t="s">
        <v>3312</v>
      </c>
      <c r="V391" t="s">
        <v>3312</v>
      </c>
      <c r="W391" t="s">
        <v>3702</v>
      </c>
      <c r="X391">
        <v>10</v>
      </c>
      <c r="Y391" t="s">
        <v>5342</v>
      </c>
      <c r="Z391" t="s">
        <v>6984</v>
      </c>
      <c r="AA391">
        <v>0.8851395890385129</v>
      </c>
      <c r="AB391">
        <f>HYPERLINK("Melting_Curves/meltCurve_P0A955_eda.pdf", "Melting_Curves/meltCurve_P0A955_eda.pdf")</f>
        <v>0</v>
      </c>
    </row>
    <row r="392" spans="1:28">
      <c r="A392" t="s">
        <v>418</v>
      </c>
      <c r="B392">
        <v>0.999984544473304</v>
      </c>
      <c r="C392">
        <v>0.888710185357418</v>
      </c>
      <c r="D392">
        <v>0.445502650642625</v>
      </c>
      <c r="E392">
        <v>0.639955239785011</v>
      </c>
      <c r="F392">
        <v>0.31989191025229</v>
      </c>
      <c r="G392">
        <v>0.123107264446572</v>
      </c>
      <c r="H392">
        <v>0.0815910668178714</v>
      </c>
      <c r="I392">
        <v>0.0587004717817274</v>
      </c>
      <c r="J392">
        <v>0.0283484159275587</v>
      </c>
      <c r="K392">
        <v>0.0501417816462916</v>
      </c>
      <c r="L392">
        <v>481.043866606368</v>
      </c>
      <c r="M392">
        <v>10.4649544576317</v>
      </c>
      <c r="N392">
        <v>45.9671123114787</v>
      </c>
      <c r="O392">
        <v>44.3837294687553</v>
      </c>
      <c r="P392">
        <v>-0.0589699838030132</v>
      </c>
      <c r="Q392">
        <v>0</v>
      </c>
      <c r="R392">
        <v>0.919807025959701</v>
      </c>
      <c r="S392" t="s">
        <v>2060</v>
      </c>
      <c r="T392" t="s">
        <v>3312</v>
      </c>
      <c r="U392" t="s">
        <v>3312</v>
      </c>
      <c r="V392" t="s">
        <v>3312</v>
      </c>
      <c r="W392" t="s">
        <v>3703</v>
      </c>
      <c r="X392">
        <v>1</v>
      </c>
      <c r="Y392" t="s">
        <v>5343</v>
      </c>
      <c r="Z392" t="s">
        <v>6985</v>
      </c>
      <c r="AA392">
        <v>0.3421260476333509</v>
      </c>
      <c r="AB392">
        <f>HYPERLINK("Melting_Curves/meltCurve_P0A962_ansA.pdf", "Melting_Curves/meltCurve_P0A962_ansA.pdf")</f>
        <v>0</v>
      </c>
    </row>
    <row r="393" spans="1:28">
      <c r="A393" t="s">
        <v>419</v>
      </c>
      <c r="B393">
        <v>0.999984544473304</v>
      </c>
      <c r="C393">
        <v>0.796936293829465</v>
      </c>
      <c r="D393">
        <v>1.22266662930151</v>
      </c>
      <c r="E393">
        <v>1.02179411513186</v>
      </c>
      <c r="F393">
        <v>1.14165400795229</v>
      </c>
      <c r="G393">
        <v>0.962541860306797</v>
      </c>
      <c r="H393">
        <v>0.792813733708315</v>
      </c>
      <c r="I393">
        <v>0.757238136476705</v>
      </c>
      <c r="J393">
        <v>0.550748642177264</v>
      </c>
      <c r="K393">
        <v>0.522385127632819</v>
      </c>
      <c r="L393">
        <v>1235.89189025611</v>
      </c>
      <c r="M393">
        <v>20.4807238787873</v>
      </c>
      <c r="O393">
        <v>59.777686299528</v>
      </c>
      <c r="P393">
        <v>-0.0467180412194777</v>
      </c>
      <c r="Q393">
        <v>0.454586921901357</v>
      </c>
      <c r="R393">
        <v>0.750828384875054</v>
      </c>
      <c r="S393" t="s">
        <v>2061</v>
      </c>
      <c r="T393" t="s">
        <v>3312</v>
      </c>
      <c r="U393" t="s">
        <v>3312</v>
      </c>
      <c r="V393" t="s">
        <v>3312</v>
      </c>
      <c r="W393" t="s">
        <v>3704</v>
      </c>
      <c r="X393">
        <v>5</v>
      </c>
      <c r="Y393" t="s">
        <v>5344</v>
      </c>
      <c r="Z393" t="s">
        <v>6986</v>
      </c>
      <c r="AA393">
        <v>0.8786894050751594</v>
      </c>
      <c r="AB393">
        <f>HYPERLINK("Melting_Curves/meltCurve_P0A964_cheW.pdf", "Melting_Curves/meltCurve_P0A964_cheW.pdf")</f>
        <v>0</v>
      </c>
    </row>
    <row r="394" spans="1:28">
      <c r="A394" t="s">
        <v>420</v>
      </c>
      <c r="B394">
        <v>0.999984544473304</v>
      </c>
      <c r="C394">
        <v>0.994784768862621</v>
      </c>
      <c r="D394">
        <v>1.12729469109471</v>
      </c>
      <c r="E394">
        <v>1.29334824121294</v>
      </c>
      <c r="F394">
        <v>1.66957110504837</v>
      </c>
      <c r="G394">
        <v>1.24094159303248</v>
      </c>
      <c r="H394">
        <v>1.44597656332287</v>
      </c>
      <c r="I394">
        <v>1.42082649933129</v>
      </c>
      <c r="J394">
        <v>1.39069204397625</v>
      </c>
      <c r="K394">
        <v>1.21134345956345</v>
      </c>
      <c r="L394">
        <v>1632.8621761079</v>
      </c>
      <c r="M394">
        <v>37.0874534687137</v>
      </c>
      <c r="O394">
        <v>43.8999292153658</v>
      </c>
      <c r="P394">
        <v>0.0823295067948434</v>
      </c>
      <c r="Q394">
        <v>1.38980830941736</v>
      </c>
      <c r="R394">
        <v>0.646790367920097</v>
      </c>
      <c r="S394" t="s">
        <v>2062</v>
      </c>
      <c r="T394" t="s">
        <v>3312</v>
      </c>
      <c r="U394" t="s">
        <v>3312</v>
      </c>
      <c r="V394" t="s">
        <v>3312</v>
      </c>
      <c r="W394" t="s">
        <v>3705</v>
      </c>
      <c r="X394">
        <v>4</v>
      </c>
      <c r="Y394" t="s">
        <v>5345</v>
      </c>
      <c r="Z394" t="s">
        <v>6987</v>
      </c>
      <c r="AA394">
        <v>1.297106365292542</v>
      </c>
      <c r="AB394">
        <f>HYPERLINK("Melting_Curves/meltCurve_P0A972_cspE.pdf", "Melting_Curves/meltCurve_P0A972_cspE.pdf")</f>
        <v>0</v>
      </c>
    </row>
    <row r="395" spans="1:28">
      <c r="A395" t="s">
        <v>421</v>
      </c>
      <c r="B395">
        <v>0.999984544473304</v>
      </c>
      <c r="C395">
        <v>0.889184270227068</v>
      </c>
      <c r="D395">
        <v>0.750324264125833</v>
      </c>
      <c r="E395">
        <v>0.55123821773744</v>
      </c>
      <c r="F395">
        <v>0.508656025456803</v>
      </c>
      <c r="G395">
        <v>0.345906571101747</v>
      </c>
      <c r="H395">
        <v>0.205916717883629</v>
      </c>
      <c r="I395">
        <v>0.089846508208674</v>
      </c>
      <c r="J395">
        <v>0.0557285521187319</v>
      </c>
      <c r="K395">
        <v>0.0637588566770546</v>
      </c>
      <c r="L395">
        <v>454.650820071785</v>
      </c>
      <c r="M395">
        <v>9.301067362511819</v>
      </c>
      <c r="N395">
        <v>48.8815631305236</v>
      </c>
      <c r="O395">
        <v>46.7814604017106</v>
      </c>
      <c r="P395">
        <v>-0.0497367427237</v>
      </c>
      <c r="Q395">
        <v>0</v>
      </c>
      <c r="R395">
        <v>0.983616469141529</v>
      </c>
      <c r="S395" t="s">
        <v>2063</v>
      </c>
      <c r="T395" t="s">
        <v>3312</v>
      </c>
      <c r="U395" t="s">
        <v>3312</v>
      </c>
      <c r="V395" t="s">
        <v>3312</v>
      </c>
      <c r="W395" t="s">
        <v>3706</v>
      </c>
      <c r="X395">
        <v>8</v>
      </c>
      <c r="Y395" t="s">
        <v>5346</v>
      </c>
      <c r="Z395" t="s">
        <v>6988</v>
      </c>
      <c r="AA395">
        <v>0.436651029195019</v>
      </c>
      <c r="AB395">
        <f>HYPERLINK("Melting_Curves/meltCurve_P0A988_dnaN.pdf", "Melting_Curves/meltCurve_P0A988_dnaN.pdf")</f>
        <v>0</v>
      </c>
    </row>
    <row r="396" spans="1:28">
      <c r="A396" t="s">
        <v>422</v>
      </c>
      <c r="B396">
        <v>0.999984544473304</v>
      </c>
      <c r="C396">
        <v>1.53827575450205</v>
      </c>
      <c r="D396">
        <v>1.37673494088631</v>
      </c>
      <c r="E396">
        <v>1.76198239186172</v>
      </c>
      <c r="F396">
        <v>0.995110248039243</v>
      </c>
      <c r="G396">
        <v>1.43337577271728</v>
      </c>
      <c r="H396">
        <v>0.710728953857271</v>
      </c>
      <c r="I396">
        <v>0.638592221467378</v>
      </c>
      <c r="J396">
        <v>0.488854792424358</v>
      </c>
      <c r="K396">
        <v>0.561755915615048</v>
      </c>
      <c r="L396">
        <v>14311.4019838677</v>
      </c>
      <c r="M396">
        <v>250</v>
      </c>
      <c r="O396">
        <v>57.241944612613</v>
      </c>
      <c r="P396">
        <v>-0.477067609725901</v>
      </c>
      <c r="Q396">
        <v>0.563067557558506</v>
      </c>
      <c r="R396">
        <v>0.342451198775309</v>
      </c>
      <c r="S396" t="s">
        <v>2064</v>
      </c>
      <c r="T396" t="s">
        <v>3312</v>
      </c>
      <c r="U396" t="s">
        <v>3312</v>
      </c>
      <c r="V396" t="s">
        <v>3312</v>
      </c>
      <c r="W396" t="s">
        <v>3707</v>
      </c>
      <c r="X396">
        <v>15</v>
      </c>
      <c r="Y396" t="s">
        <v>5347</v>
      </c>
      <c r="Z396" t="s">
        <v>6989</v>
      </c>
      <c r="AA396">
        <v>0.8579768848409137</v>
      </c>
      <c r="AB396">
        <f>HYPERLINK("Melting_Curves/meltCurve_P0A991_fbaB.pdf", "Melting_Curves/meltCurve_P0A991_fbaB.pdf")</f>
        <v>0</v>
      </c>
    </row>
    <row r="397" spans="1:28">
      <c r="A397" t="s">
        <v>423</v>
      </c>
      <c r="B397">
        <v>0.999984544473304</v>
      </c>
      <c r="C397">
        <v>0.729455568869857</v>
      </c>
      <c r="D397">
        <v>0.182068207181043</v>
      </c>
      <c r="E397">
        <v>0.0706195337796011</v>
      </c>
      <c r="F397">
        <v>0.0388360931401952</v>
      </c>
      <c r="G397">
        <v>0.0188971088287577</v>
      </c>
      <c r="H397">
        <v>0.0189966847042476</v>
      </c>
      <c r="I397">
        <v>0.0139973319530493</v>
      </c>
      <c r="J397">
        <v>0.0132467687272619</v>
      </c>
      <c r="K397">
        <v>0.0149278607559596</v>
      </c>
      <c r="L397">
        <v>1433.32003510984</v>
      </c>
      <c r="M397">
        <v>34.9523573713309</v>
      </c>
      <c r="N397">
        <v>41.0661584386592</v>
      </c>
      <c r="O397">
        <v>40.8742839505565</v>
      </c>
      <c r="P397">
        <v>-0.208602204890941</v>
      </c>
      <c r="Q397">
        <v>0.0242220416446126</v>
      </c>
      <c r="R397">
        <v>0.998194960779522</v>
      </c>
      <c r="S397" t="s">
        <v>2065</v>
      </c>
      <c r="T397" t="s">
        <v>3312</v>
      </c>
      <c r="U397" t="s">
        <v>3312</v>
      </c>
      <c r="V397" t="s">
        <v>3312</v>
      </c>
      <c r="W397" t="s">
        <v>3708</v>
      </c>
      <c r="X397">
        <v>5</v>
      </c>
      <c r="Y397" t="s">
        <v>5348</v>
      </c>
      <c r="Z397" t="s">
        <v>6990</v>
      </c>
      <c r="AA397">
        <v>0.1588768808556914</v>
      </c>
      <c r="AB397">
        <f>HYPERLINK("Melting_Curves/meltCurve_P0A993_fbp.pdf", "Melting_Curves/meltCurve_P0A993_fbp.pdf")</f>
        <v>0</v>
      </c>
    </row>
    <row r="398" spans="1:28">
      <c r="A398" t="s">
        <v>424</v>
      </c>
      <c r="B398">
        <v>0.999984544473304</v>
      </c>
      <c r="C398">
        <v>1.55334041197256</v>
      </c>
      <c r="D398">
        <v>1.31810723548543</v>
      </c>
      <c r="E398">
        <v>1.64861030362621</v>
      </c>
      <c r="F398">
        <v>1.33555978248858</v>
      </c>
      <c r="G398">
        <v>1.37618224543415</v>
      </c>
      <c r="H398">
        <v>2.92679797318833</v>
      </c>
      <c r="I398">
        <v>0.75502481229434</v>
      </c>
      <c r="J398">
        <v>0.596281640889768</v>
      </c>
      <c r="K398">
        <v>0.5963397320952309</v>
      </c>
      <c r="L398">
        <v>15000</v>
      </c>
      <c r="M398">
        <v>246.33565718361</v>
      </c>
      <c r="O398">
        <v>60.8885108552391</v>
      </c>
      <c r="P398">
        <v>-0.408301189096658</v>
      </c>
      <c r="Q398">
        <v>0.596309334490658</v>
      </c>
      <c r="R398">
        <v>-0.137321791634952</v>
      </c>
      <c r="S398" t="s">
        <v>2066</v>
      </c>
      <c r="T398" t="s">
        <v>3312</v>
      </c>
      <c r="U398" t="s">
        <v>3312</v>
      </c>
      <c r="V398" t="s">
        <v>3312</v>
      </c>
      <c r="W398" t="s">
        <v>3709</v>
      </c>
      <c r="X398">
        <v>2</v>
      </c>
      <c r="Y398" t="s">
        <v>5349</v>
      </c>
      <c r="Z398" t="s">
        <v>6991</v>
      </c>
      <c r="AA398">
        <v>0.917860070045353</v>
      </c>
      <c r="AB398">
        <f>HYPERLINK("Melting_Curves/meltCurve_P0A998_ftnA.pdf", "Melting_Curves/meltCurve_P0A998_ftnA.pdf")</f>
        <v>0</v>
      </c>
    </row>
    <row r="399" spans="1:28">
      <c r="A399" t="s">
        <v>425</v>
      </c>
      <c r="B399">
        <v>0.999984544473304</v>
      </c>
      <c r="C399">
        <v>0.948963429949832</v>
      </c>
      <c r="D399">
        <v>0.679435868687462</v>
      </c>
      <c r="E399">
        <v>0.841292266987385</v>
      </c>
      <c r="F399">
        <v>0.704387465955017</v>
      </c>
      <c r="G399">
        <v>0.5610955845760141</v>
      </c>
      <c r="H399">
        <v>0.522204888793382</v>
      </c>
      <c r="I399">
        <v>0.468059784544635</v>
      </c>
      <c r="J399">
        <v>0.345977861898564</v>
      </c>
      <c r="K399">
        <v>0.397642513650628</v>
      </c>
      <c r="L399">
        <v>303.470401042768</v>
      </c>
      <c r="M399">
        <v>5.53812127902054</v>
      </c>
      <c r="N399">
        <v>58.0900042317845</v>
      </c>
      <c r="O399">
        <v>48.8961663329646</v>
      </c>
      <c r="P399">
        <v>-0.0246059982594265</v>
      </c>
      <c r="Q399">
        <v>0.13473310500531</v>
      </c>
      <c r="R399">
        <v>0.903232103679889</v>
      </c>
      <c r="S399" t="s">
        <v>2067</v>
      </c>
      <c r="T399" t="s">
        <v>3312</v>
      </c>
      <c r="U399" t="s">
        <v>3312</v>
      </c>
      <c r="V399" t="s">
        <v>3312</v>
      </c>
      <c r="W399" t="s">
        <v>3710</v>
      </c>
      <c r="X399">
        <v>7</v>
      </c>
      <c r="Y399" t="s">
        <v>5350</v>
      </c>
      <c r="Z399" t="s">
        <v>6992</v>
      </c>
      <c r="AA399">
        <v>0.6430284949151133</v>
      </c>
      <c r="AB399">
        <f>HYPERLINK("Melting_Curves/meltCurve_P0A9A6_ftsZ.pdf", "Melting_Curves/meltCurve_P0A9A6_ftsZ.pdf")</f>
        <v>0</v>
      </c>
    </row>
    <row r="400" spans="1:28">
      <c r="A400" t="s">
        <v>426</v>
      </c>
      <c r="B400">
        <v>0.999984544473304</v>
      </c>
      <c r="C400">
        <v>1.07604347287332</v>
      </c>
      <c r="D400">
        <v>0.9836955454433149</v>
      </c>
      <c r="E400">
        <v>1.1820009021978</v>
      </c>
      <c r="F400">
        <v>1.12948005030571</v>
      </c>
      <c r="G400">
        <v>0.979404047358579</v>
      </c>
      <c r="H400">
        <v>0.946916921543895</v>
      </c>
      <c r="I400">
        <v>0.814436450145982</v>
      </c>
      <c r="J400">
        <v>0.613638338703432</v>
      </c>
      <c r="K400">
        <v>0.796180458744023</v>
      </c>
      <c r="L400">
        <v>2948.00720032687</v>
      </c>
      <c r="M400">
        <v>49.3148740596419</v>
      </c>
      <c r="O400">
        <v>59.6812044210155</v>
      </c>
      <c r="P400">
        <v>-0.060076496772877</v>
      </c>
      <c r="Q400">
        <v>0.709180222022076</v>
      </c>
      <c r="R400">
        <v>0.7098736453146131</v>
      </c>
      <c r="S400" t="s">
        <v>2068</v>
      </c>
      <c r="T400" t="s">
        <v>3312</v>
      </c>
      <c r="U400" t="s">
        <v>3312</v>
      </c>
      <c r="V400" t="s">
        <v>3312</v>
      </c>
      <c r="W400" t="s">
        <v>3711</v>
      </c>
      <c r="X400">
        <v>3</v>
      </c>
      <c r="Y400" t="s">
        <v>5351</v>
      </c>
      <c r="Z400" t="s">
        <v>6993</v>
      </c>
      <c r="AA400">
        <v>0.930714774259785</v>
      </c>
      <c r="AB400">
        <f>HYPERLINK("Melting_Curves/meltCurve_P0A9A9_fur.pdf", "Melting_Curves/meltCurve_P0A9A9_fur.pdf")</f>
        <v>0</v>
      </c>
    </row>
    <row r="401" spans="1:28">
      <c r="A401" t="s">
        <v>427</v>
      </c>
      <c r="B401">
        <v>0.999984544473304</v>
      </c>
      <c r="C401">
        <v>0.983972216357016</v>
      </c>
      <c r="D401">
        <v>1.27967218669252</v>
      </c>
      <c r="E401">
        <v>0.985257807550467</v>
      </c>
      <c r="F401">
        <v>1.3441668110701</v>
      </c>
      <c r="G401">
        <v>1.19521812156711</v>
      </c>
      <c r="H401">
        <v>1.21398481051187</v>
      </c>
      <c r="I401">
        <v>0.95245128853578</v>
      </c>
      <c r="J401">
        <v>0.365123874026445</v>
      </c>
      <c r="K401">
        <v>0.0399423052749228</v>
      </c>
      <c r="L401">
        <v>4654.8380212648</v>
      </c>
      <c r="M401">
        <v>73.2230368802481</v>
      </c>
      <c r="N401">
        <v>63.6016819594959</v>
      </c>
      <c r="O401">
        <v>63.523318949043</v>
      </c>
      <c r="P401">
        <v>-0.28312142280795</v>
      </c>
      <c r="Q401">
        <v>0.0175328889780919</v>
      </c>
      <c r="R401">
        <v>0.820544075231088</v>
      </c>
      <c r="S401" t="s">
        <v>2069</v>
      </c>
      <c r="T401" t="s">
        <v>3312</v>
      </c>
      <c r="U401" t="s">
        <v>3312</v>
      </c>
      <c r="V401" t="s">
        <v>3312</v>
      </c>
      <c r="W401" t="s">
        <v>3712</v>
      </c>
      <c r="X401">
        <v>24</v>
      </c>
      <c r="Y401" t="s">
        <v>5352</v>
      </c>
      <c r="Z401" t="s">
        <v>6994</v>
      </c>
      <c r="AA401">
        <v>0.8882161771276473</v>
      </c>
      <c r="AB401">
        <f>HYPERLINK("Melting_Curves/meltCurve_P0A9B2_gapA.pdf", "Melting_Curves/meltCurve_P0A9B2_gapA.pdf")</f>
        <v>0</v>
      </c>
    </row>
    <row r="402" spans="1:28">
      <c r="A402" t="s">
        <v>428</v>
      </c>
      <c r="B402">
        <v>0.999984544473304</v>
      </c>
      <c r="C402">
        <v>0.859997718547302</v>
      </c>
      <c r="D402">
        <v>0.659621781503163</v>
      </c>
      <c r="E402">
        <v>0.49776817590699</v>
      </c>
      <c r="F402">
        <v>0.239684994142595</v>
      </c>
      <c r="G402">
        <v>0.209872713488543</v>
      </c>
      <c r="H402">
        <v>0.104930307941813</v>
      </c>
      <c r="I402">
        <v>0.102230075629801</v>
      </c>
      <c r="J402">
        <v>0.0703708970477147</v>
      </c>
      <c r="K402">
        <v>0.0343148298048546</v>
      </c>
      <c r="L402">
        <v>560.086420563255</v>
      </c>
      <c r="M402">
        <v>12.2610613562462</v>
      </c>
      <c r="N402">
        <v>46.0026967860153</v>
      </c>
      <c r="O402">
        <v>44.5159483994101</v>
      </c>
      <c r="P402">
        <v>-0.06603572060224749</v>
      </c>
      <c r="Q402">
        <v>0.0411952561923369</v>
      </c>
      <c r="R402">
        <v>0.991709777427674</v>
      </c>
      <c r="S402" t="s">
        <v>2070</v>
      </c>
      <c r="T402" t="s">
        <v>3312</v>
      </c>
      <c r="U402" t="s">
        <v>3312</v>
      </c>
      <c r="V402" t="s">
        <v>3312</v>
      </c>
      <c r="W402" t="s">
        <v>3713</v>
      </c>
      <c r="X402">
        <v>1</v>
      </c>
      <c r="Y402" t="s">
        <v>5353</v>
      </c>
      <c r="Z402" t="s">
        <v>6995</v>
      </c>
      <c r="AA402">
        <v>0.350989999072918</v>
      </c>
      <c r="AB402">
        <f>HYPERLINK("Melting_Curves/meltCurve_P0A9B6_epd.pdf", "Melting_Curves/meltCurve_P0A9B6_epd.pdf")</f>
        <v>0</v>
      </c>
    </row>
    <row r="403" spans="1:28">
      <c r="A403" t="s">
        <v>429</v>
      </c>
      <c r="B403">
        <v>0.999984544473304</v>
      </c>
      <c r="C403">
        <v>0.913778440316944</v>
      </c>
      <c r="D403">
        <v>1.07235904334256</v>
      </c>
      <c r="E403">
        <v>0.936524158316461</v>
      </c>
      <c r="F403">
        <v>0.639308601418789</v>
      </c>
      <c r="G403">
        <v>0.226259011738543</v>
      </c>
      <c r="H403">
        <v>0.0764547031978272</v>
      </c>
      <c r="I403">
        <v>0.039682150575283</v>
      </c>
      <c r="J403">
        <v>0.0201644989134301</v>
      </c>
      <c r="K403">
        <v>0.0176824740168816</v>
      </c>
      <c r="L403">
        <v>1410.53580839405</v>
      </c>
      <c r="M403">
        <v>27.5508378662545</v>
      </c>
      <c r="N403">
        <v>51.2820271933461</v>
      </c>
      <c r="O403">
        <v>50.9301049557894</v>
      </c>
      <c r="P403">
        <v>-0.132240391800318</v>
      </c>
      <c r="Q403">
        <v>0.0221776259501773</v>
      </c>
      <c r="R403">
        <v>0.99283150202446</v>
      </c>
      <c r="S403" t="s">
        <v>2071</v>
      </c>
      <c r="T403" t="s">
        <v>3312</v>
      </c>
      <c r="U403" t="s">
        <v>3312</v>
      </c>
      <c r="V403" t="s">
        <v>3312</v>
      </c>
      <c r="W403" t="s">
        <v>3714</v>
      </c>
      <c r="X403">
        <v>3</v>
      </c>
      <c r="Y403" t="s">
        <v>5354</v>
      </c>
      <c r="Z403" t="s">
        <v>6996</v>
      </c>
      <c r="AA403">
        <v>0.4921314995923628</v>
      </c>
      <c r="AB403">
        <f>HYPERLINK("Melting_Curves/meltCurve_P0A9C3_galM.pdf", "Melting_Curves/meltCurve_P0A9C3_galM.pdf")</f>
        <v>0</v>
      </c>
    </row>
    <row r="404" spans="1:28">
      <c r="A404" t="s">
        <v>430</v>
      </c>
      <c r="B404">
        <v>0.999984544473304</v>
      </c>
      <c r="C404">
        <v>3.00893866707423</v>
      </c>
      <c r="D404">
        <v>2.25258873173438</v>
      </c>
      <c r="E404">
        <v>2.90896107489236</v>
      </c>
      <c r="F404">
        <v>1.45535785482232</v>
      </c>
      <c r="G404">
        <v>2.30003227771868</v>
      </c>
      <c r="H404">
        <v>1.08714556122388</v>
      </c>
      <c r="I404">
        <v>0.917650156421303</v>
      </c>
      <c r="J404">
        <v>0.118331628810027</v>
      </c>
      <c r="K404">
        <v>0.0512344245629593</v>
      </c>
      <c r="L404">
        <v>6215.11859541485</v>
      </c>
      <c r="M404">
        <v>99.5273169659722</v>
      </c>
      <c r="N404">
        <v>62.5130819467934</v>
      </c>
      <c r="O404">
        <v>62.4211609415827</v>
      </c>
      <c r="P404">
        <v>-0.37852886243534</v>
      </c>
      <c r="Q404">
        <v>0.0503829468130409</v>
      </c>
      <c r="R404">
        <v>-0.0895748338017079</v>
      </c>
      <c r="S404" t="s">
        <v>2072</v>
      </c>
      <c r="T404" t="s">
        <v>3312</v>
      </c>
      <c r="U404" t="s">
        <v>3312</v>
      </c>
      <c r="V404" t="s">
        <v>3312</v>
      </c>
      <c r="W404" t="s">
        <v>3715</v>
      </c>
      <c r="X404">
        <v>9</v>
      </c>
      <c r="Y404" t="s">
        <v>5355</v>
      </c>
      <c r="Z404" t="s">
        <v>6997</v>
      </c>
      <c r="AA404">
        <v>0.8564899526689319</v>
      </c>
      <c r="AB404">
        <f>HYPERLINK("Melting_Curves/meltCurve_P0A9C5_glnA.pdf", "Melting_Curves/meltCurve_P0A9C5_glnA.pdf")</f>
        <v>0</v>
      </c>
    </row>
    <row r="405" spans="1:28">
      <c r="A405" t="s">
        <v>431</v>
      </c>
      <c r="B405">
        <v>0.999984544473304</v>
      </c>
      <c r="C405">
        <v>0.713146474801255</v>
      </c>
      <c r="D405">
        <v>0.468378627964288</v>
      </c>
      <c r="E405">
        <v>0.2460711081344</v>
      </c>
      <c r="F405">
        <v>0.171203816711062</v>
      </c>
      <c r="G405">
        <v>0.12981306777542</v>
      </c>
      <c r="H405">
        <v>0.0968294571247706</v>
      </c>
      <c r="I405">
        <v>0.0776923278104333</v>
      </c>
      <c r="J405">
        <v>0.0693897592451358</v>
      </c>
      <c r="K405">
        <v>0.0628049058273981</v>
      </c>
      <c r="L405">
        <v>710.845856638238</v>
      </c>
      <c r="M405">
        <v>16.8275443197376</v>
      </c>
      <c r="N405">
        <v>42.70432873312</v>
      </c>
      <c r="O405">
        <v>41.6599491726853</v>
      </c>
      <c r="P405">
        <v>-0.0925946460074259</v>
      </c>
      <c r="Q405">
        <v>0.0831127737819452</v>
      </c>
      <c r="R405">
        <v>0.989637061152476</v>
      </c>
      <c r="S405" t="s">
        <v>2073</v>
      </c>
      <c r="T405" t="s">
        <v>3312</v>
      </c>
      <c r="U405" t="s">
        <v>3312</v>
      </c>
      <c r="V405" t="s">
        <v>3312</v>
      </c>
      <c r="W405" t="s">
        <v>3716</v>
      </c>
      <c r="X405">
        <v>3</v>
      </c>
      <c r="Y405" t="s">
        <v>5356</v>
      </c>
      <c r="Z405" t="s">
        <v>6998</v>
      </c>
      <c r="AA405">
        <v>0.263406112087803</v>
      </c>
      <c r="AB405">
        <f>HYPERLINK("Melting_Curves/meltCurve_P0A9C9_glpX.pdf", "Melting_Curves/meltCurve_P0A9C9_glpX.pdf")</f>
        <v>0</v>
      </c>
    </row>
    <row r="406" spans="1:28">
      <c r="A406" t="s">
        <v>432</v>
      </c>
      <c r="B406">
        <v>0.999984544473304</v>
      </c>
      <c r="C406">
        <v>0.822059111557866</v>
      </c>
      <c r="D406">
        <v>0.795289911002611</v>
      </c>
      <c r="E406">
        <v>0.623899105730058</v>
      </c>
      <c r="F406">
        <v>0.451690936035158</v>
      </c>
      <c r="G406">
        <v>0.237569585005652</v>
      </c>
      <c r="H406">
        <v>0.141174765121582</v>
      </c>
      <c r="I406">
        <v>0.0864962678740983</v>
      </c>
      <c r="J406">
        <v>0.0508639276997641</v>
      </c>
      <c r="K406">
        <v>0.043349020579223</v>
      </c>
      <c r="L406">
        <v>518.000226537378</v>
      </c>
      <c r="M406">
        <v>10.688341107556</v>
      </c>
      <c r="N406">
        <v>48.4640433543679</v>
      </c>
      <c r="O406">
        <v>46.8599470975448</v>
      </c>
      <c r="P406">
        <v>-0.0570442869779602</v>
      </c>
      <c r="Q406">
        <v>0</v>
      </c>
      <c r="R406">
        <v>0.989723495735109</v>
      </c>
      <c r="S406" t="s">
        <v>2074</v>
      </c>
      <c r="T406" t="s">
        <v>3312</v>
      </c>
      <c r="U406" t="s">
        <v>3312</v>
      </c>
      <c r="V406" t="s">
        <v>3312</v>
      </c>
      <c r="W406" t="s">
        <v>3717</v>
      </c>
      <c r="X406">
        <v>5</v>
      </c>
      <c r="Y406" t="s">
        <v>5357</v>
      </c>
      <c r="Z406" t="s">
        <v>6999</v>
      </c>
      <c r="AA406">
        <v>0.4178363045119958</v>
      </c>
      <c r="AB406">
        <f>HYPERLINK("Melting_Curves/meltCurve_P0A9D2_gstA.pdf", "Melting_Curves/meltCurve_P0A9D2_gstA.pdf")</f>
        <v>0</v>
      </c>
    </row>
    <row r="407" spans="1:28">
      <c r="A407" t="s">
        <v>433</v>
      </c>
      <c r="B407">
        <v>0.999984544473304</v>
      </c>
      <c r="C407">
        <v>1.0362806002879</v>
      </c>
      <c r="D407">
        <v>1.13238175323255</v>
      </c>
      <c r="E407">
        <v>0.952834609764025</v>
      </c>
      <c r="F407">
        <v>1.04820047309109</v>
      </c>
      <c r="G407">
        <v>0.918454842045718</v>
      </c>
      <c r="H407">
        <v>0.734885104710472</v>
      </c>
      <c r="I407">
        <v>0.557541849418742</v>
      </c>
      <c r="J407">
        <v>0.172018629406544</v>
      </c>
      <c r="K407">
        <v>0.0777665545306379</v>
      </c>
      <c r="L407">
        <v>1395.11388490584</v>
      </c>
      <c r="M407">
        <v>22.9914410722422</v>
      </c>
      <c r="N407">
        <v>60.6797060740161</v>
      </c>
      <c r="O407">
        <v>60.2262563658061</v>
      </c>
      <c r="P407">
        <v>-0.0954395855242018</v>
      </c>
      <c r="Q407">
        <v>0</v>
      </c>
      <c r="R407">
        <v>0.969078063002462</v>
      </c>
      <c r="S407" t="s">
        <v>2075</v>
      </c>
      <c r="T407" t="s">
        <v>3312</v>
      </c>
      <c r="U407" t="s">
        <v>3312</v>
      </c>
      <c r="V407" t="s">
        <v>3312</v>
      </c>
      <c r="W407" t="s">
        <v>3718</v>
      </c>
      <c r="X407">
        <v>5</v>
      </c>
      <c r="Y407" t="s">
        <v>5358</v>
      </c>
      <c r="Z407" t="s">
        <v>7000</v>
      </c>
      <c r="AA407">
        <v>0.7892975842967093</v>
      </c>
      <c r="AB407">
        <f>HYPERLINK("Melting_Curves/meltCurve_P0A9D4_cysE.pdf", "Melting_Curves/meltCurve_P0A9D4_cysE.pdf")</f>
        <v>0</v>
      </c>
    </row>
    <row r="408" spans="1:28">
      <c r="A408" t="s">
        <v>434</v>
      </c>
      <c r="B408">
        <v>0.999984544473304</v>
      </c>
      <c r="C408">
        <v>0.904132521652556</v>
      </c>
      <c r="D408">
        <v>1.02904225938708</v>
      </c>
      <c r="E408">
        <v>0.973297382730851</v>
      </c>
      <c r="F408">
        <v>1.11523324238804</v>
      </c>
      <c r="G408">
        <v>1.06877310021312</v>
      </c>
      <c r="H408">
        <v>0.9019219160583</v>
      </c>
      <c r="I408">
        <v>0.300863357790961</v>
      </c>
      <c r="J408">
        <v>0.0293448946810465</v>
      </c>
      <c r="K408">
        <v>0.018403902274153</v>
      </c>
      <c r="L408">
        <v>3097.81405164058</v>
      </c>
      <c r="M408">
        <v>51.6645987646701</v>
      </c>
      <c r="N408">
        <v>59.9737614390917</v>
      </c>
      <c r="O408">
        <v>59.8704680973246</v>
      </c>
      <c r="P408">
        <v>-0.214472171899427</v>
      </c>
      <c r="Q408">
        <v>0.00585402191645593</v>
      </c>
      <c r="R408">
        <v>0.982967065727141</v>
      </c>
      <c r="S408" t="s">
        <v>2076</v>
      </c>
      <c r="T408" t="s">
        <v>3312</v>
      </c>
      <c r="U408" t="s">
        <v>3312</v>
      </c>
      <c r="V408" t="s">
        <v>3312</v>
      </c>
      <c r="W408" t="s">
        <v>3719</v>
      </c>
      <c r="X408">
        <v>11</v>
      </c>
      <c r="Y408" t="s">
        <v>5359</v>
      </c>
      <c r="Z408" t="s">
        <v>7001</v>
      </c>
      <c r="AA408">
        <v>0.7689518239035865</v>
      </c>
      <c r="AB408">
        <f>HYPERLINK("Melting_Curves/meltCurve_P0A9D8_dapD.pdf", "Melting_Curves/meltCurve_P0A9D8_dapD.pdf")</f>
        <v>0</v>
      </c>
    </row>
    <row r="409" spans="1:28">
      <c r="A409" t="s">
        <v>435</v>
      </c>
      <c r="B409">
        <v>0.999984544473304</v>
      </c>
      <c r="C409">
        <v>0.515729364782155</v>
      </c>
      <c r="D409">
        <v>1.5971104782298</v>
      </c>
      <c r="E409">
        <v>0.471215566004083</v>
      </c>
      <c r="F409">
        <v>0.202485146846918</v>
      </c>
      <c r="G409">
        <v>0.090506482064555</v>
      </c>
      <c r="H409">
        <v>0.121118797476341</v>
      </c>
      <c r="I409">
        <v>0.034214851411705</v>
      </c>
      <c r="J409">
        <v>0.0325869671560891</v>
      </c>
      <c r="K409">
        <v>0.0557882519306183</v>
      </c>
      <c r="L409">
        <v>9444.691360524719</v>
      </c>
      <c r="M409">
        <v>203.001551893047</v>
      </c>
      <c r="N409">
        <v>46.5704369667285</v>
      </c>
      <c r="O409">
        <v>46.5207003090741</v>
      </c>
      <c r="P409">
        <v>-0.993337666212376</v>
      </c>
      <c r="Q409">
        <v>0.0894500011150844</v>
      </c>
      <c r="R409">
        <v>0.7459415962727149</v>
      </c>
      <c r="S409" t="s">
        <v>2077</v>
      </c>
      <c r="T409" t="s">
        <v>3312</v>
      </c>
      <c r="U409" t="s">
        <v>3312</v>
      </c>
      <c r="V409" t="s">
        <v>3312</v>
      </c>
      <c r="W409" t="s">
        <v>3720</v>
      </c>
      <c r="X409">
        <v>1</v>
      </c>
      <c r="Y409" t="s">
        <v>5360</v>
      </c>
      <c r="Z409" t="s">
        <v>7002</v>
      </c>
      <c r="AA409">
        <v>0.3786689988661204</v>
      </c>
      <c r="AB409">
        <f>HYPERLINK("Melting_Curves/meltCurve_P0A9E5_fnr.pdf", "Melting_Curves/meltCurve_P0A9E5_fnr.pdf")</f>
        <v>0</v>
      </c>
    </row>
    <row r="410" spans="1:28">
      <c r="A410" t="s">
        <v>436</v>
      </c>
      <c r="B410">
        <v>0.999984544473304</v>
      </c>
      <c r="C410">
        <v>1.28499940719003</v>
      </c>
      <c r="D410">
        <v>0.8942138226162351</v>
      </c>
      <c r="E410">
        <v>1.17583929941772</v>
      </c>
      <c r="F410">
        <v>0.914332791329028</v>
      </c>
      <c r="G410">
        <v>0.677125879915309</v>
      </c>
      <c r="H410">
        <v>0.506011853762849</v>
      </c>
      <c r="I410">
        <v>0.417909715796784</v>
      </c>
      <c r="J410">
        <v>0.33372462459391</v>
      </c>
      <c r="K410">
        <v>0.392842975691486</v>
      </c>
      <c r="L410">
        <v>1476.66471275495</v>
      </c>
      <c r="M410">
        <v>27.3791996956468</v>
      </c>
      <c r="N410">
        <v>56.8080091783337</v>
      </c>
      <c r="O410">
        <v>53.6485571347173</v>
      </c>
      <c r="P410">
        <v>-0.079758656392399</v>
      </c>
      <c r="Q410">
        <v>0.374868988296012</v>
      </c>
      <c r="R410">
        <v>0.875821623159572</v>
      </c>
      <c r="S410" t="s">
        <v>2078</v>
      </c>
      <c r="T410" t="s">
        <v>3312</v>
      </c>
      <c r="U410" t="s">
        <v>3312</v>
      </c>
      <c r="V410" t="s">
        <v>3312</v>
      </c>
      <c r="W410" t="s">
        <v>3721</v>
      </c>
      <c r="X410">
        <v>2</v>
      </c>
      <c r="Y410" t="s">
        <v>5361</v>
      </c>
      <c r="Z410" t="s">
        <v>7003</v>
      </c>
      <c r="AA410">
        <v>0.7324226985514624</v>
      </c>
      <c r="AB410">
        <f>HYPERLINK("Melting_Curves/meltCurve_P0A9F1_mntR.pdf", "Melting_Curves/meltCurve_P0A9F1_mntR.pdf")</f>
        <v>0</v>
      </c>
    </row>
    <row r="411" spans="1:28">
      <c r="A411" t="s">
        <v>437</v>
      </c>
      <c r="B411">
        <v>0.999984544473304</v>
      </c>
      <c r="C411">
        <v>1.08733040061053</v>
      </c>
      <c r="D411">
        <v>1.50670357143657</v>
      </c>
      <c r="E411">
        <v>0.556607855933731</v>
      </c>
      <c r="F411">
        <v>0.35543155887089</v>
      </c>
      <c r="G411">
        <v>0.136842395237927</v>
      </c>
      <c r="H411">
        <v>0.236186748989361</v>
      </c>
      <c r="I411">
        <v>0.168048845756271</v>
      </c>
      <c r="J411">
        <v>0.104245966307002</v>
      </c>
      <c r="K411">
        <v>0</v>
      </c>
      <c r="L411">
        <v>5428.01783614644</v>
      </c>
      <c r="M411">
        <v>116.608302884361</v>
      </c>
      <c r="N411">
        <v>46.7116606174832</v>
      </c>
      <c r="O411">
        <v>46.5354665730455</v>
      </c>
      <c r="P411">
        <v>-0.521996423396804</v>
      </c>
      <c r="Q411">
        <v>0.166736977914575</v>
      </c>
      <c r="R411">
        <v>0.85633534494268</v>
      </c>
      <c r="S411" t="s">
        <v>2079</v>
      </c>
      <c r="T411" t="s">
        <v>3312</v>
      </c>
      <c r="U411" t="s">
        <v>3312</v>
      </c>
      <c r="V411" t="s">
        <v>3312</v>
      </c>
      <c r="W411" t="s">
        <v>3722</v>
      </c>
      <c r="X411">
        <v>1</v>
      </c>
      <c r="Y411" t="s">
        <v>5362</v>
      </c>
      <c r="Z411" t="s">
        <v>7004</v>
      </c>
      <c r="AA411">
        <v>0.4322820092218239</v>
      </c>
      <c r="AB411">
        <f>HYPERLINK("Melting_Curves/meltCurve_P0A9F3_cysB.pdf", "Melting_Curves/meltCurve_P0A9F3_cysB.pdf")</f>
        <v>0</v>
      </c>
    </row>
    <row r="412" spans="1:28">
      <c r="A412" t="s">
        <v>438</v>
      </c>
      <c r="B412">
        <v>0.999984544473304</v>
      </c>
      <c r="C412">
        <v>0.53116748069105</v>
      </c>
      <c r="D412">
        <v>0.280697220621913</v>
      </c>
      <c r="E412">
        <v>0.111913767880633</v>
      </c>
      <c r="F412">
        <v>0.0484884516202324</v>
      </c>
      <c r="G412">
        <v>0.0220532857983526</v>
      </c>
      <c r="H412">
        <v>0.0152096780905645</v>
      </c>
      <c r="I412">
        <v>0.0106998555515965</v>
      </c>
      <c r="J412">
        <v>0.00704305037622029</v>
      </c>
      <c r="K412">
        <v>0.00608567582638376</v>
      </c>
      <c r="L412">
        <v>893.039214061091</v>
      </c>
      <c r="M412">
        <v>21.9888131787928</v>
      </c>
      <c r="N412">
        <v>40.6952553944098</v>
      </c>
      <c r="O412">
        <v>40.2819163386789</v>
      </c>
      <c r="P412">
        <v>-0.133517104538535</v>
      </c>
      <c r="Q412">
        <v>0.0216471950440606</v>
      </c>
      <c r="R412">
        <v>0.979828481585482</v>
      </c>
      <c r="S412" t="s">
        <v>2080</v>
      </c>
      <c r="T412" t="s">
        <v>3312</v>
      </c>
      <c r="U412" t="s">
        <v>3312</v>
      </c>
      <c r="V412" t="s">
        <v>3312</v>
      </c>
      <c r="W412" t="s">
        <v>3723</v>
      </c>
      <c r="X412">
        <v>16</v>
      </c>
      <c r="Y412" t="s">
        <v>5363</v>
      </c>
      <c r="Z412" t="s">
        <v>7005</v>
      </c>
      <c r="AA412">
        <v>0.1538418790844152</v>
      </c>
      <c r="AB412">
        <f>HYPERLINK("Melting_Curves/meltCurve_P0A9G6_aceA.pdf", "Melting_Curves/meltCurve_P0A9G6_aceA.pdf")</f>
        <v>0</v>
      </c>
    </row>
    <row r="413" spans="1:28">
      <c r="A413" t="s">
        <v>439</v>
      </c>
      <c r="B413">
        <v>0.999984544473304</v>
      </c>
      <c r="C413">
        <v>0.840180917240504</v>
      </c>
      <c r="D413">
        <v>0.674238095509898</v>
      </c>
      <c r="E413">
        <v>0.309383075931116</v>
      </c>
      <c r="F413">
        <v>0.181441014627499</v>
      </c>
      <c r="G413">
        <v>0.135725449953648</v>
      </c>
      <c r="H413">
        <v>0.08554460127808219</v>
      </c>
      <c r="I413">
        <v>0.06901108812520999</v>
      </c>
      <c r="J413">
        <v>0.0501043965013058</v>
      </c>
      <c r="K413">
        <v>0.06408637719720151</v>
      </c>
      <c r="L413">
        <v>757.4227512224149</v>
      </c>
      <c r="M413">
        <v>17.1265161048166</v>
      </c>
      <c r="N413">
        <v>44.5837752611775</v>
      </c>
      <c r="O413">
        <v>43.6354062251392</v>
      </c>
      <c r="P413">
        <v>-0.091814465743563</v>
      </c>
      <c r="Q413">
        <v>0.0643465300654063</v>
      </c>
      <c r="R413">
        <v>0.995449519088785</v>
      </c>
      <c r="S413" t="s">
        <v>2081</v>
      </c>
      <c r="T413" t="s">
        <v>3312</v>
      </c>
      <c r="U413" t="s">
        <v>3312</v>
      </c>
      <c r="V413" t="s">
        <v>3312</v>
      </c>
      <c r="W413" t="s">
        <v>3724</v>
      </c>
      <c r="X413">
        <v>2</v>
      </c>
      <c r="Y413" t="s">
        <v>5364</v>
      </c>
      <c r="Z413" t="s">
        <v>7006</v>
      </c>
      <c r="AA413">
        <v>0.3070858656555283</v>
      </c>
      <c r="AB413">
        <f>HYPERLINK("Melting_Curves/meltCurve_P0A9G8_modE.pdf", "Melting_Curves/meltCurve_P0A9G8_modE.pdf")</f>
        <v>0</v>
      </c>
    </row>
    <row r="414" spans="1:28">
      <c r="A414" t="s">
        <v>440</v>
      </c>
      <c r="B414">
        <v>0.999984544473304</v>
      </c>
      <c r="C414">
        <v>0.490121824852888</v>
      </c>
      <c r="D414">
        <v>0.213181381392283</v>
      </c>
      <c r="E414">
        <v>0.105595596248448</v>
      </c>
      <c r="F414">
        <v>0.0639261106310518</v>
      </c>
      <c r="G414">
        <v>0.0428194538553075</v>
      </c>
      <c r="H414">
        <v>0.0330846838091079</v>
      </c>
      <c r="I414">
        <v>0.0335829814982875</v>
      </c>
      <c r="J414">
        <v>0.0181616213793609</v>
      </c>
      <c r="K414">
        <v>0.0412506820334708</v>
      </c>
      <c r="L414">
        <v>1176.84693923612</v>
      </c>
      <c r="M414">
        <v>29.4317632228876</v>
      </c>
      <c r="N414">
        <v>40.1303572924121</v>
      </c>
      <c r="O414">
        <v>39.8023924284809</v>
      </c>
      <c r="P414">
        <v>-0.175553526277154</v>
      </c>
      <c r="Q414">
        <v>0.0503595802436618</v>
      </c>
      <c r="R414">
        <v>0.982346866488049</v>
      </c>
      <c r="S414" t="s">
        <v>2082</v>
      </c>
      <c r="T414" t="s">
        <v>3312</v>
      </c>
      <c r="U414" t="s">
        <v>3312</v>
      </c>
      <c r="V414" t="s">
        <v>3312</v>
      </c>
      <c r="W414" t="s">
        <v>3725</v>
      </c>
      <c r="X414">
        <v>4</v>
      </c>
      <c r="Y414" t="s">
        <v>5365</v>
      </c>
      <c r="Z414" t="s">
        <v>7007</v>
      </c>
      <c r="AA414">
        <v>0.152836490841006</v>
      </c>
      <c r="AB414">
        <f>HYPERLINK("Melting_Curves/meltCurve_P0A9H1_mug.pdf", "Melting_Curves/meltCurve_P0A9H1_mug.pdf")</f>
        <v>0</v>
      </c>
    </row>
    <row r="415" spans="1:28">
      <c r="A415" t="s">
        <v>441</v>
      </c>
      <c r="B415">
        <v>0.999984544473304</v>
      </c>
      <c r="C415">
        <v>0.516326553062858</v>
      </c>
      <c r="D415">
        <v>0.482956079115234</v>
      </c>
      <c r="E415">
        <v>0.231353235671109</v>
      </c>
      <c r="F415">
        <v>0.136096577837646</v>
      </c>
      <c r="G415">
        <v>0.0797181171012484</v>
      </c>
      <c r="H415">
        <v>0.0448839033042354</v>
      </c>
      <c r="I415">
        <v>0.0380802807821151</v>
      </c>
      <c r="J415">
        <v>0.0293313175776966</v>
      </c>
      <c r="K415">
        <v>0.040887533706356</v>
      </c>
      <c r="L415">
        <v>571.618397192693</v>
      </c>
      <c r="M415">
        <v>13.6803101370937</v>
      </c>
      <c r="N415">
        <v>41.9930011680921</v>
      </c>
      <c r="O415">
        <v>40.9215278606486</v>
      </c>
      <c r="P415">
        <v>-0.0808379479705634</v>
      </c>
      <c r="Q415">
        <v>0.0329068711578847</v>
      </c>
      <c r="R415">
        <v>0.948512798193784</v>
      </c>
      <c r="S415" t="s">
        <v>2083</v>
      </c>
      <c r="T415" t="s">
        <v>3312</v>
      </c>
      <c r="U415" t="s">
        <v>3312</v>
      </c>
      <c r="V415" t="s">
        <v>3312</v>
      </c>
      <c r="W415" t="s">
        <v>3726</v>
      </c>
      <c r="X415">
        <v>1</v>
      </c>
      <c r="Y415" t="s">
        <v>5366</v>
      </c>
      <c r="Z415" t="s">
        <v>7008</v>
      </c>
      <c r="AA415">
        <v>0.221714962793382</v>
      </c>
      <c r="AB415">
        <f>HYPERLINK("Melting_Curves/meltCurve_P0A9H5_btuR.pdf", "Melting_Curves/meltCurve_P0A9H5_btuR.pdf")</f>
        <v>0</v>
      </c>
    </row>
    <row r="416" spans="1:28">
      <c r="A416" t="s">
        <v>442</v>
      </c>
      <c r="B416">
        <v>0.999984544473304</v>
      </c>
      <c r="C416">
        <v>1.11560144912713</v>
      </c>
      <c r="D416">
        <v>0.699338342548541</v>
      </c>
      <c r="E416">
        <v>0.823645049430144</v>
      </c>
      <c r="F416">
        <v>0.813322285610392</v>
      </c>
      <c r="G416">
        <v>0.655755850239465</v>
      </c>
      <c r="H416">
        <v>0.594033096767119</v>
      </c>
      <c r="I416">
        <v>0.481941215826264</v>
      </c>
      <c r="J416">
        <v>0.37004501897552</v>
      </c>
      <c r="K416">
        <v>0.496975068837614</v>
      </c>
      <c r="L416">
        <v>379.183193714695</v>
      </c>
      <c r="M416">
        <v>6.93477260559768</v>
      </c>
      <c r="N416">
        <v>61.2983619212429</v>
      </c>
      <c r="O416">
        <v>50.6750007676111</v>
      </c>
      <c r="P416">
        <v>-0.0252434484000639</v>
      </c>
      <c r="Q416">
        <v>0.263559340548606</v>
      </c>
      <c r="R416">
        <v>0.82133957396</v>
      </c>
      <c r="S416" t="s">
        <v>2084</v>
      </c>
      <c r="T416" t="s">
        <v>3312</v>
      </c>
      <c r="U416" t="s">
        <v>3312</v>
      </c>
      <c r="V416" t="s">
        <v>3312</v>
      </c>
      <c r="W416" t="s">
        <v>3727</v>
      </c>
      <c r="X416">
        <v>1</v>
      </c>
      <c r="Y416" t="s">
        <v>5367</v>
      </c>
      <c r="Z416" t="s">
        <v>7009</v>
      </c>
      <c r="AA416">
        <v>0.7010787418171678</v>
      </c>
      <c r="AB416">
        <f>HYPERLINK("Melting_Curves/meltCurve_P0A9H9_cheZ.pdf", "Melting_Curves/meltCurve_P0A9H9_cheZ.pdf")</f>
        <v>0</v>
      </c>
    </row>
    <row r="417" spans="1:28">
      <c r="A417" t="s">
        <v>443</v>
      </c>
      <c r="B417">
        <v>0.999984544473304</v>
      </c>
      <c r="C417">
        <v>1.04492876741883</v>
      </c>
      <c r="D417">
        <v>0.7886496288177069</v>
      </c>
      <c r="E417">
        <v>0.316777317446793</v>
      </c>
      <c r="F417">
        <v>0.106039105737693</v>
      </c>
      <c r="G417">
        <v>0.047990511958502</v>
      </c>
      <c r="H417">
        <v>0.0363731933226416</v>
      </c>
      <c r="I417">
        <v>0.0295182311197496</v>
      </c>
      <c r="J417">
        <v>0.0231474032039494</v>
      </c>
      <c r="K417">
        <v>0.0128700445059369</v>
      </c>
      <c r="L417">
        <v>1244.30166024188</v>
      </c>
      <c r="M417">
        <v>27.5609674221456</v>
      </c>
      <c r="N417">
        <v>45.2487706306908</v>
      </c>
      <c r="O417">
        <v>44.9115667798236</v>
      </c>
      <c r="P417">
        <v>-0.148819270900141</v>
      </c>
      <c r="Q417">
        <v>0.0299838740384255</v>
      </c>
      <c r="R417">
        <v>0.996441077481615</v>
      </c>
      <c r="S417" t="s">
        <v>2085</v>
      </c>
      <c r="T417" t="s">
        <v>3312</v>
      </c>
      <c r="U417" t="s">
        <v>3312</v>
      </c>
      <c r="V417" t="s">
        <v>3312</v>
      </c>
      <c r="W417" t="s">
        <v>3728</v>
      </c>
      <c r="X417">
        <v>2</v>
      </c>
      <c r="Y417" t="s">
        <v>5368</v>
      </c>
      <c r="Z417" t="s">
        <v>7010</v>
      </c>
      <c r="AA417">
        <v>0.2999194963983348</v>
      </c>
      <c r="AB417">
        <f>HYPERLINK("Melting_Curves/meltCurve_P0A9J0_rng.pdf", "Melting_Curves/meltCurve_P0A9J0_rng.pdf")</f>
        <v>0</v>
      </c>
    </row>
    <row r="418" spans="1:28">
      <c r="A418" t="s">
        <v>444</v>
      </c>
      <c r="B418">
        <v>0.999984544473304</v>
      </c>
      <c r="C418">
        <v>0.916455496642625</v>
      </c>
      <c r="D418">
        <v>0.940902879496339</v>
      </c>
      <c r="E418">
        <v>0.898072108828868</v>
      </c>
      <c r="F418">
        <v>0.911526284780398</v>
      </c>
      <c r="G418">
        <v>0.686272327955876</v>
      </c>
      <c r="H418">
        <v>0.653779953584445</v>
      </c>
      <c r="I418">
        <v>0.490052247701879</v>
      </c>
      <c r="J418">
        <v>0.369587962586951</v>
      </c>
      <c r="K418">
        <v>0.530476153113898</v>
      </c>
      <c r="L418">
        <v>679.323386623729</v>
      </c>
      <c r="M418">
        <v>12.4259299533429</v>
      </c>
      <c r="N418">
        <v>61.9596000358153</v>
      </c>
      <c r="O418">
        <v>53.3118125825397</v>
      </c>
      <c r="P418">
        <v>-0.0358955766039507</v>
      </c>
      <c r="Q418">
        <v>0.384108867607485</v>
      </c>
      <c r="R418">
        <v>0.920288330632924</v>
      </c>
      <c r="S418" t="s">
        <v>2086</v>
      </c>
      <c r="T418" t="s">
        <v>3312</v>
      </c>
      <c r="U418" t="s">
        <v>3312</v>
      </c>
      <c r="V418" t="s">
        <v>3312</v>
      </c>
      <c r="W418" t="s">
        <v>3729</v>
      </c>
      <c r="X418">
        <v>3</v>
      </c>
      <c r="Y418" t="s">
        <v>5369</v>
      </c>
      <c r="Z418" t="s">
        <v>7011</v>
      </c>
      <c r="AA418">
        <v>0.7564379881112756</v>
      </c>
      <c r="AB418">
        <f>HYPERLINK("Melting_Curves/meltCurve_P0A9J6_rbsK.pdf", "Melting_Curves/meltCurve_P0A9J6_rbsK.pdf")</f>
        <v>0</v>
      </c>
    </row>
    <row r="419" spans="1:28">
      <c r="A419" t="s">
        <v>445</v>
      </c>
      <c r="B419">
        <v>0.999984544473304</v>
      </c>
      <c r="C419">
        <v>0.957712080413449</v>
      </c>
      <c r="D419">
        <v>0.741172526363632</v>
      </c>
      <c r="E419">
        <v>0.361353983945267</v>
      </c>
      <c r="F419">
        <v>0.142957681363911</v>
      </c>
      <c r="G419">
        <v>0.0652070311113943</v>
      </c>
      <c r="H419">
        <v>0.0541918908477203</v>
      </c>
      <c r="I419">
        <v>0.0443658939861112</v>
      </c>
      <c r="J419">
        <v>0.0360548942104157</v>
      </c>
      <c r="K419">
        <v>0.0310036787095806</v>
      </c>
      <c r="L419">
        <v>957.59069954292</v>
      </c>
      <c r="M419">
        <v>21.2298653622183</v>
      </c>
      <c r="N419">
        <v>45.272589605569</v>
      </c>
      <c r="O419">
        <v>44.7113395046331</v>
      </c>
      <c r="P419">
        <v>-0.114244007769862</v>
      </c>
      <c r="Q419">
        <v>0.0376064379146679</v>
      </c>
      <c r="R419">
        <v>0.9996542404884911</v>
      </c>
      <c r="S419" t="s">
        <v>2087</v>
      </c>
      <c r="T419" t="s">
        <v>3312</v>
      </c>
      <c r="U419" t="s">
        <v>3312</v>
      </c>
      <c r="V419" t="s">
        <v>3312</v>
      </c>
      <c r="W419" t="s">
        <v>3730</v>
      </c>
      <c r="X419">
        <v>7</v>
      </c>
      <c r="Y419" t="s">
        <v>5370</v>
      </c>
      <c r="Z419" t="s">
        <v>7012</v>
      </c>
      <c r="AA419">
        <v>0.3087846997678451</v>
      </c>
      <c r="AB419">
        <f>HYPERLINK("Melting_Curves/meltCurve_P0A9J8_pheA.pdf", "Melting_Curves/meltCurve_P0A9J8_pheA.pdf")</f>
        <v>0</v>
      </c>
    </row>
    <row r="420" spans="1:28">
      <c r="A420" t="s">
        <v>446</v>
      </c>
      <c r="B420">
        <v>0.999984544473304</v>
      </c>
      <c r="C420">
        <v>1.12624766777698</v>
      </c>
      <c r="D420">
        <v>1.02248064383174</v>
      </c>
      <c r="E420">
        <v>0.966707518272764</v>
      </c>
      <c r="F420">
        <v>0.8530355081690359</v>
      </c>
      <c r="G420">
        <v>0.746480541802919</v>
      </c>
      <c r="H420">
        <v>0.528855389037351</v>
      </c>
      <c r="I420">
        <v>0.280620065083852</v>
      </c>
      <c r="J420">
        <v>0.136303414847347</v>
      </c>
      <c r="K420">
        <v>0.08860078851693561</v>
      </c>
      <c r="L420">
        <v>899.127706095864</v>
      </c>
      <c r="M420">
        <v>15.6694600310807</v>
      </c>
      <c r="N420">
        <v>57.3808991945496</v>
      </c>
      <c r="O420">
        <v>56.4707138511072</v>
      </c>
      <c r="P420">
        <v>-0.0693757596729906</v>
      </c>
      <c r="Q420">
        <v>0</v>
      </c>
      <c r="R420">
        <v>0.984376110151988</v>
      </c>
      <c r="S420" t="s">
        <v>2088</v>
      </c>
      <c r="T420" t="s">
        <v>3312</v>
      </c>
      <c r="U420" t="s">
        <v>3312</v>
      </c>
      <c r="V420" t="s">
        <v>3312</v>
      </c>
      <c r="W420" t="s">
        <v>3731</v>
      </c>
      <c r="X420">
        <v>8</v>
      </c>
      <c r="Y420" t="s">
        <v>5371</v>
      </c>
      <c r="Z420" t="s">
        <v>7013</v>
      </c>
      <c r="AA420">
        <v>0.6865801075722245</v>
      </c>
      <c r="AB420">
        <f>HYPERLINK("Melting_Curves/meltCurve_P0A9K3_ybeZ.pdf", "Melting_Curves/meltCurve_P0A9K3_ybeZ.pdf")</f>
        <v>0</v>
      </c>
    </row>
    <row r="421" spans="1:28">
      <c r="A421" t="s">
        <v>447</v>
      </c>
      <c r="B421">
        <v>0.999984544473304</v>
      </c>
      <c r="C421">
        <v>0.790411985813138</v>
      </c>
      <c r="D421">
        <v>0.880999083852445</v>
      </c>
      <c r="E421">
        <v>0.674021431098589</v>
      </c>
      <c r="F421">
        <v>0.7253276673286621</v>
      </c>
      <c r="G421">
        <v>0.473411436048722</v>
      </c>
      <c r="H421">
        <v>0.33956991386282</v>
      </c>
      <c r="I421">
        <v>0.233358754411011</v>
      </c>
      <c r="J421">
        <v>0.146714405412461</v>
      </c>
      <c r="K421">
        <v>0.098968242285827</v>
      </c>
      <c r="L421">
        <v>437.007142951175</v>
      </c>
      <c r="M421">
        <v>8.29186174298613</v>
      </c>
      <c r="N421">
        <v>52.7031391066601</v>
      </c>
      <c r="O421">
        <v>49.9046052798596</v>
      </c>
      <c r="P421">
        <v>-0.0415796314171737</v>
      </c>
      <c r="Q421">
        <v>0</v>
      </c>
      <c r="R421">
        <v>0.949910128646041</v>
      </c>
      <c r="S421" t="s">
        <v>2089</v>
      </c>
      <c r="T421" t="s">
        <v>3312</v>
      </c>
      <c r="U421" t="s">
        <v>3312</v>
      </c>
      <c r="V421" t="s">
        <v>3312</v>
      </c>
      <c r="W421" t="s">
        <v>3732</v>
      </c>
      <c r="X421">
        <v>5</v>
      </c>
      <c r="Y421" t="s">
        <v>5372</v>
      </c>
      <c r="Z421" t="s">
        <v>7014</v>
      </c>
      <c r="AA421">
        <v>0.5474526069376536</v>
      </c>
      <c r="AB421">
        <f>HYPERLINK("Melting_Curves/meltCurve_P0A9K7_phoU.pdf", "Melting_Curves/meltCurve_P0A9K7_phoU.pdf")</f>
        <v>0</v>
      </c>
    </row>
    <row r="422" spans="1:28">
      <c r="A422" t="s">
        <v>448</v>
      </c>
      <c r="B422">
        <v>0.999984544473304</v>
      </c>
      <c r="C422">
        <v>0.900627553686965</v>
      </c>
      <c r="D422">
        <v>1.1501403511593</v>
      </c>
      <c r="E422">
        <v>0.9951932057152399</v>
      </c>
      <c r="F422">
        <v>1.31892841368372</v>
      </c>
      <c r="G422">
        <v>1.21138090078376</v>
      </c>
      <c r="H422">
        <v>1.18331380608465</v>
      </c>
      <c r="I422">
        <v>1.13504633818884</v>
      </c>
      <c r="J422">
        <v>0.94096586650209</v>
      </c>
      <c r="K422">
        <v>1.08648773685331</v>
      </c>
      <c r="L422">
        <v>10379.8926514026</v>
      </c>
      <c r="M422">
        <v>250</v>
      </c>
      <c r="O422">
        <v>41.5169138830562</v>
      </c>
      <c r="P422">
        <v>0.192216832766562</v>
      </c>
      <c r="Q422">
        <v>1.12768399415297</v>
      </c>
      <c r="R422">
        <v>0.289859233053424</v>
      </c>
      <c r="S422" t="s">
        <v>2090</v>
      </c>
      <c r="T422" t="s">
        <v>3312</v>
      </c>
      <c r="U422" t="s">
        <v>3312</v>
      </c>
      <c r="V422" t="s">
        <v>3312</v>
      </c>
      <c r="W422" t="s">
        <v>3733</v>
      </c>
      <c r="X422">
        <v>2</v>
      </c>
      <c r="Y422" t="s">
        <v>5373</v>
      </c>
      <c r="Z422" t="s">
        <v>7015</v>
      </c>
      <c r="AA422">
        <v>1.108438796079463</v>
      </c>
      <c r="AB422">
        <f>HYPERLINK("Melting_Curves/meltCurve_P0A9K9_slyD.pdf", "Melting_Curves/meltCurve_P0A9K9_slyD.pdf")</f>
        <v>0</v>
      </c>
    </row>
    <row r="423" spans="1:28">
      <c r="A423" t="s">
        <v>449</v>
      </c>
      <c r="B423">
        <v>0.999984544473304</v>
      </c>
      <c r="C423">
        <v>0.905728857941974</v>
      </c>
      <c r="D423">
        <v>1.03150173125265</v>
      </c>
      <c r="E423">
        <v>1.07410307348782</v>
      </c>
      <c r="F423">
        <v>1.14069676505586</v>
      </c>
      <c r="G423">
        <v>0.904933972563736</v>
      </c>
      <c r="H423">
        <v>0.786287832683898</v>
      </c>
      <c r="I423">
        <v>0.646160406107708</v>
      </c>
      <c r="J423">
        <v>0.3898710817992</v>
      </c>
      <c r="K423">
        <v>0.394923246630886</v>
      </c>
      <c r="L423">
        <v>1312.12113742532</v>
      </c>
      <c r="M423">
        <v>21.8648501863025</v>
      </c>
      <c r="N423">
        <v>62.7487166075989</v>
      </c>
      <c r="O423">
        <v>59.5153071288118</v>
      </c>
      <c r="P423">
        <v>-0.06361117922022121</v>
      </c>
      <c r="Q423">
        <v>0.30742675985846</v>
      </c>
      <c r="R423">
        <v>0.9280588153727169</v>
      </c>
      <c r="S423" t="s">
        <v>2091</v>
      </c>
      <c r="T423" t="s">
        <v>3312</v>
      </c>
      <c r="U423" t="s">
        <v>3312</v>
      </c>
      <c r="V423" t="s">
        <v>3312</v>
      </c>
      <c r="W423" t="s">
        <v>3734</v>
      </c>
      <c r="X423">
        <v>9</v>
      </c>
      <c r="Y423" t="s">
        <v>5374</v>
      </c>
      <c r="Z423" t="s">
        <v>7016</v>
      </c>
      <c r="AA423">
        <v>0.8398236434192646</v>
      </c>
      <c r="AB423">
        <f>HYPERLINK("Melting_Curves/meltCurve_P0A9L3_fklB.pdf", "Melting_Curves/meltCurve_P0A9L3_fklB.pdf")</f>
        <v>0</v>
      </c>
    </row>
    <row r="424" spans="1:28">
      <c r="A424" t="s">
        <v>450</v>
      </c>
      <c r="B424">
        <v>0.999984544473304</v>
      </c>
      <c r="C424">
        <v>1.06635693083567</v>
      </c>
      <c r="D424">
        <v>0.974545787284452</v>
      </c>
      <c r="E424">
        <v>0.930437156776598</v>
      </c>
      <c r="F424">
        <v>0.708767328423115</v>
      </c>
      <c r="G424">
        <v>0.355517601197738</v>
      </c>
      <c r="H424">
        <v>0.15371848820892</v>
      </c>
      <c r="I424">
        <v>0.0810332694240493</v>
      </c>
      <c r="J424">
        <v>0.0469699649597072</v>
      </c>
      <c r="K424">
        <v>0.0343221209311801</v>
      </c>
      <c r="L424">
        <v>1119.53554063255</v>
      </c>
      <c r="M424">
        <v>21.4733455725244</v>
      </c>
      <c r="N424">
        <v>52.296853112008</v>
      </c>
      <c r="O424">
        <v>51.6902159914948</v>
      </c>
      <c r="P424">
        <v>-0.100540342006188</v>
      </c>
      <c r="Q424">
        <v>0.0319488231663456</v>
      </c>
      <c r="R424">
        <v>0.997158173039331</v>
      </c>
      <c r="S424" t="s">
        <v>2092</v>
      </c>
      <c r="T424" t="s">
        <v>3312</v>
      </c>
      <c r="U424" t="s">
        <v>3312</v>
      </c>
      <c r="V424" t="s">
        <v>3312</v>
      </c>
      <c r="W424" t="s">
        <v>3735</v>
      </c>
      <c r="X424">
        <v>3</v>
      </c>
      <c r="Y424" t="s">
        <v>5375</v>
      </c>
      <c r="Z424" t="s">
        <v>7017</v>
      </c>
      <c r="AA424">
        <v>0.531497993282939</v>
      </c>
      <c r="AB424">
        <f>HYPERLINK("Melting_Curves/meltCurve_P0A9L5_ppiC.pdf", "Melting_Curves/meltCurve_P0A9L5_ppiC.pdf")</f>
        <v>0</v>
      </c>
    </row>
    <row r="425" spans="1:28">
      <c r="A425" t="s">
        <v>451</v>
      </c>
      <c r="B425">
        <v>0.999984544473304</v>
      </c>
      <c r="C425">
        <v>0.756405121763256</v>
      </c>
      <c r="D425">
        <v>0.585082844156245</v>
      </c>
      <c r="E425">
        <v>0.350099913311514</v>
      </c>
      <c r="F425">
        <v>0.186019405204965</v>
      </c>
      <c r="G425">
        <v>0.09322877987961781</v>
      </c>
      <c r="H425">
        <v>0.0520812699917137</v>
      </c>
      <c r="I425">
        <v>0.0369659675928898</v>
      </c>
      <c r="J425">
        <v>0.0217876857975946</v>
      </c>
      <c r="K425">
        <v>0.0226118628042594</v>
      </c>
      <c r="L425">
        <v>578.578714733462</v>
      </c>
      <c r="M425">
        <v>13.1144149110368</v>
      </c>
      <c r="N425">
        <v>44.1886379708713</v>
      </c>
      <c r="O425">
        <v>43.1297790234282</v>
      </c>
      <c r="P425">
        <v>-0.075239103373518</v>
      </c>
      <c r="Q425">
        <v>0.010404374528258</v>
      </c>
      <c r="R425">
        <v>0.993109200268156</v>
      </c>
      <c r="S425" t="s">
        <v>2093</v>
      </c>
      <c r="T425" t="s">
        <v>3312</v>
      </c>
      <c r="U425" t="s">
        <v>3312</v>
      </c>
      <c r="V425" t="s">
        <v>3312</v>
      </c>
      <c r="W425" t="s">
        <v>3736</v>
      </c>
      <c r="X425">
        <v>3</v>
      </c>
      <c r="Y425" t="s">
        <v>5376</v>
      </c>
      <c r="Z425" t="s">
        <v>7018</v>
      </c>
      <c r="AA425">
        <v>0.2772229061975282</v>
      </c>
      <c r="AB425">
        <f>HYPERLINK("Melting_Curves/meltCurve_P0A9L8_proC.pdf", "Melting_Curves/meltCurve_P0A9L8_proC.pdf")</f>
        <v>0</v>
      </c>
    </row>
    <row r="426" spans="1:28">
      <c r="A426" t="s">
        <v>452</v>
      </c>
      <c r="B426">
        <v>0.999984544473304</v>
      </c>
      <c r="C426">
        <v>0.7940973073024</v>
      </c>
      <c r="D426">
        <v>0.376630738662784</v>
      </c>
      <c r="E426">
        <v>0.29971873151602</v>
      </c>
      <c r="F426">
        <v>0.308413912681368</v>
      </c>
      <c r="G426">
        <v>0.253014212008933</v>
      </c>
      <c r="H426">
        <v>0.254014197120802</v>
      </c>
      <c r="I426">
        <v>0.233004305296384</v>
      </c>
      <c r="J426">
        <v>0.185349663723532</v>
      </c>
      <c r="K426">
        <v>0.15466711894795</v>
      </c>
      <c r="L426">
        <v>1311.9641852991</v>
      </c>
      <c r="M426">
        <v>31.894523109753</v>
      </c>
      <c r="N426">
        <v>41.9784670893755</v>
      </c>
      <c r="O426">
        <v>40.973772397313</v>
      </c>
      <c r="P426">
        <v>-0.148544348308025</v>
      </c>
      <c r="Q426">
        <v>0.236685093459737</v>
      </c>
      <c r="R426">
        <v>0.975466700990356</v>
      </c>
      <c r="S426" t="s">
        <v>2094</v>
      </c>
      <c r="T426" t="s">
        <v>3312</v>
      </c>
      <c r="U426" t="s">
        <v>3312</v>
      </c>
      <c r="V426" t="s">
        <v>3312</v>
      </c>
      <c r="W426" t="s">
        <v>3737</v>
      </c>
      <c r="X426">
        <v>18</v>
      </c>
      <c r="Y426" t="s">
        <v>5377</v>
      </c>
      <c r="Z426" t="s">
        <v>7019</v>
      </c>
      <c r="AA426">
        <v>0.346016302091962</v>
      </c>
      <c r="AB426">
        <f>HYPERLINK("Melting_Curves/meltCurve_P0A9M0_lon.pdf", "Melting_Curves/meltCurve_P0A9M0_lon.pdf")</f>
        <v>0</v>
      </c>
    </row>
    <row r="427" spans="1:28">
      <c r="A427" t="s">
        <v>453</v>
      </c>
      <c r="B427">
        <v>0.999984544473304</v>
      </c>
      <c r="C427">
        <v>0.838774796040975</v>
      </c>
      <c r="D427">
        <v>0.712713964252667</v>
      </c>
      <c r="E427">
        <v>0.509414414967258</v>
      </c>
      <c r="F427">
        <v>0.272608746897514</v>
      </c>
      <c r="G427">
        <v>0.151136627573624</v>
      </c>
      <c r="H427">
        <v>0.101869854612522</v>
      </c>
      <c r="I427">
        <v>0.0617438889367254</v>
      </c>
      <c r="J427">
        <v>0.0391783533096509</v>
      </c>
      <c r="K427">
        <v>0.0484139868535198</v>
      </c>
      <c r="L427">
        <v>567.304187513757</v>
      </c>
      <c r="M427">
        <v>12.2779448468329</v>
      </c>
      <c r="N427">
        <v>46.3201593946295</v>
      </c>
      <c r="O427">
        <v>45.0307362065019</v>
      </c>
      <c r="P427">
        <v>-0.06715569337536161</v>
      </c>
      <c r="Q427">
        <v>0.0150136064973878</v>
      </c>
      <c r="R427">
        <v>0.996094626427115</v>
      </c>
      <c r="S427" t="s">
        <v>2095</v>
      </c>
      <c r="T427" t="s">
        <v>3312</v>
      </c>
      <c r="U427" t="s">
        <v>3312</v>
      </c>
      <c r="V427" t="s">
        <v>3312</v>
      </c>
      <c r="W427" t="s">
        <v>3738</v>
      </c>
      <c r="X427">
        <v>5</v>
      </c>
      <c r="Y427" t="s">
        <v>5378</v>
      </c>
      <c r="Z427" t="s">
        <v>7020</v>
      </c>
      <c r="AA427">
        <v>0.349601294088294</v>
      </c>
      <c r="AB427">
        <f>HYPERLINK("Melting_Curves/meltCurve_P0A9M2_hpt.pdf", "Melting_Curves/meltCurve_P0A9M2_hpt.pdf")</f>
        <v>0</v>
      </c>
    </row>
    <row r="428" spans="1:28">
      <c r="A428" t="s">
        <v>454</v>
      </c>
      <c r="B428">
        <v>0.999984544473304</v>
      </c>
      <c r="C428">
        <v>0.982724826353734</v>
      </c>
      <c r="D428">
        <v>1.05273202439108</v>
      </c>
      <c r="E428">
        <v>1.09016242983489</v>
      </c>
      <c r="F428">
        <v>1.16437058543857</v>
      </c>
      <c r="G428">
        <v>1.02171489501622</v>
      </c>
      <c r="H428">
        <v>0.79591816343379</v>
      </c>
      <c r="I428">
        <v>0.393533253947347</v>
      </c>
      <c r="J428">
        <v>0.0989074458422933</v>
      </c>
      <c r="K428">
        <v>0.0685910673673709</v>
      </c>
      <c r="L428">
        <v>2033.37550058036</v>
      </c>
      <c r="M428">
        <v>33.9326772115516</v>
      </c>
      <c r="N428">
        <v>60.0276816009534</v>
      </c>
      <c r="O428">
        <v>59.7168521295799</v>
      </c>
      <c r="P428">
        <v>-0.138006754168028</v>
      </c>
      <c r="Q428">
        <v>0.0285123180106072</v>
      </c>
      <c r="R428">
        <v>0.97326609397829</v>
      </c>
      <c r="S428" t="s">
        <v>2096</v>
      </c>
      <c r="T428" t="s">
        <v>3312</v>
      </c>
      <c r="U428" t="s">
        <v>3312</v>
      </c>
      <c r="V428" t="s">
        <v>3312</v>
      </c>
      <c r="W428" t="s">
        <v>3739</v>
      </c>
      <c r="X428">
        <v>4</v>
      </c>
      <c r="Y428" t="s">
        <v>5379</v>
      </c>
      <c r="Z428" t="s">
        <v>7021</v>
      </c>
      <c r="AA428">
        <v>0.7743622297165429</v>
      </c>
      <c r="AB428">
        <f>HYPERLINK("Melting_Curves/meltCurve_P0A9M5_gpt.pdf", "Melting_Curves/meltCurve_P0A9M5_gpt.pdf")</f>
        <v>0</v>
      </c>
    </row>
    <row r="429" spans="1:28">
      <c r="A429" t="s">
        <v>455</v>
      </c>
      <c r="B429">
        <v>0.999984544473304</v>
      </c>
      <c r="C429">
        <v>1.60981936586928</v>
      </c>
      <c r="D429">
        <v>1.19477627674764</v>
      </c>
      <c r="E429">
        <v>1.40594714924311</v>
      </c>
      <c r="F429">
        <v>0.361042589428264</v>
      </c>
      <c r="G429">
        <v>0.0946620294542511</v>
      </c>
      <c r="H429">
        <v>0.0505981589149465</v>
      </c>
      <c r="I429">
        <v>0.0377453224261475</v>
      </c>
      <c r="J429">
        <v>0.0238518369235586</v>
      </c>
      <c r="K429">
        <v>0.0198309563092436</v>
      </c>
      <c r="L429">
        <v>12514.607511172</v>
      </c>
      <c r="M429">
        <v>250</v>
      </c>
      <c r="N429">
        <v>50.0774701238511</v>
      </c>
      <c r="O429">
        <v>50.0552256994021</v>
      </c>
      <c r="P429">
        <v>-1.19201132068742</v>
      </c>
      <c r="Q429">
        <v>0.0453376521358674</v>
      </c>
      <c r="R429">
        <v>0.846942986305545</v>
      </c>
      <c r="S429" t="s">
        <v>2097</v>
      </c>
      <c r="T429" t="s">
        <v>3312</v>
      </c>
      <c r="U429" t="s">
        <v>3312</v>
      </c>
      <c r="V429" t="s">
        <v>3312</v>
      </c>
      <c r="W429" t="s">
        <v>3740</v>
      </c>
      <c r="X429">
        <v>17</v>
      </c>
      <c r="Y429" t="s">
        <v>5380</v>
      </c>
      <c r="Z429" t="s">
        <v>7022</v>
      </c>
      <c r="AA429">
        <v>0.4609679037714358</v>
      </c>
      <c r="AB429">
        <f>HYPERLINK("Melting_Curves/meltCurve_P0A9M8_pta.pdf", "Melting_Curves/meltCurve_P0A9M8_pta.pdf")</f>
        <v>0</v>
      </c>
    </row>
    <row r="430" spans="1:28">
      <c r="A430" t="s">
        <v>456</v>
      </c>
      <c r="B430">
        <v>0.999984544473304</v>
      </c>
      <c r="C430">
        <v>1.05035397318429</v>
      </c>
      <c r="D430">
        <v>0.76174703186895</v>
      </c>
      <c r="E430">
        <v>0.843796232578526</v>
      </c>
      <c r="F430">
        <v>0.8449882026662759</v>
      </c>
      <c r="G430">
        <v>0.718007820537321</v>
      </c>
      <c r="H430">
        <v>0.584861900635554</v>
      </c>
      <c r="I430">
        <v>0.472793062575092</v>
      </c>
      <c r="J430">
        <v>0.265198280328418</v>
      </c>
      <c r="K430">
        <v>0.429647790281988</v>
      </c>
      <c r="L430">
        <v>385.481411624365</v>
      </c>
      <c r="M430">
        <v>6.4191566251488</v>
      </c>
      <c r="N430">
        <v>60.0517223473898</v>
      </c>
      <c r="O430">
        <v>55.018651695648</v>
      </c>
      <c r="P430">
        <v>-0.0292422133732002</v>
      </c>
      <c r="Q430">
        <v>0</v>
      </c>
      <c r="R430">
        <v>0.8834129939983379</v>
      </c>
      <c r="S430" t="s">
        <v>2098</v>
      </c>
      <c r="T430" t="s">
        <v>3312</v>
      </c>
      <c r="U430" t="s">
        <v>3312</v>
      </c>
      <c r="V430" t="s">
        <v>3312</v>
      </c>
      <c r="W430" t="s">
        <v>3741</v>
      </c>
      <c r="X430">
        <v>1</v>
      </c>
      <c r="Y430" t="s">
        <v>5381</v>
      </c>
      <c r="Z430" t="s">
        <v>7023</v>
      </c>
      <c r="AA430">
        <v>0.7046377740359552</v>
      </c>
      <c r="AB430">
        <f>HYPERLINK("Melting_Curves/meltCurve_P0A9N0_ptsO.pdf", "Melting_Curves/meltCurve_P0A9N0_ptsO.pdf")</f>
        <v>0</v>
      </c>
    </row>
    <row r="431" spans="1:28">
      <c r="A431" t="s">
        <v>457</v>
      </c>
      <c r="B431">
        <v>0.999984544473304</v>
      </c>
      <c r="C431">
        <v>0.794520882821684</v>
      </c>
      <c r="D431">
        <v>0.542998212619101</v>
      </c>
      <c r="E431">
        <v>0.334566371627341</v>
      </c>
      <c r="F431">
        <v>0.235361472947349</v>
      </c>
      <c r="G431">
        <v>0.108016996862601</v>
      </c>
      <c r="H431">
        <v>0.0853728319075707</v>
      </c>
      <c r="I431">
        <v>0.07094145107044569</v>
      </c>
      <c r="J431">
        <v>0.0542903417015072</v>
      </c>
      <c r="K431">
        <v>0.0778222241451942</v>
      </c>
      <c r="L431">
        <v>624.1520897679389</v>
      </c>
      <c r="M431">
        <v>14.3162434766038</v>
      </c>
      <c r="N431">
        <v>44.0083798815231</v>
      </c>
      <c r="O431">
        <v>42.7732861128547</v>
      </c>
      <c r="P431">
        <v>-0.07844970929523649</v>
      </c>
      <c r="Q431">
        <v>0.06256274859740441</v>
      </c>
      <c r="R431">
        <v>0.991349907602795</v>
      </c>
      <c r="S431" t="s">
        <v>2099</v>
      </c>
      <c r="T431" t="s">
        <v>3312</v>
      </c>
      <c r="U431" t="s">
        <v>3312</v>
      </c>
      <c r="V431" t="s">
        <v>3312</v>
      </c>
      <c r="W431" t="s">
        <v>3742</v>
      </c>
      <c r="X431">
        <v>3</v>
      </c>
      <c r="Y431" t="s">
        <v>5382</v>
      </c>
      <c r="Z431" t="s">
        <v>7024</v>
      </c>
      <c r="AA431">
        <v>0.2949632201240764</v>
      </c>
      <c r="AB431">
        <f>HYPERLINK("Melting_Curves/meltCurve_P0A9N4_pflA.pdf", "Melting_Curves/meltCurve_P0A9N4_pflA.pdf")</f>
        <v>0</v>
      </c>
    </row>
    <row r="432" spans="1:28">
      <c r="A432" t="s">
        <v>458</v>
      </c>
      <c r="B432">
        <v>0.999984544473304</v>
      </c>
      <c r="C432">
        <v>1.18982425527635</v>
      </c>
      <c r="D432">
        <v>1.18138865600143</v>
      </c>
      <c r="E432">
        <v>0.634068277247837</v>
      </c>
      <c r="F432">
        <v>0.245904762249</v>
      </c>
      <c r="G432">
        <v>0.131595766559816</v>
      </c>
      <c r="H432">
        <v>0.0569650891998138</v>
      </c>
      <c r="I432">
        <v>0.0281578092754536</v>
      </c>
      <c r="J432">
        <v>0.015972743321126</v>
      </c>
      <c r="K432">
        <v>0.0127510845180877</v>
      </c>
      <c r="L432">
        <v>1513.63675664859</v>
      </c>
      <c r="M432">
        <v>31.7267824896535</v>
      </c>
      <c r="N432">
        <v>47.8539088135344</v>
      </c>
      <c r="O432">
        <v>47.5201477132538</v>
      </c>
      <c r="P432">
        <v>-0.159243247493999</v>
      </c>
      <c r="Q432">
        <v>0.0459513987108012</v>
      </c>
      <c r="R432">
        <v>0.959564514001955</v>
      </c>
      <c r="S432" t="s">
        <v>2100</v>
      </c>
      <c r="T432" t="s">
        <v>3312</v>
      </c>
      <c r="U432" t="s">
        <v>3312</v>
      </c>
      <c r="V432" t="s">
        <v>3312</v>
      </c>
      <c r="W432" t="s">
        <v>3743</v>
      </c>
      <c r="X432">
        <v>18</v>
      </c>
      <c r="Y432" t="s">
        <v>5383</v>
      </c>
      <c r="Z432" t="s">
        <v>7025</v>
      </c>
      <c r="AA432">
        <v>0.3915192593549537</v>
      </c>
      <c r="AB432">
        <f>HYPERLINK("Melting_Curves/meltCurve_P0A9P0_lpdA.pdf", "Melting_Curves/meltCurve_P0A9P0_lpdA.pdf")</f>
        <v>0</v>
      </c>
    </row>
    <row r="433" spans="1:28">
      <c r="A433" t="s">
        <v>459</v>
      </c>
      <c r="B433">
        <v>0.999984544473304</v>
      </c>
      <c r="C433">
        <v>1.04235243055297</v>
      </c>
      <c r="D433">
        <v>1.0306364642374</v>
      </c>
      <c r="E433">
        <v>0.98567751864149</v>
      </c>
      <c r="F433">
        <v>1.13111834084285</v>
      </c>
      <c r="G433">
        <v>0.920276769207712</v>
      </c>
      <c r="H433">
        <v>0.859202082257144</v>
      </c>
      <c r="I433">
        <v>0.667184614351249</v>
      </c>
      <c r="J433">
        <v>0.573490686329922</v>
      </c>
      <c r="K433">
        <v>0.400257888277297</v>
      </c>
      <c r="L433">
        <v>1087.1446964352</v>
      </c>
      <c r="M433">
        <v>17.4595706424906</v>
      </c>
      <c r="N433">
        <v>64.8379435243336</v>
      </c>
      <c r="O433">
        <v>61.4667683726245</v>
      </c>
      <c r="P433">
        <v>-0.0532742515929115</v>
      </c>
      <c r="Q433">
        <v>0.249829206944507</v>
      </c>
      <c r="R433">
        <v>0.946717238913824</v>
      </c>
      <c r="S433" t="s">
        <v>2101</v>
      </c>
      <c r="T433" t="s">
        <v>3312</v>
      </c>
      <c r="U433" t="s">
        <v>3312</v>
      </c>
      <c r="V433" t="s">
        <v>3312</v>
      </c>
      <c r="W433" t="s">
        <v>3744</v>
      </c>
      <c r="X433">
        <v>7</v>
      </c>
      <c r="Y433" t="s">
        <v>5384</v>
      </c>
      <c r="Z433" t="s">
        <v>7026</v>
      </c>
      <c r="AA433">
        <v>0.8685203923486936</v>
      </c>
      <c r="AB433">
        <f>HYPERLINK("Melting_Curves/meltCurve_P0A9P4_trxB.pdf", "Melting_Curves/meltCurve_P0A9P4_trxB.pdf")</f>
        <v>0</v>
      </c>
    </row>
    <row r="434" spans="1:28">
      <c r="A434" t="s">
        <v>460</v>
      </c>
      <c r="B434">
        <v>0.999984544473304</v>
      </c>
      <c r="C434">
        <v>0.932848873688185</v>
      </c>
      <c r="D434">
        <v>0.963729698180132</v>
      </c>
      <c r="E434">
        <v>1.02760042921632</v>
      </c>
      <c r="F434">
        <v>0.899821852457003</v>
      </c>
      <c r="G434">
        <v>0.661940195393951</v>
      </c>
      <c r="H434">
        <v>0.507278180638582</v>
      </c>
      <c r="I434">
        <v>0.277212908865275</v>
      </c>
      <c r="J434">
        <v>0.152846528296581</v>
      </c>
      <c r="K434">
        <v>0.100547815455456</v>
      </c>
      <c r="L434">
        <v>851.901519925887</v>
      </c>
      <c r="M434">
        <v>14.9366965998192</v>
      </c>
      <c r="N434">
        <v>57.0429222477302</v>
      </c>
      <c r="O434">
        <v>56.0411178084991</v>
      </c>
      <c r="P434">
        <v>-0.0665629925193346</v>
      </c>
      <c r="Q434">
        <v>0.00114955681141332</v>
      </c>
      <c r="R434">
        <v>0.989646187627766</v>
      </c>
      <c r="S434" t="s">
        <v>2102</v>
      </c>
      <c r="T434" t="s">
        <v>3312</v>
      </c>
      <c r="U434" t="s">
        <v>3312</v>
      </c>
      <c r="V434" t="s">
        <v>3312</v>
      </c>
      <c r="W434" t="s">
        <v>3745</v>
      </c>
      <c r="X434">
        <v>9</v>
      </c>
      <c r="Y434" t="s">
        <v>5385</v>
      </c>
      <c r="Z434" t="s">
        <v>7027</v>
      </c>
      <c r="AA434">
        <v>0.6762041308141532</v>
      </c>
      <c r="AB434">
        <f>HYPERLINK("Melting_Curves/meltCurve_P0A9Q1_arcA.pdf", "Melting_Curves/meltCurve_P0A9Q1_arcA.pdf")</f>
        <v>0</v>
      </c>
    </row>
    <row r="435" spans="1:28">
      <c r="A435" t="s">
        <v>461</v>
      </c>
      <c r="B435">
        <v>0.999984544473304</v>
      </c>
      <c r="C435">
        <v>0.841564433468792</v>
      </c>
      <c r="D435">
        <v>0.8933429822485091</v>
      </c>
      <c r="E435">
        <v>0.635954223095323</v>
      </c>
      <c r="F435">
        <v>0.502028713448339</v>
      </c>
      <c r="G435">
        <v>0.36932764079687</v>
      </c>
      <c r="H435">
        <v>0.122943784582619</v>
      </c>
      <c r="I435">
        <v>0.08718032288076361</v>
      </c>
      <c r="J435">
        <v>0.0630311848006387</v>
      </c>
      <c r="K435">
        <v>0.0660640116916074</v>
      </c>
      <c r="L435">
        <v>544.768755787774</v>
      </c>
      <c r="M435">
        <v>10.958411279712</v>
      </c>
      <c r="N435">
        <v>49.7123790625244</v>
      </c>
      <c r="O435">
        <v>48.1429257681759</v>
      </c>
      <c r="P435">
        <v>-0.056925096621231</v>
      </c>
      <c r="Q435">
        <v>0</v>
      </c>
      <c r="R435">
        <v>0.980660322481766</v>
      </c>
      <c r="S435" t="s">
        <v>2103</v>
      </c>
      <c r="T435" t="s">
        <v>3312</v>
      </c>
      <c r="U435" t="s">
        <v>3312</v>
      </c>
      <c r="V435" t="s">
        <v>3312</v>
      </c>
      <c r="W435" t="s">
        <v>3746</v>
      </c>
      <c r="X435">
        <v>12</v>
      </c>
      <c r="Y435" t="s">
        <v>5386</v>
      </c>
      <c r="Z435" t="s">
        <v>7028</v>
      </c>
      <c r="AA435">
        <v>0.4554231320280305</v>
      </c>
      <c r="AB435">
        <f>HYPERLINK("Melting_Curves/meltCurve_P0A9Q5_accD.pdf", "Melting_Curves/meltCurve_P0A9Q5_accD.pdf")</f>
        <v>0</v>
      </c>
    </row>
    <row r="436" spans="1:28">
      <c r="A436" t="s">
        <v>462</v>
      </c>
      <c r="B436">
        <v>0.999984544473304</v>
      </c>
      <c r="C436">
        <v>0.764681952567453</v>
      </c>
      <c r="D436">
        <v>0.373155110187824</v>
      </c>
      <c r="E436">
        <v>0.252819079688082</v>
      </c>
      <c r="F436">
        <v>0.232803031151624</v>
      </c>
      <c r="G436">
        <v>0.159267462080543</v>
      </c>
      <c r="H436">
        <v>0.147154217047369</v>
      </c>
      <c r="I436">
        <v>0.118013056451414</v>
      </c>
      <c r="J436">
        <v>0.0953687375885419</v>
      </c>
      <c r="K436">
        <v>0.0734261861017587</v>
      </c>
      <c r="L436">
        <v>945.543645018636</v>
      </c>
      <c r="M436">
        <v>22.7438766444087</v>
      </c>
      <c r="N436">
        <v>42.166160323899</v>
      </c>
      <c r="O436">
        <v>41.2561650435082</v>
      </c>
      <c r="P436">
        <v>-0.118969868935179</v>
      </c>
      <c r="Q436">
        <v>0.13679741331693</v>
      </c>
      <c r="R436">
        <v>0.978422237437111</v>
      </c>
      <c r="S436" t="s">
        <v>2104</v>
      </c>
      <c r="T436" t="s">
        <v>3312</v>
      </c>
      <c r="U436" t="s">
        <v>3312</v>
      </c>
      <c r="V436" t="s">
        <v>3312</v>
      </c>
      <c r="W436" t="s">
        <v>3747</v>
      </c>
      <c r="X436">
        <v>19</v>
      </c>
      <c r="Y436" t="s">
        <v>5387</v>
      </c>
      <c r="Z436" t="s">
        <v>7029</v>
      </c>
      <c r="AA436">
        <v>0.2784490219051327</v>
      </c>
      <c r="AB436">
        <f>HYPERLINK("Melting_Curves/meltCurve_P0A9Q7_adhE.pdf", "Melting_Curves/meltCurve_P0A9Q7_adhE.pdf")</f>
        <v>0</v>
      </c>
    </row>
    <row r="437" spans="1:28">
      <c r="A437" t="s">
        <v>463</v>
      </c>
      <c r="B437">
        <v>0.999984544473304</v>
      </c>
      <c r="C437">
        <v>0.858867946605806</v>
      </c>
      <c r="D437">
        <v>1.08877838601645</v>
      </c>
      <c r="E437">
        <v>0.882687076675622</v>
      </c>
      <c r="F437">
        <v>1.07792099960423</v>
      </c>
      <c r="G437">
        <v>1.01689356245055</v>
      </c>
      <c r="H437">
        <v>0.8431397520002</v>
      </c>
      <c r="I437">
        <v>0.369055181771792</v>
      </c>
      <c r="J437">
        <v>0.0515132450927259</v>
      </c>
      <c r="K437">
        <v>0.0379346179861161</v>
      </c>
      <c r="L437">
        <v>2339.10356969774</v>
      </c>
      <c r="M437">
        <v>38.9487794019546</v>
      </c>
      <c r="N437">
        <v>60.0601317593137</v>
      </c>
      <c r="O437">
        <v>59.8982277553091</v>
      </c>
      <c r="P437">
        <v>-0.162339577976111</v>
      </c>
      <c r="Q437">
        <v>0.00137249278787784</v>
      </c>
      <c r="R437">
        <v>0.967181925144701</v>
      </c>
      <c r="S437" t="s">
        <v>2105</v>
      </c>
      <c r="T437" t="s">
        <v>3312</v>
      </c>
      <c r="U437" t="s">
        <v>3312</v>
      </c>
      <c r="V437" t="s">
        <v>3312</v>
      </c>
      <c r="W437" t="s">
        <v>3748</v>
      </c>
      <c r="X437">
        <v>6</v>
      </c>
      <c r="Y437" t="s">
        <v>5388</v>
      </c>
      <c r="Z437" t="s">
        <v>7030</v>
      </c>
      <c r="AA437">
        <v>0.7720344885059303</v>
      </c>
      <c r="AB437">
        <f>HYPERLINK("Melting_Curves/meltCurve_P0A9Q9_asd.pdf", "Melting_Curves/meltCurve_P0A9Q9_asd.pdf")</f>
        <v>0</v>
      </c>
    </row>
    <row r="438" spans="1:28">
      <c r="A438" t="s">
        <v>464</v>
      </c>
      <c r="B438">
        <v>0.999984544473304</v>
      </c>
      <c r="C438">
        <v>0.981939519274912</v>
      </c>
      <c r="D438">
        <v>1.09418458093188</v>
      </c>
      <c r="E438">
        <v>1.32365412757164</v>
      </c>
      <c r="F438">
        <v>1.11663866087542</v>
      </c>
      <c r="G438">
        <v>1.00180930333738</v>
      </c>
      <c r="H438">
        <v>0.876603284120884</v>
      </c>
      <c r="I438">
        <v>0.730846197942701</v>
      </c>
      <c r="J438">
        <v>0.405823226863204</v>
      </c>
      <c r="K438">
        <v>0.737504162473316</v>
      </c>
      <c r="L438">
        <v>2446.98147118078</v>
      </c>
      <c r="M438">
        <v>41.4866789714525</v>
      </c>
      <c r="O438">
        <v>58.8457924856571</v>
      </c>
      <c r="P438">
        <v>-0.0727604864231602</v>
      </c>
      <c r="Q438">
        <v>0.587179212604472</v>
      </c>
      <c r="R438">
        <v>0.671085434554614</v>
      </c>
      <c r="S438" t="s">
        <v>2106</v>
      </c>
      <c r="T438" t="s">
        <v>3312</v>
      </c>
      <c r="U438" t="s">
        <v>3312</v>
      </c>
      <c r="V438" t="s">
        <v>3312</v>
      </c>
      <c r="W438" t="s">
        <v>3749</v>
      </c>
      <c r="X438">
        <v>1</v>
      </c>
      <c r="Y438" t="s">
        <v>5389</v>
      </c>
      <c r="Z438" t="s">
        <v>7031</v>
      </c>
      <c r="AA438">
        <v>0.8910494097165594</v>
      </c>
      <c r="AB438">
        <f>HYPERLINK("Melting_Curves/meltCurve_P0A9R4_fdx.pdf", "Melting_Curves/meltCurve_P0A9R4_fdx.pdf")</f>
        <v>0</v>
      </c>
    </row>
    <row r="439" spans="1:28">
      <c r="A439" t="s">
        <v>465</v>
      </c>
      <c r="B439">
        <v>0.999984544473304</v>
      </c>
      <c r="C439">
        <v>1.57314377438415</v>
      </c>
      <c r="D439">
        <v>1.41766410509187</v>
      </c>
      <c r="E439">
        <v>1.48698250532039</v>
      </c>
      <c r="F439">
        <v>1.79995810353358</v>
      </c>
      <c r="G439">
        <v>1.43205559418241</v>
      </c>
      <c r="H439">
        <v>1.40924904431656</v>
      </c>
      <c r="I439">
        <v>1.23844357172662</v>
      </c>
      <c r="J439">
        <v>1.16986123070793</v>
      </c>
      <c r="K439">
        <v>1.30069059862169</v>
      </c>
      <c r="L439">
        <v>1e-05</v>
      </c>
      <c r="M439">
        <v>1.18366778962209</v>
      </c>
      <c r="Q439">
        <v>1.5</v>
      </c>
      <c r="R439">
        <v>-9.769483000354739e-10</v>
      </c>
      <c r="S439" t="s">
        <v>2107</v>
      </c>
      <c r="T439" t="s">
        <v>3312</v>
      </c>
      <c r="U439" t="s">
        <v>3312</v>
      </c>
      <c r="V439" t="s">
        <v>3312</v>
      </c>
      <c r="W439" t="s">
        <v>3750</v>
      </c>
      <c r="X439">
        <v>1</v>
      </c>
      <c r="Y439" t="s">
        <v>5390</v>
      </c>
      <c r="Z439" t="s">
        <v>7032</v>
      </c>
      <c r="AA439">
        <v>1.382803302800886</v>
      </c>
      <c r="AB439">
        <f>HYPERLINK("Melting_Curves/meltCurve_P0A9R7_ftsE.pdf", "Melting_Curves/meltCurve_P0A9R7_ftsE.pdf")</f>
        <v>0</v>
      </c>
    </row>
    <row r="440" spans="1:28">
      <c r="A440" t="s">
        <v>466</v>
      </c>
      <c r="B440">
        <v>0.999984544473304</v>
      </c>
      <c r="C440">
        <v>0.806726206601128</v>
      </c>
      <c r="D440">
        <v>0.784561336751505</v>
      </c>
      <c r="E440">
        <v>0.498445384047457</v>
      </c>
      <c r="F440">
        <v>0.518841332346795</v>
      </c>
      <c r="G440">
        <v>0.404794492565635</v>
      </c>
      <c r="H440">
        <v>0.365510408858364</v>
      </c>
      <c r="I440">
        <v>0.20113224152315</v>
      </c>
      <c r="J440">
        <v>0.0684376974327357</v>
      </c>
      <c r="K440">
        <v>0.0654571202734136</v>
      </c>
      <c r="L440">
        <v>367.436341174042</v>
      </c>
      <c r="M440">
        <v>7.41710988706555</v>
      </c>
      <c r="N440">
        <v>49.5390164452933</v>
      </c>
      <c r="O440">
        <v>46.3205004771122</v>
      </c>
      <c r="P440">
        <v>-0.0400914381847136</v>
      </c>
      <c r="Q440">
        <v>0</v>
      </c>
      <c r="R440">
        <v>0.9470879598931941</v>
      </c>
      <c r="S440" t="s">
        <v>2108</v>
      </c>
      <c r="T440" t="s">
        <v>3312</v>
      </c>
      <c r="U440" t="s">
        <v>3312</v>
      </c>
      <c r="V440" t="s">
        <v>3312</v>
      </c>
      <c r="W440" t="s">
        <v>3751</v>
      </c>
      <c r="X440">
        <v>8</v>
      </c>
      <c r="Y440" t="s">
        <v>5391</v>
      </c>
      <c r="Z440" t="s">
        <v>7033</v>
      </c>
      <c r="AA440">
        <v>0.4638947403044574</v>
      </c>
      <c r="AB440">
        <f>HYPERLINK("Melting_Curves/meltCurve_P0A9S1_fucO.pdf", "Melting_Curves/meltCurve_P0A9S1_fucO.pdf")</f>
        <v>0</v>
      </c>
    </row>
    <row r="441" spans="1:28">
      <c r="A441" t="s">
        <v>467</v>
      </c>
      <c r="B441">
        <v>0.999984544473304</v>
      </c>
      <c r="C441">
        <v>0.765424475597777</v>
      </c>
      <c r="D441">
        <v>0.5712554671885181</v>
      </c>
      <c r="E441">
        <v>0.387836069350996</v>
      </c>
      <c r="F441">
        <v>0.147155465112405</v>
      </c>
      <c r="G441">
        <v>0.0815868794178523</v>
      </c>
      <c r="H441">
        <v>0.0693465698059848</v>
      </c>
      <c r="I441">
        <v>0.0432141453531057</v>
      </c>
      <c r="J441">
        <v>0.026704746297022</v>
      </c>
      <c r="K441">
        <v>0.0326320377468648</v>
      </c>
      <c r="L441">
        <v>594.808801860122</v>
      </c>
      <c r="M441">
        <v>13.4962334502746</v>
      </c>
      <c r="N441">
        <v>44.1879938589524</v>
      </c>
      <c r="O441">
        <v>43.1383699437436</v>
      </c>
      <c r="P441">
        <v>-0.07686742536925679</v>
      </c>
      <c r="Q441">
        <v>0.0173764406958141</v>
      </c>
      <c r="R441">
        <v>0.990385370020211</v>
      </c>
      <c r="S441" t="s">
        <v>2109</v>
      </c>
      <c r="T441" t="s">
        <v>3312</v>
      </c>
      <c r="U441" t="s">
        <v>3312</v>
      </c>
      <c r="V441" t="s">
        <v>3312</v>
      </c>
      <c r="W441" t="s">
        <v>3752</v>
      </c>
      <c r="X441">
        <v>13</v>
      </c>
      <c r="Y441" t="s">
        <v>5392</v>
      </c>
      <c r="Z441" t="s">
        <v>7034</v>
      </c>
      <c r="AA441">
        <v>0.2791542462436746</v>
      </c>
      <c r="AB441">
        <f>HYPERLINK("Melting_Curves/meltCurve_P0A9S3_gatD.pdf", "Melting_Curves/meltCurve_P0A9S3_gatD.pdf")</f>
        <v>0</v>
      </c>
    </row>
    <row r="442" spans="1:28">
      <c r="A442" t="s">
        <v>468</v>
      </c>
      <c r="B442">
        <v>0.999984544473304</v>
      </c>
      <c r="C442">
        <v>1.02542969742331</v>
      </c>
      <c r="D442">
        <v>1.23534396757761</v>
      </c>
      <c r="E442">
        <v>1.11457832737719</v>
      </c>
      <c r="F442">
        <v>0.8988759434593681</v>
      </c>
      <c r="G442">
        <v>1.04314422956861</v>
      </c>
      <c r="H442">
        <v>0.588248451562404</v>
      </c>
      <c r="I442">
        <v>0.512568804639842</v>
      </c>
      <c r="J442">
        <v>0.425439326744661</v>
      </c>
      <c r="K442">
        <v>0.387087197590688</v>
      </c>
      <c r="L442">
        <v>12321.5355292219</v>
      </c>
      <c r="M442">
        <v>215.6939412866</v>
      </c>
      <c r="N442">
        <v>57.6999576950162</v>
      </c>
      <c r="O442">
        <v>57.120167545687</v>
      </c>
      <c r="P442">
        <v>-0.527056963951588</v>
      </c>
      <c r="Q442">
        <v>0.441698040735655</v>
      </c>
      <c r="R442">
        <v>0.898403476382026</v>
      </c>
      <c r="S442" t="s">
        <v>2110</v>
      </c>
      <c r="T442" t="s">
        <v>3312</v>
      </c>
      <c r="U442" t="s">
        <v>3312</v>
      </c>
      <c r="V442" t="s">
        <v>3312</v>
      </c>
      <c r="W442" t="s">
        <v>3753</v>
      </c>
      <c r="X442">
        <v>9</v>
      </c>
      <c r="Y442" t="s">
        <v>5393</v>
      </c>
      <c r="Z442" t="s">
        <v>7035</v>
      </c>
      <c r="AA442">
        <v>0.8163024539144403</v>
      </c>
      <c r="AB442">
        <f>HYPERLINK("Melting_Curves/meltCurve_P0A9S5_gldA.pdf", "Melting_Curves/meltCurve_P0A9S5_gldA.pdf")</f>
        <v>0</v>
      </c>
    </row>
    <row r="443" spans="1:28">
      <c r="A443" t="s">
        <v>469</v>
      </c>
      <c r="B443">
        <v>0.999984544473304</v>
      </c>
      <c r="C443">
        <v>0.939284760984511</v>
      </c>
      <c r="D443">
        <v>0.650172421052939</v>
      </c>
      <c r="E443">
        <v>0.433681508163891</v>
      </c>
      <c r="F443">
        <v>0.384392286712372</v>
      </c>
      <c r="G443">
        <v>0.146440578623706</v>
      </c>
      <c r="H443">
        <v>0.0529888967027005</v>
      </c>
      <c r="I443">
        <v>0.0264815743453392</v>
      </c>
      <c r="J443">
        <v>0.0243230956176121</v>
      </c>
      <c r="K443">
        <v>0.0146539674231751</v>
      </c>
      <c r="L443">
        <v>564.653835159539</v>
      </c>
      <c r="M443">
        <v>12.2000101489718</v>
      </c>
      <c r="N443">
        <v>46.283062721858</v>
      </c>
      <c r="O443">
        <v>45.0922397389081</v>
      </c>
      <c r="P443">
        <v>-0.0676545151642839</v>
      </c>
      <c r="Q443">
        <v>0</v>
      </c>
      <c r="R443">
        <v>0.980504037758556</v>
      </c>
      <c r="S443" t="s">
        <v>2111</v>
      </c>
      <c r="T443" t="s">
        <v>3312</v>
      </c>
      <c r="U443" t="s">
        <v>3312</v>
      </c>
      <c r="V443" t="s">
        <v>3312</v>
      </c>
      <c r="W443" t="s">
        <v>3754</v>
      </c>
      <c r="X443">
        <v>9</v>
      </c>
      <c r="Y443" t="s">
        <v>5394</v>
      </c>
      <c r="Z443" t="s">
        <v>7036</v>
      </c>
      <c r="AA443">
        <v>0.3425203045779869</v>
      </c>
      <c r="AB443">
        <f>HYPERLINK("Melting_Curves/meltCurve_P0A9T0_serA.pdf", "Melting_Curves/meltCurve_P0A9T0_serA.pdf")</f>
        <v>0</v>
      </c>
    </row>
    <row r="444" spans="1:28">
      <c r="A444" t="s">
        <v>470</v>
      </c>
      <c r="B444">
        <v>0.999984544473304</v>
      </c>
      <c r="C444">
        <v>0.949186558620449</v>
      </c>
      <c r="D444">
        <v>1.03749676284949</v>
      </c>
      <c r="E444">
        <v>0.8529801604898331</v>
      </c>
      <c r="F444">
        <v>0.319344564312348</v>
      </c>
      <c r="G444">
        <v>0.06378572431538899</v>
      </c>
      <c r="H444">
        <v>0.0380859525126591</v>
      </c>
      <c r="I444">
        <v>0.0363758319042453</v>
      </c>
      <c r="J444">
        <v>0.0242848004240562</v>
      </c>
      <c r="K444">
        <v>0.0249237395220837</v>
      </c>
      <c r="L444">
        <v>1716.1648431939</v>
      </c>
      <c r="M444">
        <v>35.0512370129782</v>
      </c>
      <c r="N444">
        <v>49.0436544748416</v>
      </c>
      <c r="O444">
        <v>48.803059700339</v>
      </c>
      <c r="P444">
        <v>-0.17444197806431</v>
      </c>
      <c r="Q444">
        <v>0.028476847718493</v>
      </c>
      <c r="R444">
        <v>0.997540061926537</v>
      </c>
      <c r="S444" t="s">
        <v>2112</v>
      </c>
      <c r="T444" t="s">
        <v>3312</v>
      </c>
      <c r="U444" t="s">
        <v>3312</v>
      </c>
      <c r="V444" t="s">
        <v>3312</v>
      </c>
      <c r="W444" t="s">
        <v>3755</v>
      </c>
      <c r="X444">
        <v>4</v>
      </c>
      <c r="Y444" t="s">
        <v>5395</v>
      </c>
      <c r="Z444" t="s">
        <v>7037</v>
      </c>
      <c r="AA444">
        <v>0.4201305061473241</v>
      </c>
      <c r="AB444">
        <f>HYPERLINK("Melting_Curves/meltCurve_P0A9T4_tas.pdf", "Melting_Curves/meltCurve_P0A9T4_tas.pdf")</f>
        <v>0</v>
      </c>
    </row>
    <row r="445" spans="1:28">
      <c r="A445" t="s">
        <v>471</v>
      </c>
      <c r="B445">
        <v>0.999984544473304</v>
      </c>
      <c r="C445">
        <v>0.642261653096468</v>
      </c>
      <c r="D445">
        <v>0.522360348969846</v>
      </c>
      <c r="E445">
        <v>0.307700293984459</v>
      </c>
      <c r="F445">
        <v>0.141084934364189</v>
      </c>
      <c r="G445">
        <v>0.0493639819084388</v>
      </c>
      <c r="H445">
        <v>0.0231058167633136</v>
      </c>
      <c r="I445">
        <v>0.0252852244060664</v>
      </c>
      <c r="J445">
        <v>0.0173446295136973</v>
      </c>
      <c r="K445">
        <v>0.0236720811064975</v>
      </c>
      <c r="L445">
        <v>558.402838342788</v>
      </c>
      <c r="M445">
        <v>12.9574301693822</v>
      </c>
      <c r="N445">
        <v>43.1027389219662</v>
      </c>
      <c r="O445">
        <v>42.1074789767282</v>
      </c>
      <c r="P445">
        <v>-0.0768571099015271</v>
      </c>
      <c r="Q445">
        <v>0.00113574757596057</v>
      </c>
      <c r="R445">
        <v>0.978328012698885</v>
      </c>
      <c r="S445" t="s">
        <v>2113</v>
      </c>
      <c r="T445" t="s">
        <v>3312</v>
      </c>
      <c r="U445" t="s">
        <v>3312</v>
      </c>
      <c r="V445" t="s">
        <v>3312</v>
      </c>
      <c r="W445" t="s">
        <v>3756</v>
      </c>
      <c r="X445">
        <v>1</v>
      </c>
      <c r="Y445" t="s">
        <v>5396</v>
      </c>
      <c r="Z445" t="s">
        <v>7038</v>
      </c>
      <c r="AA445">
        <v>0.2395455054482619</v>
      </c>
      <c r="AB445">
        <f>HYPERLINK("Melting_Curves/meltCurve_P0A9T8_ybbA.pdf", "Melting_Curves/meltCurve_P0A9T8_ybbA.pdf")</f>
        <v>0</v>
      </c>
    </row>
    <row r="446" spans="1:28">
      <c r="A446" t="s">
        <v>472</v>
      </c>
      <c r="B446">
        <v>0.999984544473304</v>
      </c>
      <c r="C446">
        <v>0.86667389892335</v>
      </c>
      <c r="D446">
        <v>0.466572398976355</v>
      </c>
      <c r="E446">
        <v>0.0745122920516514</v>
      </c>
      <c r="F446">
        <v>0.0268716787781094</v>
      </c>
      <c r="G446">
        <v>0.0174368604240273</v>
      </c>
      <c r="H446">
        <v>0.0143705278918416</v>
      </c>
      <c r="I446">
        <v>0.0111981517981732</v>
      </c>
      <c r="J446">
        <v>0.00695243702853374</v>
      </c>
      <c r="K446">
        <v>0.00724362409198416</v>
      </c>
      <c r="L446">
        <v>1215.19476026431</v>
      </c>
      <c r="M446">
        <v>28.4591062852182</v>
      </c>
      <c r="N446">
        <v>42.726999638179</v>
      </c>
      <c r="O446">
        <v>42.4905185842907</v>
      </c>
      <c r="P446">
        <v>-0.165936073990438</v>
      </c>
      <c r="Q446">
        <v>0.009012736008367019</v>
      </c>
      <c r="R446">
        <v>0.999328275028851</v>
      </c>
      <c r="S446" t="s">
        <v>2114</v>
      </c>
      <c r="T446" t="s">
        <v>3312</v>
      </c>
      <c r="U446" t="s">
        <v>3312</v>
      </c>
      <c r="V446" t="s">
        <v>3312</v>
      </c>
      <c r="W446" t="s">
        <v>3757</v>
      </c>
      <c r="X446">
        <v>4</v>
      </c>
      <c r="Y446" t="s">
        <v>5397</v>
      </c>
      <c r="Z446" t="s">
        <v>7039</v>
      </c>
      <c r="AA446">
        <v>0.2035519205020452</v>
      </c>
      <c r="AB446">
        <f>HYPERLINK("Melting_Curves/meltCurve_P0A9U3_ybiT.pdf", "Melting_Curves/meltCurve_P0A9U3_ybiT.pdf")</f>
        <v>0</v>
      </c>
    </row>
    <row r="447" spans="1:28">
      <c r="A447" t="s">
        <v>473</v>
      </c>
      <c r="B447">
        <v>0.999984544473304</v>
      </c>
      <c r="C447">
        <v>0.9820356159325651</v>
      </c>
      <c r="D447">
        <v>0.5744374374126821</v>
      </c>
      <c r="E447">
        <v>0.972424767050718</v>
      </c>
      <c r="F447">
        <v>0.768512399503625</v>
      </c>
      <c r="G447">
        <v>0.481895975089666</v>
      </c>
      <c r="H447">
        <v>0.35779637112357</v>
      </c>
      <c r="I447">
        <v>0.211169038416418</v>
      </c>
      <c r="J447">
        <v>0.182170468931925</v>
      </c>
      <c r="K447">
        <v>0.193760920379515</v>
      </c>
      <c r="L447">
        <v>482.795301263613</v>
      </c>
      <c r="M447">
        <v>8.9177515517905</v>
      </c>
      <c r="N447">
        <v>54.1386835673993</v>
      </c>
      <c r="O447">
        <v>51.623906491621</v>
      </c>
      <c r="P447">
        <v>-0.0432186236673635</v>
      </c>
      <c r="Q447">
        <v>0</v>
      </c>
      <c r="R447">
        <v>0.847903538575544</v>
      </c>
      <c r="S447" t="s">
        <v>2115</v>
      </c>
      <c r="T447" t="s">
        <v>3312</v>
      </c>
      <c r="U447" t="s">
        <v>3312</v>
      </c>
      <c r="V447" t="s">
        <v>3312</v>
      </c>
      <c r="W447" t="s">
        <v>3758</v>
      </c>
      <c r="X447">
        <v>1</v>
      </c>
      <c r="Y447" t="s">
        <v>5398</v>
      </c>
      <c r="Z447" t="s">
        <v>7040</v>
      </c>
      <c r="AA447">
        <v>0.5868303289225695</v>
      </c>
      <c r="AB447">
        <f>HYPERLINK("Melting_Curves/meltCurve_P0A9U6_puuR.pdf", "Melting_Curves/meltCurve_P0A9U6_puuR.pdf")</f>
        <v>0</v>
      </c>
    </row>
    <row r="448" spans="1:28">
      <c r="A448" t="s">
        <v>474</v>
      </c>
      <c r="B448">
        <v>0.999984544473304</v>
      </c>
      <c r="C448">
        <v>0.558529496480482</v>
      </c>
      <c r="D448">
        <v>0.339275937203155</v>
      </c>
      <c r="E448">
        <v>0.270298757321532</v>
      </c>
      <c r="F448">
        <v>0.217693821330653</v>
      </c>
      <c r="G448">
        <v>0.08981212825772809</v>
      </c>
      <c r="H448">
        <v>0.0671504705040283</v>
      </c>
      <c r="I448">
        <v>0.0518615385714834</v>
      </c>
      <c r="J448">
        <v>0.0367626000827256</v>
      </c>
      <c r="K448">
        <v>0.0411213310105612</v>
      </c>
      <c r="L448">
        <v>645.748519162225</v>
      </c>
      <c r="M448">
        <v>15.7002840733508</v>
      </c>
      <c r="N448">
        <v>41.533702431373</v>
      </c>
      <c r="O448">
        <v>40.4798050107099</v>
      </c>
      <c r="P448">
        <v>-0.09010574768044741</v>
      </c>
      <c r="Q448">
        <v>0.07080503677074799</v>
      </c>
      <c r="R448">
        <v>0.946087981919159</v>
      </c>
      <c r="S448" t="s">
        <v>2116</v>
      </c>
      <c r="T448" t="s">
        <v>3312</v>
      </c>
      <c r="U448" t="s">
        <v>3312</v>
      </c>
      <c r="V448" t="s">
        <v>3312</v>
      </c>
      <c r="W448" t="s">
        <v>3759</v>
      </c>
      <c r="X448">
        <v>1</v>
      </c>
      <c r="Y448" t="s">
        <v>5399</v>
      </c>
      <c r="Z448" t="s">
        <v>7041</v>
      </c>
      <c r="AA448">
        <v>0.2255960716737818</v>
      </c>
      <c r="AB448">
        <f>HYPERLINK("Melting_Curves/meltCurve_P0A9V1_lptB.pdf", "Melting_Curves/meltCurve_P0A9V1_lptB.pdf")</f>
        <v>0</v>
      </c>
    </row>
    <row r="449" spans="1:28">
      <c r="A449" t="s">
        <v>475</v>
      </c>
      <c r="B449">
        <v>0.999984544473304</v>
      </c>
      <c r="C449">
        <v>1.10648752996111</v>
      </c>
      <c r="D449">
        <v>0.712069811444918</v>
      </c>
      <c r="E449">
        <v>0.867510161417731</v>
      </c>
      <c r="F449">
        <v>0.6535773887297039</v>
      </c>
      <c r="G449">
        <v>0.485442317441667</v>
      </c>
      <c r="H449">
        <v>0.386103474414819</v>
      </c>
      <c r="I449">
        <v>0.275158261471036</v>
      </c>
      <c r="J449">
        <v>0.213705819412642</v>
      </c>
      <c r="K449">
        <v>0.268873225244304</v>
      </c>
      <c r="L449">
        <v>529.000043376197</v>
      </c>
      <c r="M449">
        <v>10.2091450141015</v>
      </c>
      <c r="N449">
        <v>53.6319626979837</v>
      </c>
      <c r="O449">
        <v>49.946198270592</v>
      </c>
      <c r="P449">
        <v>-0.0436539503786163</v>
      </c>
      <c r="Q449">
        <v>0.146110828010265</v>
      </c>
      <c r="R449">
        <v>0.925782540849134</v>
      </c>
      <c r="S449" t="s">
        <v>2117</v>
      </c>
      <c r="T449" t="s">
        <v>3312</v>
      </c>
      <c r="U449" t="s">
        <v>3312</v>
      </c>
      <c r="V449" t="s">
        <v>3312</v>
      </c>
      <c r="W449" t="s">
        <v>3760</v>
      </c>
      <c r="X449">
        <v>2</v>
      </c>
      <c r="Y449" t="s">
        <v>5400</v>
      </c>
      <c r="Z449" t="s">
        <v>7042</v>
      </c>
      <c r="AA449">
        <v>0.5909522425631918</v>
      </c>
      <c r="AB449">
        <f>HYPERLINK("Melting_Curves/meltCurve_P0A9V5_yiaG.pdf", "Melting_Curves/meltCurve_P0A9V5_yiaG.pdf")</f>
        <v>0</v>
      </c>
    </row>
    <row r="450" spans="1:28">
      <c r="A450" t="s">
        <v>476</v>
      </c>
      <c r="B450">
        <v>0.999984544473304</v>
      </c>
      <c r="C450">
        <v>0.961879170096937</v>
      </c>
      <c r="D450">
        <v>0.805203847758111</v>
      </c>
      <c r="E450">
        <v>0.545456385357565</v>
      </c>
      <c r="F450">
        <v>0.263957337258421</v>
      </c>
      <c r="G450">
        <v>0.091404746982609</v>
      </c>
      <c r="H450">
        <v>0.106816326903642</v>
      </c>
      <c r="I450">
        <v>0.0602622646608105</v>
      </c>
      <c r="J450">
        <v>0</v>
      </c>
      <c r="K450">
        <v>0</v>
      </c>
      <c r="L450">
        <v>766.7394163803</v>
      </c>
      <c r="M450">
        <v>16.333717599894</v>
      </c>
      <c r="N450">
        <v>47.0132814343716</v>
      </c>
      <c r="O450">
        <v>46.2554153974962</v>
      </c>
      <c r="P450">
        <v>-0.08720853890098949</v>
      </c>
      <c r="Q450">
        <v>0.012208835225893</v>
      </c>
      <c r="R450">
        <v>0.996388672669176</v>
      </c>
      <c r="S450" t="s">
        <v>2118</v>
      </c>
      <c r="T450" t="s">
        <v>3312</v>
      </c>
      <c r="U450" t="s">
        <v>3312</v>
      </c>
      <c r="V450" t="s">
        <v>3312</v>
      </c>
      <c r="W450" t="s">
        <v>3761</v>
      </c>
      <c r="X450">
        <v>1</v>
      </c>
      <c r="Y450" t="s">
        <v>5401</v>
      </c>
      <c r="Z450" t="s">
        <v>7043</v>
      </c>
      <c r="AA450">
        <v>0.358621461366225</v>
      </c>
      <c r="AB450">
        <f>HYPERLINK("Melting_Curves/meltCurve_P0A9W0_ulaR.pdf", "Melting_Curves/meltCurve_P0A9W0_ulaR.pdf")</f>
        <v>0</v>
      </c>
    </row>
    <row r="451" spans="1:28">
      <c r="A451" t="s">
        <v>477</v>
      </c>
      <c r="B451">
        <v>0.999984544473304</v>
      </c>
      <c r="C451">
        <v>1.01149767908625</v>
      </c>
      <c r="D451">
        <v>0.657432850423601</v>
      </c>
      <c r="E451">
        <v>0.122187657867744</v>
      </c>
      <c r="F451">
        <v>0.0503157718650458</v>
      </c>
      <c r="G451">
        <v>0.0276395791973389</v>
      </c>
      <c r="H451">
        <v>0.0239978683975454</v>
      </c>
      <c r="I451">
        <v>0.0199818295841868</v>
      </c>
      <c r="J451">
        <v>0.020821721284434</v>
      </c>
      <c r="K451">
        <v>0.0168552618541421</v>
      </c>
      <c r="L451">
        <v>1648.92792262295</v>
      </c>
      <c r="M451">
        <v>37.7006514215342</v>
      </c>
      <c r="N451">
        <v>43.799861637017</v>
      </c>
      <c r="O451">
        <v>43.614877022132</v>
      </c>
      <c r="P451">
        <v>-0.21044518613391</v>
      </c>
      <c r="Q451">
        <v>0.0261690013991305</v>
      </c>
      <c r="R451">
        <v>0.998802626988383</v>
      </c>
      <c r="S451" t="s">
        <v>2119</v>
      </c>
      <c r="T451" t="s">
        <v>3312</v>
      </c>
      <c r="U451" t="s">
        <v>3312</v>
      </c>
      <c r="V451" t="s">
        <v>3312</v>
      </c>
      <c r="W451" t="s">
        <v>3762</v>
      </c>
      <c r="X451">
        <v>18</v>
      </c>
      <c r="Y451" t="s">
        <v>5402</v>
      </c>
      <c r="Z451" t="s">
        <v>7044</v>
      </c>
      <c r="AA451">
        <v>0.2482171178452937</v>
      </c>
      <c r="AB451">
        <f>HYPERLINK("Melting_Curves/meltCurve_P0A9W3_ettA.pdf", "Melting_Curves/meltCurve_P0A9W3_ettA.pdf")</f>
        <v>0</v>
      </c>
    </row>
    <row r="452" spans="1:28">
      <c r="A452" t="s">
        <v>478</v>
      </c>
      <c r="B452">
        <v>0.999984544473304</v>
      </c>
      <c r="C452">
        <v>1.2556806319253</v>
      </c>
      <c r="D452">
        <v>0.978444249003335</v>
      </c>
      <c r="E452">
        <v>1.13432487441337</v>
      </c>
      <c r="F452">
        <v>1.1935947504242</v>
      </c>
      <c r="G452">
        <v>0.992008581845786</v>
      </c>
      <c r="H452">
        <v>0.952400419193386</v>
      </c>
      <c r="I452">
        <v>0.6208514417008481</v>
      </c>
      <c r="J452">
        <v>0.312209681635403</v>
      </c>
      <c r="K452">
        <v>0.284599050285497</v>
      </c>
      <c r="L452">
        <v>2979.81313359876</v>
      </c>
      <c r="M452">
        <v>48.9480034223975</v>
      </c>
      <c r="N452">
        <v>61.8419170752617</v>
      </c>
      <c r="O452">
        <v>60.7757597264732</v>
      </c>
      <c r="P452">
        <v>-0.147584208099646</v>
      </c>
      <c r="Q452">
        <v>0.267015327598045</v>
      </c>
      <c r="R452">
        <v>0.888186521163555</v>
      </c>
      <c r="S452" t="s">
        <v>2120</v>
      </c>
      <c r="T452" t="s">
        <v>3312</v>
      </c>
      <c r="U452" t="s">
        <v>3312</v>
      </c>
      <c r="V452" t="s">
        <v>3312</v>
      </c>
      <c r="W452" t="s">
        <v>3763</v>
      </c>
      <c r="X452">
        <v>2</v>
      </c>
      <c r="Y452" t="s">
        <v>5403</v>
      </c>
      <c r="Z452" t="s">
        <v>7045</v>
      </c>
      <c r="AA452">
        <v>0.8520170383618791</v>
      </c>
      <c r="AB452">
        <f>HYPERLINK("Melting_Curves/meltCurve_P0A9W6_ibaG.pdf", "Melting_Curves/meltCurve_P0A9W6_ibaG.pdf")</f>
        <v>0</v>
      </c>
    </row>
    <row r="453" spans="1:28">
      <c r="A453" t="s">
        <v>479</v>
      </c>
      <c r="B453">
        <v>0.999984544473304</v>
      </c>
      <c r="C453">
        <v>0.772526385103639</v>
      </c>
      <c r="D453">
        <v>0.431792133040302</v>
      </c>
      <c r="E453">
        <v>0.399984971886711</v>
      </c>
      <c r="F453">
        <v>0.275588194333045</v>
      </c>
      <c r="G453">
        <v>0.191771601462503</v>
      </c>
      <c r="H453">
        <v>0.16786617748778</v>
      </c>
      <c r="I453">
        <v>0.138034459985097</v>
      </c>
      <c r="J453">
        <v>0.127905542558394</v>
      </c>
      <c r="K453">
        <v>0.144287483067446</v>
      </c>
      <c r="L453">
        <v>636.001512152019</v>
      </c>
      <c r="M453">
        <v>14.9917002940237</v>
      </c>
      <c r="N453">
        <v>43.471999913239</v>
      </c>
      <c r="O453">
        <v>41.6901999359575</v>
      </c>
      <c r="P453">
        <v>-0.07626876577698009</v>
      </c>
      <c r="Q453">
        <v>0.15170711044414</v>
      </c>
      <c r="R453">
        <v>0.9669553015115649</v>
      </c>
      <c r="S453" t="s">
        <v>2121</v>
      </c>
      <c r="T453" t="s">
        <v>3312</v>
      </c>
      <c r="U453" t="s">
        <v>3312</v>
      </c>
      <c r="V453" t="s">
        <v>3312</v>
      </c>
      <c r="W453" t="s">
        <v>3764</v>
      </c>
      <c r="X453">
        <v>8</v>
      </c>
      <c r="Y453" t="s">
        <v>5404</v>
      </c>
      <c r="Z453" t="s">
        <v>7046</v>
      </c>
      <c r="AA453">
        <v>0.3285826496312907</v>
      </c>
      <c r="AB453">
        <f>HYPERLINK("Melting_Curves/meltCurve_P0A9X4_mreB.pdf", "Melting_Curves/meltCurve_P0A9X4_mreB.pdf")</f>
        <v>0</v>
      </c>
    </row>
    <row r="454" spans="1:28">
      <c r="A454" t="s">
        <v>480</v>
      </c>
      <c r="B454">
        <v>0.999984544473304</v>
      </c>
      <c r="C454">
        <v>1.04263377375047</v>
      </c>
      <c r="D454">
        <v>0.885576753624965</v>
      </c>
      <c r="E454">
        <v>1.03709260816605</v>
      </c>
      <c r="F454">
        <v>1.62661350885612</v>
      </c>
      <c r="G454">
        <v>1.11146954130788</v>
      </c>
      <c r="H454">
        <v>1.16562109648117</v>
      </c>
      <c r="I454">
        <v>1.21451528471879</v>
      </c>
      <c r="J454">
        <v>0.861608347114696</v>
      </c>
      <c r="K454">
        <v>0.967142348212087</v>
      </c>
      <c r="L454">
        <v>2131.6639547562</v>
      </c>
      <c r="M454">
        <v>32.5801060896758</v>
      </c>
      <c r="O454">
        <v>65.18335720947999</v>
      </c>
      <c r="P454">
        <v>-0.00999488389364807</v>
      </c>
      <c r="Q454">
        <v>0.920012886434372</v>
      </c>
      <c r="R454">
        <v>-0.183327712400037</v>
      </c>
      <c r="S454" t="s">
        <v>2122</v>
      </c>
      <c r="T454" t="s">
        <v>3312</v>
      </c>
      <c r="U454" t="s">
        <v>3312</v>
      </c>
      <c r="V454" t="s">
        <v>3312</v>
      </c>
      <c r="W454" t="s">
        <v>3765</v>
      </c>
      <c r="X454">
        <v>3</v>
      </c>
      <c r="Y454" t="s">
        <v>5405</v>
      </c>
      <c r="Z454" t="s">
        <v>7047</v>
      </c>
      <c r="AA454">
        <v>0.9940456148815258</v>
      </c>
      <c r="AB454">
        <f>HYPERLINK("Melting_Curves/meltCurve_P0A9X9_cspA.pdf", "Melting_Curves/meltCurve_P0A9X9_cspA.pdf")</f>
        <v>0</v>
      </c>
    </row>
    <row r="455" spans="1:28">
      <c r="A455" t="s">
        <v>481</v>
      </c>
      <c r="B455">
        <v>0.999984544473304</v>
      </c>
      <c r="C455">
        <v>1.14779187066291</v>
      </c>
      <c r="D455">
        <v>1.02239875279934</v>
      </c>
      <c r="E455">
        <v>1.22451563241484</v>
      </c>
      <c r="F455">
        <v>1.2849318629981</v>
      </c>
      <c r="G455">
        <v>1.08528607726582</v>
      </c>
      <c r="H455">
        <v>1.11956524027229</v>
      </c>
      <c r="I455">
        <v>1.03049672055698</v>
      </c>
      <c r="J455">
        <v>0.891517512276076</v>
      </c>
      <c r="K455">
        <v>0.8460935541747731</v>
      </c>
      <c r="L455">
        <v>15000</v>
      </c>
      <c r="M455">
        <v>234.87975180632</v>
      </c>
      <c r="O455">
        <v>63.8578354994685</v>
      </c>
      <c r="P455">
        <v>-0.141526843967723</v>
      </c>
      <c r="Q455">
        <v>0.846089791286961</v>
      </c>
      <c r="R455">
        <v>-0.0421177215997275</v>
      </c>
      <c r="S455" t="s">
        <v>2123</v>
      </c>
      <c r="T455" t="s">
        <v>3312</v>
      </c>
      <c r="U455" t="s">
        <v>3312</v>
      </c>
      <c r="V455" t="s">
        <v>3312</v>
      </c>
      <c r="W455" t="s">
        <v>3766</v>
      </c>
      <c r="X455">
        <v>2</v>
      </c>
      <c r="Y455" t="s">
        <v>5406</v>
      </c>
      <c r="Z455" t="s">
        <v>7048</v>
      </c>
      <c r="AA455">
        <v>0.9839228962871159</v>
      </c>
      <c r="AB455">
        <f>HYPERLINK("Melting_Curves/meltCurve_P0A9Y6_cspC.pdf", "Melting_Curves/meltCurve_P0A9Y6_cspC.pdf")</f>
        <v>0</v>
      </c>
    </row>
    <row r="456" spans="1:28">
      <c r="A456" t="s">
        <v>482</v>
      </c>
      <c r="B456">
        <v>0.999984544473304</v>
      </c>
      <c r="C456">
        <v>1.06872427722339</v>
      </c>
      <c r="D456">
        <v>1.12214054517823</v>
      </c>
      <c r="E456">
        <v>1.18172139722723</v>
      </c>
      <c r="F456">
        <v>1.10831159223413</v>
      </c>
      <c r="G456">
        <v>1.03934250070185</v>
      </c>
      <c r="H456">
        <v>0.93555807491229</v>
      </c>
      <c r="I456">
        <v>0.896491029860696</v>
      </c>
      <c r="J456">
        <v>0.735719317837398</v>
      </c>
      <c r="K456">
        <v>0.881717631460326</v>
      </c>
      <c r="L456">
        <v>2354.64240149154</v>
      </c>
      <c r="M456">
        <v>39.7758754983516</v>
      </c>
      <c r="O456">
        <v>59.0487128348974</v>
      </c>
      <c r="P456">
        <v>-0.0308068643868985</v>
      </c>
      <c r="Q456">
        <v>0.817064811184084</v>
      </c>
      <c r="R456">
        <v>0.51312303357907</v>
      </c>
      <c r="S456" t="s">
        <v>2124</v>
      </c>
      <c r="T456" t="s">
        <v>3312</v>
      </c>
      <c r="U456" t="s">
        <v>3312</v>
      </c>
      <c r="V456" t="s">
        <v>3312</v>
      </c>
      <c r="W456" t="s">
        <v>3767</v>
      </c>
      <c r="X456">
        <v>4</v>
      </c>
      <c r="Y456" t="s">
        <v>5407</v>
      </c>
      <c r="Z456" t="s">
        <v>7049</v>
      </c>
      <c r="AA456">
        <v>0.9530607715534869</v>
      </c>
      <c r="AB456">
        <f>HYPERLINK("Melting_Curves/meltCurve_P0A9Z1_glnB.pdf", "Melting_Curves/meltCurve_P0A9Z1_glnB.pdf")</f>
        <v>0</v>
      </c>
    </row>
    <row r="457" spans="1:28">
      <c r="A457" t="s">
        <v>483</v>
      </c>
      <c r="B457">
        <v>0.999984544473304</v>
      </c>
      <c r="C457">
        <v>1.0602247348002</v>
      </c>
      <c r="D457">
        <v>0.936904458839089</v>
      </c>
      <c r="E457">
        <v>1.15571585271843</v>
      </c>
      <c r="F457">
        <v>1.12356736420474</v>
      </c>
      <c r="G457">
        <v>0.947162688251134</v>
      </c>
      <c r="H457">
        <v>0.988527924169577</v>
      </c>
      <c r="I457">
        <v>0.881062856097733</v>
      </c>
      <c r="J457">
        <v>0.72268443225654</v>
      </c>
      <c r="K457">
        <v>0.784884059207885</v>
      </c>
      <c r="L457">
        <v>15000</v>
      </c>
      <c r="M457">
        <v>245.833866550455</v>
      </c>
      <c r="O457">
        <v>61.0127787137625</v>
      </c>
      <c r="P457">
        <v>-0.248014889386731</v>
      </c>
      <c r="Q457">
        <v>0.7537836792052039</v>
      </c>
      <c r="R457">
        <v>0.69677266588427</v>
      </c>
      <c r="S457" t="s">
        <v>2125</v>
      </c>
      <c r="T457" t="s">
        <v>3312</v>
      </c>
      <c r="U457" t="s">
        <v>3312</v>
      </c>
      <c r="V457" t="s">
        <v>3312</v>
      </c>
      <c r="W457" t="s">
        <v>3768</v>
      </c>
      <c r="X457">
        <v>5</v>
      </c>
      <c r="Y457" t="s">
        <v>5408</v>
      </c>
      <c r="Z457" t="s">
        <v>7050</v>
      </c>
      <c r="AA457">
        <v>0.9509220220461625</v>
      </c>
      <c r="AB457">
        <f>HYPERLINK("Melting_Curves/meltCurve_P0AA04_ptsH.pdf", "Melting_Curves/meltCurve_P0AA04_ptsH.pdf")</f>
        <v>0</v>
      </c>
    </row>
    <row r="458" spans="1:28">
      <c r="A458" t="s">
        <v>484</v>
      </c>
      <c r="B458">
        <v>0.999984544473304</v>
      </c>
      <c r="C458">
        <v>0.574786048296276</v>
      </c>
      <c r="D458">
        <v>0.405206749965029</v>
      </c>
      <c r="E458">
        <v>0.29938237867549</v>
      </c>
      <c r="F458">
        <v>0.19317865180833</v>
      </c>
      <c r="G458">
        <v>0.133686595957735</v>
      </c>
      <c r="H458">
        <v>0.121397661448245</v>
      </c>
      <c r="I458">
        <v>0.108700509187702</v>
      </c>
      <c r="J458">
        <v>0.116939274050199</v>
      </c>
      <c r="K458">
        <v>0.217638439524729</v>
      </c>
      <c r="L458">
        <v>746.018135386895</v>
      </c>
      <c r="M458">
        <v>18.2712681457976</v>
      </c>
      <c r="N458">
        <v>41.6408416027162</v>
      </c>
      <c r="O458">
        <v>40.3504547891882</v>
      </c>
      <c r="P458">
        <v>-0.0962646750636568</v>
      </c>
      <c r="Q458">
        <v>0.149671995951769</v>
      </c>
      <c r="R458">
        <v>0.951564264814824</v>
      </c>
      <c r="S458" t="s">
        <v>2126</v>
      </c>
      <c r="T458" t="s">
        <v>3312</v>
      </c>
      <c r="U458" t="s">
        <v>3312</v>
      </c>
      <c r="V458" t="s">
        <v>3312</v>
      </c>
      <c r="W458" t="s">
        <v>3769</v>
      </c>
      <c r="X458">
        <v>3</v>
      </c>
      <c r="Y458" t="s">
        <v>5409</v>
      </c>
      <c r="Z458" t="s">
        <v>7051</v>
      </c>
      <c r="AA458">
        <v>0.2766477397886005</v>
      </c>
      <c r="AB458">
        <f>HYPERLINK("Melting_Curves/meltCurve_P0AA10_rplM.pdf", "Melting_Curves/meltCurve_P0AA10_rplM.pdf")</f>
        <v>0</v>
      </c>
    </row>
    <row r="459" spans="1:28">
      <c r="A459" t="s">
        <v>485</v>
      </c>
      <c r="B459">
        <v>0.999984544473304</v>
      </c>
      <c r="C459">
        <v>0.810659958909743</v>
      </c>
      <c r="D459">
        <v>0.9734533654652771</v>
      </c>
      <c r="E459">
        <v>0.7208485668168541</v>
      </c>
      <c r="F459">
        <v>0.345294598054968</v>
      </c>
      <c r="G459">
        <v>0.107622428840105</v>
      </c>
      <c r="H459">
        <v>0.0474749673580805</v>
      </c>
      <c r="I459">
        <v>0.0302086828719344</v>
      </c>
      <c r="J459">
        <v>0.0174103813535586</v>
      </c>
      <c r="K459">
        <v>0.0258656332089802</v>
      </c>
      <c r="L459">
        <v>1044.91745077644</v>
      </c>
      <c r="M459">
        <v>21.5110886771149</v>
      </c>
      <c r="N459">
        <v>48.6398007570996</v>
      </c>
      <c r="O459">
        <v>48.1618018057984</v>
      </c>
      <c r="P459">
        <v>-0.110104130343998</v>
      </c>
      <c r="Q459">
        <v>0.0139627225444429</v>
      </c>
      <c r="R459">
        <v>0.97883013429564</v>
      </c>
      <c r="S459" t="s">
        <v>2127</v>
      </c>
      <c r="T459" t="s">
        <v>3312</v>
      </c>
      <c r="U459" t="s">
        <v>3312</v>
      </c>
      <c r="V459" t="s">
        <v>3312</v>
      </c>
      <c r="W459" t="s">
        <v>3770</v>
      </c>
      <c r="X459">
        <v>5</v>
      </c>
      <c r="Y459" t="s">
        <v>5410</v>
      </c>
      <c r="Z459" t="s">
        <v>7052</v>
      </c>
      <c r="AA459">
        <v>0.4057561270720263</v>
      </c>
      <c r="AB459">
        <f>HYPERLINK("Melting_Curves/meltCurve_P0AA16_ompR.pdf", "Melting_Curves/meltCurve_P0AA16_ompR.pdf")</f>
        <v>0</v>
      </c>
    </row>
    <row r="460" spans="1:28">
      <c r="A460" t="s">
        <v>486</v>
      </c>
      <c r="B460">
        <v>0.999984544473304</v>
      </c>
      <c r="C460">
        <v>1.07144320817887</v>
      </c>
      <c r="D460">
        <v>0.812197752401109</v>
      </c>
      <c r="E460">
        <v>1.08901178118557</v>
      </c>
      <c r="F460">
        <v>1.05403598489561</v>
      </c>
      <c r="G460">
        <v>0.786548512125479</v>
      </c>
      <c r="H460">
        <v>0.776900603199965</v>
      </c>
      <c r="I460">
        <v>0.692479399608275</v>
      </c>
      <c r="J460">
        <v>0.463364673992023</v>
      </c>
      <c r="K460">
        <v>0.662110261838981</v>
      </c>
      <c r="L460">
        <v>1196.73452172579</v>
      </c>
      <c r="M460">
        <v>21.3667660463906</v>
      </c>
      <c r="O460">
        <v>55.5254738853053</v>
      </c>
      <c r="P460">
        <v>-0.0409510370987081</v>
      </c>
      <c r="Q460">
        <v>0.57433543814146</v>
      </c>
      <c r="R460">
        <v>0.758571344712119</v>
      </c>
      <c r="S460" t="s">
        <v>2128</v>
      </c>
      <c r="T460" t="s">
        <v>3312</v>
      </c>
      <c r="U460" t="s">
        <v>3312</v>
      </c>
      <c r="V460" t="s">
        <v>3312</v>
      </c>
      <c r="W460" t="s">
        <v>3771</v>
      </c>
      <c r="X460">
        <v>2</v>
      </c>
      <c r="Y460" t="s">
        <v>5411</v>
      </c>
      <c r="Z460" t="s">
        <v>7053</v>
      </c>
      <c r="AA460">
        <v>0.8481740081026261</v>
      </c>
      <c r="AB460">
        <f>HYPERLINK("Melting_Curves/meltCurve_P0AA25_trxA.pdf", "Melting_Curves/meltCurve_P0AA25_trxA.pdf")</f>
        <v>0</v>
      </c>
    </row>
    <row r="461" spans="1:28">
      <c r="A461" t="s">
        <v>487</v>
      </c>
      <c r="B461">
        <v>0.999984544473304</v>
      </c>
      <c r="C461">
        <v>0.8064197163504589</v>
      </c>
      <c r="D461">
        <v>0.62707369110268</v>
      </c>
      <c r="E461">
        <v>0.337501640834265</v>
      </c>
      <c r="F461">
        <v>0.221535375506563</v>
      </c>
      <c r="G461">
        <v>0.150317863218659</v>
      </c>
      <c r="H461">
        <v>0.09748683867138951</v>
      </c>
      <c r="I461">
        <v>0.0895542116395321</v>
      </c>
      <c r="J461">
        <v>0.0532058587008109</v>
      </c>
      <c r="K461">
        <v>0.0636286945420886</v>
      </c>
      <c r="L461">
        <v>639.084999224951</v>
      </c>
      <c r="M461">
        <v>14.4920900233676</v>
      </c>
      <c r="N461">
        <v>44.530406162836</v>
      </c>
      <c r="O461">
        <v>43.2847183526067</v>
      </c>
      <c r="P461">
        <v>-0.0782278364413104</v>
      </c>
      <c r="Q461">
        <v>0.06551013226727841</v>
      </c>
      <c r="R461">
        <v>0.9946701719657161</v>
      </c>
      <c r="S461" t="s">
        <v>2129</v>
      </c>
      <c r="T461" t="s">
        <v>3312</v>
      </c>
      <c r="U461" t="s">
        <v>3312</v>
      </c>
      <c r="V461" t="s">
        <v>3312</v>
      </c>
      <c r="W461" t="s">
        <v>3772</v>
      </c>
      <c r="X461">
        <v>1</v>
      </c>
      <c r="Y461" t="s">
        <v>5412</v>
      </c>
      <c r="Z461" t="s">
        <v>7054</v>
      </c>
      <c r="AA461">
        <v>0.3114289461623174</v>
      </c>
      <c r="AB461">
        <f>HYPERLINK("Melting_Curves/meltCurve_P0AA37_rluA.pdf", "Melting_Curves/meltCurve_P0AA37_rluA.pdf")</f>
        <v>0</v>
      </c>
    </row>
    <row r="462" spans="1:28">
      <c r="A462" t="s">
        <v>488</v>
      </c>
      <c r="B462">
        <v>0.999984544473304</v>
      </c>
      <c r="C462">
        <v>1.02208636622422</v>
      </c>
      <c r="D462">
        <v>1.24830950290545</v>
      </c>
      <c r="E462">
        <v>1.13329358426907</v>
      </c>
      <c r="F462">
        <v>1.26315861793648</v>
      </c>
      <c r="G462">
        <v>1.10277915680192</v>
      </c>
      <c r="H462">
        <v>0.612995629322187</v>
      </c>
      <c r="I462">
        <v>0.178234917074149</v>
      </c>
      <c r="J462">
        <v>0.0880674951462737</v>
      </c>
      <c r="K462">
        <v>0.0914401244237365</v>
      </c>
      <c r="L462">
        <v>3832.51731045285</v>
      </c>
      <c r="M462">
        <v>66.4682801343025</v>
      </c>
      <c r="N462">
        <v>57.8757158008655</v>
      </c>
      <c r="O462">
        <v>57.6072178933001</v>
      </c>
      <c r="P462">
        <v>-0.25672065133813</v>
      </c>
      <c r="Q462">
        <v>0.110014084237262</v>
      </c>
      <c r="R462">
        <v>0.922879856857437</v>
      </c>
      <c r="S462" t="s">
        <v>2130</v>
      </c>
      <c r="T462" t="s">
        <v>3312</v>
      </c>
      <c r="U462" t="s">
        <v>3312</v>
      </c>
      <c r="V462" t="s">
        <v>3312</v>
      </c>
      <c r="W462" t="s">
        <v>3773</v>
      </c>
      <c r="X462">
        <v>9</v>
      </c>
      <c r="Y462" t="s">
        <v>5413</v>
      </c>
      <c r="Z462" t="s">
        <v>7055</v>
      </c>
      <c r="AA462">
        <v>0.7241725513125699</v>
      </c>
      <c r="AB462">
        <f>HYPERLINK("Melting_Curves/meltCurve_P0AA39_rluC.pdf", "Melting_Curves/meltCurve_P0AA39_rluC.pdf")</f>
        <v>0</v>
      </c>
    </row>
    <row r="463" spans="1:28">
      <c r="A463" t="s">
        <v>489</v>
      </c>
      <c r="B463">
        <v>0.999984544473304</v>
      </c>
      <c r="C463">
        <v>0.873970018346975</v>
      </c>
      <c r="D463">
        <v>0.701584240327955</v>
      </c>
      <c r="E463">
        <v>0.2421221703906</v>
      </c>
      <c r="F463">
        <v>0.165202385414736</v>
      </c>
      <c r="G463">
        <v>0.120663096332615</v>
      </c>
      <c r="H463">
        <v>0.08945209447069551</v>
      </c>
      <c r="I463">
        <v>0.0846998598208611</v>
      </c>
      <c r="J463">
        <v>0.0669652804977408</v>
      </c>
      <c r="K463">
        <v>0.07086204535338129</v>
      </c>
      <c r="L463">
        <v>1008.8398699531</v>
      </c>
      <c r="M463">
        <v>22.9176501492781</v>
      </c>
      <c r="N463">
        <v>44.3734880927543</v>
      </c>
      <c r="O463">
        <v>43.689171220798</v>
      </c>
      <c r="P463">
        <v>-0.12020697086976</v>
      </c>
      <c r="Q463">
        <v>0.0833892042418929</v>
      </c>
      <c r="R463">
        <v>0.993764510744801</v>
      </c>
      <c r="S463" t="s">
        <v>2131</v>
      </c>
      <c r="T463" t="s">
        <v>3312</v>
      </c>
      <c r="U463" t="s">
        <v>3312</v>
      </c>
      <c r="V463" t="s">
        <v>3312</v>
      </c>
      <c r="W463" t="s">
        <v>3774</v>
      </c>
      <c r="X463">
        <v>3</v>
      </c>
      <c r="Y463" t="s">
        <v>5414</v>
      </c>
      <c r="Z463" t="s">
        <v>7056</v>
      </c>
      <c r="AA463">
        <v>0.3069797702040553</v>
      </c>
      <c r="AB463">
        <f>HYPERLINK("Melting_Curves/meltCurve_P0AA43_rsuA.pdf", "Melting_Curves/meltCurve_P0AA43_rsuA.pdf")</f>
        <v>0</v>
      </c>
    </row>
    <row r="464" spans="1:28">
      <c r="A464" t="s">
        <v>490</v>
      </c>
      <c r="B464">
        <v>0.999984544473304</v>
      </c>
      <c r="C464">
        <v>0.937389752307765</v>
      </c>
      <c r="D464">
        <v>0.659569429602862</v>
      </c>
      <c r="E464">
        <v>0.531961410031158</v>
      </c>
      <c r="F464">
        <v>0.46086338482478</v>
      </c>
      <c r="G464">
        <v>0.309347303912156</v>
      </c>
      <c r="H464">
        <v>0.313402558292105</v>
      </c>
      <c r="I464">
        <v>0.243783912715708</v>
      </c>
      <c r="J464">
        <v>0.172718499655554</v>
      </c>
      <c r="K464">
        <v>0.191881253526957</v>
      </c>
      <c r="L464">
        <v>508.074429428128</v>
      </c>
      <c r="M464">
        <v>11.0654064846863</v>
      </c>
      <c r="N464">
        <v>47.8903665486035</v>
      </c>
      <c r="O464">
        <v>44.492457285663</v>
      </c>
      <c r="P464">
        <v>-0.0508028160397723</v>
      </c>
      <c r="Q464">
        <v>0.183185184523065</v>
      </c>
      <c r="R464">
        <v>0.973369150143475</v>
      </c>
      <c r="S464" t="s">
        <v>2132</v>
      </c>
      <c r="T464" t="s">
        <v>3312</v>
      </c>
      <c r="U464" t="s">
        <v>3312</v>
      </c>
      <c r="V464" t="s">
        <v>3312</v>
      </c>
      <c r="W464" t="s">
        <v>3775</v>
      </c>
      <c r="X464">
        <v>3</v>
      </c>
      <c r="Y464" t="s">
        <v>5415</v>
      </c>
      <c r="Z464" t="s">
        <v>7057</v>
      </c>
      <c r="AA464">
        <v>0.4583323206931575</v>
      </c>
      <c r="AB464">
        <f>HYPERLINK("Melting_Curves/meltCurve_P0AA53_qmcA.pdf", "Melting_Curves/meltCurve_P0AA53_qmcA.pdf")</f>
        <v>0</v>
      </c>
    </row>
    <row r="465" spans="1:28">
      <c r="A465" t="s">
        <v>491</v>
      </c>
      <c r="B465">
        <v>0.999984544473304</v>
      </c>
      <c r="C465">
        <v>0.924614087884015</v>
      </c>
      <c r="D465">
        <v>1.14332353491178</v>
      </c>
      <c r="E465">
        <v>1.23770500594582</v>
      </c>
      <c r="F465">
        <v>1.27067695577386</v>
      </c>
      <c r="G465">
        <v>1.12291083120519</v>
      </c>
      <c r="H465">
        <v>1.12900199423111</v>
      </c>
      <c r="I465">
        <v>0.910073921919665</v>
      </c>
      <c r="J465">
        <v>0.784409830638335</v>
      </c>
      <c r="K465">
        <v>0.838002006825201</v>
      </c>
      <c r="L465">
        <v>15000</v>
      </c>
      <c r="M465">
        <v>245.806852495586</v>
      </c>
      <c r="O465">
        <v>61.0194830917858</v>
      </c>
      <c r="P465">
        <v>-0.190131830598807</v>
      </c>
      <c r="Q465">
        <v>0.811205491043428</v>
      </c>
      <c r="R465">
        <v>0.259693193350696</v>
      </c>
      <c r="S465" t="s">
        <v>2133</v>
      </c>
      <c r="T465" t="s">
        <v>3312</v>
      </c>
      <c r="U465" t="s">
        <v>3312</v>
      </c>
      <c r="V465" t="s">
        <v>3312</v>
      </c>
      <c r="W465" t="s">
        <v>3776</v>
      </c>
      <c r="X465">
        <v>1</v>
      </c>
      <c r="Y465" t="s">
        <v>5416</v>
      </c>
      <c r="Z465" t="s">
        <v>7058</v>
      </c>
      <c r="AA465">
        <v>0.9624100438657575</v>
      </c>
      <c r="AB465">
        <f>HYPERLINK("Melting_Curves/meltCurve_P0AA57_yobA.pdf", "Melting_Curves/meltCurve_P0AA57_yobA.pdf")</f>
        <v>0</v>
      </c>
    </row>
    <row r="466" spans="1:28">
      <c r="A466" t="s">
        <v>492</v>
      </c>
      <c r="B466">
        <v>0.999984544473304</v>
      </c>
      <c r="C466">
        <v>0.759914940428385</v>
      </c>
      <c r="D466">
        <v>1.00926067671306</v>
      </c>
      <c r="E466">
        <v>1.06800838010973</v>
      </c>
      <c r="F466">
        <v>0.970656280567699</v>
      </c>
      <c r="G466">
        <v>0.8772200560392009</v>
      </c>
      <c r="H466">
        <v>0.414960703485137</v>
      </c>
      <c r="I466">
        <v>0.115488115801061</v>
      </c>
      <c r="J466">
        <v>0.057556981836193</v>
      </c>
      <c r="K466">
        <v>0.0452349784245835</v>
      </c>
      <c r="L466">
        <v>1999.74579643588</v>
      </c>
      <c r="M466">
        <v>35.2828224597134</v>
      </c>
      <c r="N466">
        <v>56.8177569044838</v>
      </c>
      <c r="O466">
        <v>56.4964574615315</v>
      </c>
      <c r="P466">
        <v>-0.14962189399235</v>
      </c>
      <c r="Q466">
        <v>0.0416777898689121</v>
      </c>
      <c r="R466">
        <v>0.961872286384941</v>
      </c>
      <c r="S466" t="s">
        <v>2134</v>
      </c>
      <c r="T466" t="s">
        <v>3312</v>
      </c>
      <c r="U466" t="s">
        <v>3312</v>
      </c>
      <c r="V466" t="s">
        <v>3312</v>
      </c>
      <c r="W466" t="s">
        <v>3777</v>
      </c>
      <c r="X466">
        <v>1</v>
      </c>
      <c r="Y466" t="s">
        <v>5417</v>
      </c>
      <c r="Z466" t="s">
        <v>7059</v>
      </c>
      <c r="AA466">
        <v>0.6747646329617872</v>
      </c>
      <c r="AB466">
        <f>HYPERLINK("Melting_Curves/meltCurve_P0AA91_yeaY.pdf", "Melting_Curves/meltCurve_P0AA91_yeaY.pdf")</f>
        <v>0</v>
      </c>
    </row>
    <row r="467" spans="1:28">
      <c r="A467" t="s">
        <v>493</v>
      </c>
      <c r="B467">
        <v>0.999984544473304</v>
      </c>
      <c r="C467">
        <v>0.943079832396148</v>
      </c>
      <c r="D467">
        <v>0.59362449686634</v>
      </c>
      <c r="E467">
        <v>0.6558607370346941</v>
      </c>
      <c r="F467">
        <v>0.498800491085966</v>
      </c>
      <c r="G467">
        <v>0.335617625202117</v>
      </c>
      <c r="H467">
        <v>0.287413504538824</v>
      </c>
      <c r="I467">
        <v>0.21084096399852</v>
      </c>
      <c r="J467">
        <v>0.130195659774974</v>
      </c>
      <c r="K467">
        <v>0.130188201662602</v>
      </c>
      <c r="L467">
        <v>381.821169926015</v>
      </c>
      <c r="M467">
        <v>7.76459583463531</v>
      </c>
      <c r="N467">
        <v>49.4413948979158</v>
      </c>
      <c r="O467">
        <v>46.2323401287317</v>
      </c>
      <c r="P467">
        <v>-0.0411774723826866</v>
      </c>
      <c r="Q467">
        <v>0.0205144960395756</v>
      </c>
      <c r="R467">
        <v>0.952387668403806</v>
      </c>
      <c r="S467" t="s">
        <v>2135</v>
      </c>
      <c r="T467" t="s">
        <v>3312</v>
      </c>
      <c r="U467" t="s">
        <v>3312</v>
      </c>
      <c r="V467" t="s">
        <v>3312</v>
      </c>
      <c r="W467" t="s">
        <v>3778</v>
      </c>
      <c r="X467">
        <v>3</v>
      </c>
      <c r="Y467" t="s">
        <v>5418</v>
      </c>
      <c r="Z467" t="s">
        <v>7060</v>
      </c>
      <c r="AA467">
        <v>0.4636391720334684</v>
      </c>
      <c r="AB467">
        <f>HYPERLINK("Melting_Curves/meltCurve_P0AAA1_yagU.pdf", "Melting_Curves/meltCurve_P0AAA1_yagU.pdf")</f>
        <v>0</v>
      </c>
    </row>
    <row r="468" spans="1:28">
      <c r="A468" t="s">
        <v>494</v>
      </c>
      <c r="B468">
        <v>0.999984544473304</v>
      </c>
      <c r="C468">
        <v>1.10069104556896</v>
      </c>
      <c r="D468">
        <v>1.06683286226901</v>
      </c>
      <c r="E468">
        <v>0.540845495529542</v>
      </c>
      <c r="F468">
        <v>0.15119174751241</v>
      </c>
      <c r="G468">
        <v>0.06333109929571611</v>
      </c>
      <c r="H468">
        <v>0.0492181957251986</v>
      </c>
      <c r="I468">
        <v>0.0300964186642739</v>
      </c>
      <c r="J468">
        <v>0.0198325072026209</v>
      </c>
      <c r="K468">
        <v>0.0207287895639023</v>
      </c>
      <c r="L468">
        <v>1912.57223823229</v>
      </c>
      <c r="M468">
        <v>40.8721307661614</v>
      </c>
      <c r="N468">
        <v>46.8991060360353</v>
      </c>
      <c r="O468">
        <v>46.682448945837</v>
      </c>
      <c r="P468">
        <v>-0.209308658583221</v>
      </c>
      <c r="Q468">
        <v>0.0437473581803043</v>
      </c>
      <c r="R468">
        <v>0.988513500615097</v>
      </c>
      <c r="S468" t="s">
        <v>2136</v>
      </c>
      <c r="T468" t="s">
        <v>3312</v>
      </c>
      <c r="U468" t="s">
        <v>3312</v>
      </c>
      <c r="V468" t="s">
        <v>3312</v>
      </c>
      <c r="W468" t="s">
        <v>3779</v>
      </c>
      <c r="X468">
        <v>3</v>
      </c>
      <c r="Y468" t="s">
        <v>5419</v>
      </c>
      <c r="Z468" t="s">
        <v>7061</v>
      </c>
      <c r="AA468">
        <v>0.3588956040362455</v>
      </c>
      <c r="AB468">
        <f>HYPERLINK("Melting_Curves/meltCurve_P0AAB4_ubiD.pdf", "Melting_Curves/meltCurve_P0AAB4_ubiD.pdf")</f>
        <v>0</v>
      </c>
    </row>
    <row r="469" spans="1:28">
      <c r="A469" t="s">
        <v>495</v>
      </c>
      <c r="B469">
        <v>0.999984544473304</v>
      </c>
      <c r="C469">
        <v>0.750502206757052</v>
      </c>
      <c r="D469">
        <v>0.359230224138358</v>
      </c>
      <c r="E469">
        <v>0.139372568783056</v>
      </c>
      <c r="F469">
        <v>0.0924694883178114</v>
      </c>
      <c r="G469">
        <v>0.057714899885147</v>
      </c>
      <c r="H469">
        <v>0.0549870759957269</v>
      </c>
      <c r="I469">
        <v>0.0444948942721658</v>
      </c>
      <c r="J469">
        <v>0.0411161377350924</v>
      </c>
      <c r="K469">
        <v>0.0310155245055568</v>
      </c>
      <c r="L469">
        <v>993.074467661503</v>
      </c>
      <c r="M469">
        <v>23.7981475090882</v>
      </c>
      <c r="N469">
        <v>41.9192661300456</v>
      </c>
      <c r="O469">
        <v>41.4377668927296</v>
      </c>
      <c r="P469">
        <v>-0.136231239475008</v>
      </c>
      <c r="Q469">
        <v>0.051182272110059</v>
      </c>
      <c r="R469">
        <v>0.996785758784266</v>
      </c>
      <c r="S469" t="s">
        <v>2137</v>
      </c>
      <c r="T469" t="s">
        <v>3312</v>
      </c>
      <c r="U469" t="s">
        <v>3312</v>
      </c>
      <c r="V469" t="s">
        <v>3312</v>
      </c>
      <c r="W469" t="s">
        <v>3780</v>
      </c>
      <c r="X469">
        <v>5</v>
      </c>
      <c r="Y469" t="s">
        <v>5420</v>
      </c>
      <c r="Z469" t="s">
        <v>7062</v>
      </c>
      <c r="AA469">
        <v>0.2104890437486952</v>
      </c>
      <c r="AB469">
        <f>HYPERLINK("Melting_Curves/meltCurve_P0AAB6_galF.pdf", "Melting_Curves/meltCurve_P0AAB6_galF.pdf")</f>
        <v>0</v>
      </c>
    </row>
    <row r="470" spans="1:28">
      <c r="A470" t="s">
        <v>496</v>
      </c>
      <c r="B470">
        <v>0.999984544473304</v>
      </c>
      <c r="C470">
        <v>0.944572931495155</v>
      </c>
      <c r="D470">
        <v>1.00914825355943</v>
      </c>
      <c r="E470">
        <v>1.15984666202394</v>
      </c>
      <c r="F470">
        <v>0.9245757994238319</v>
      </c>
      <c r="G470">
        <v>0.888310401839521</v>
      </c>
      <c r="H470">
        <v>0.7076864520926029</v>
      </c>
      <c r="I470">
        <v>0.479834778483113</v>
      </c>
      <c r="J470">
        <v>0.274154171025008</v>
      </c>
      <c r="K470">
        <v>0.486695421934364</v>
      </c>
      <c r="L470">
        <v>1591.44356890268</v>
      </c>
      <c r="M470">
        <v>27.7544522126147</v>
      </c>
      <c r="N470">
        <v>60.263409167531</v>
      </c>
      <c r="O470">
        <v>57.0449314627191</v>
      </c>
      <c r="P470">
        <v>-0.0766420181247298</v>
      </c>
      <c r="Q470">
        <v>0.369903057006145</v>
      </c>
      <c r="R470">
        <v>0.916450198057125</v>
      </c>
      <c r="S470" t="s">
        <v>2138</v>
      </c>
      <c r="T470" t="s">
        <v>3312</v>
      </c>
      <c r="U470" t="s">
        <v>3312</v>
      </c>
      <c r="V470" t="s">
        <v>3312</v>
      </c>
      <c r="W470" t="s">
        <v>3781</v>
      </c>
      <c r="X470">
        <v>1</v>
      </c>
      <c r="Y470" t="s">
        <v>5421</v>
      </c>
      <c r="Z470" t="s">
        <v>7063</v>
      </c>
      <c r="AA470">
        <v>0.8011726634974302</v>
      </c>
      <c r="AB470">
        <f>HYPERLINK("Melting_Curves/meltCurve_P0AAB8_uspD.pdf", "Melting_Curves/meltCurve_P0AAB8_uspD.pdf")</f>
        <v>0</v>
      </c>
    </row>
    <row r="471" spans="1:28">
      <c r="A471" t="s">
        <v>497</v>
      </c>
      <c r="B471">
        <v>0.999984544473304</v>
      </c>
      <c r="C471">
        <v>0.817193066156561</v>
      </c>
      <c r="D471">
        <v>1.03297586381334</v>
      </c>
      <c r="E471">
        <v>0.909458931386309</v>
      </c>
      <c r="F471">
        <v>0.955160034761945</v>
      </c>
      <c r="G471">
        <v>0.468350965911602</v>
      </c>
      <c r="H471">
        <v>0.0940950746897216</v>
      </c>
      <c r="I471">
        <v>0.0391318396399599</v>
      </c>
      <c r="J471">
        <v>0.0235897879562052</v>
      </c>
      <c r="K471">
        <v>0.0293729346251433</v>
      </c>
      <c r="L471">
        <v>2204.93411238693</v>
      </c>
      <c r="M471">
        <v>41.1609726477307</v>
      </c>
      <c r="N471">
        <v>53.6479701427402</v>
      </c>
      <c r="O471">
        <v>53.4425841311493</v>
      </c>
      <c r="P471">
        <v>-0.186857573380255</v>
      </c>
      <c r="Q471">
        <v>0.0295532408368371</v>
      </c>
      <c r="R471">
        <v>0.976618205199578</v>
      </c>
      <c r="S471" t="s">
        <v>2139</v>
      </c>
      <c r="T471" t="s">
        <v>3312</v>
      </c>
      <c r="U471" t="s">
        <v>3312</v>
      </c>
      <c r="V471" t="s">
        <v>3312</v>
      </c>
      <c r="W471" t="s">
        <v>3782</v>
      </c>
      <c r="X471">
        <v>6</v>
      </c>
      <c r="Y471" t="s">
        <v>5422</v>
      </c>
      <c r="Z471" t="s">
        <v>7064</v>
      </c>
      <c r="AA471">
        <v>0.5688913161683469</v>
      </c>
      <c r="AB471">
        <f>HYPERLINK("Melting_Curves/meltCurve_P0AAC0_uspE.pdf", "Melting_Curves/meltCurve_P0AAC0_uspE.pdf")</f>
        <v>0</v>
      </c>
    </row>
    <row r="472" spans="1:28">
      <c r="A472" t="s">
        <v>498</v>
      </c>
      <c r="B472">
        <v>0.999984544473304</v>
      </c>
      <c r="C472">
        <v>1.05453037340163</v>
      </c>
      <c r="D472">
        <v>0.887335534149459</v>
      </c>
      <c r="E472">
        <v>1.05825163374533</v>
      </c>
      <c r="F472">
        <v>0.759796947897783</v>
      </c>
      <c r="G472">
        <v>0.633651518261814</v>
      </c>
      <c r="H472">
        <v>0.481662256214631</v>
      </c>
      <c r="I472">
        <v>0.249206792416967</v>
      </c>
      <c r="J472">
        <v>0.198420913180847</v>
      </c>
      <c r="K472">
        <v>0.168417727909043</v>
      </c>
      <c r="L472">
        <v>770.860439236566</v>
      </c>
      <c r="M472">
        <v>13.8936234422292</v>
      </c>
      <c r="N472">
        <v>56.1868123846141</v>
      </c>
      <c r="O472">
        <v>54.3715176516382</v>
      </c>
      <c r="P472">
        <v>-0.0587889912628996</v>
      </c>
      <c r="Q472">
        <v>0.0798625127799918</v>
      </c>
      <c r="R472">
        <v>0.969484716751419</v>
      </c>
      <c r="S472" t="s">
        <v>2140</v>
      </c>
      <c r="T472" t="s">
        <v>3312</v>
      </c>
      <c r="U472" t="s">
        <v>3312</v>
      </c>
      <c r="V472" t="s">
        <v>3312</v>
      </c>
      <c r="W472" t="s">
        <v>3783</v>
      </c>
      <c r="X472">
        <v>1</v>
      </c>
      <c r="Y472" t="s">
        <v>5423</v>
      </c>
      <c r="Z472" t="s">
        <v>7065</v>
      </c>
      <c r="AA472">
        <v>0.6586661224528844</v>
      </c>
      <c r="AB472">
        <f>HYPERLINK("Melting_Curves/meltCurve_P0AAC4_ybhL.pdf", "Melting_Curves/meltCurve_P0AAC4_ybhL.pdf")</f>
        <v>0</v>
      </c>
    </row>
    <row r="473" spans="1:28">
      <c r="A473" t="s">
        <v>499</v>
      </c>
      <c r="B473">
        <v>0.999984544473304</v>
      </c>
      <c r="C473">
        <v>1.10468397627393</v>
      </c>
      <c r="D473">
        <v>0.846188649281743</v>
      </c>
      <c r="E473">
        <v>1.0146302540614</v>
      </c>
      <c r="F473">
        <v>1.14237815696446</v>
      </c>
      <c r="G473">
        <v>0.894689051352787</v>
      </c>
      <c r="H473">
        <v>0.848366064609184</v>
      </c>
      <c r="I473">
        <v>0.796883046579718</v>
      </c>
      <c r="J473">
        <v>0.596112086719377</v>
      </c>
      <c r="K473">
        <v>0.718084228256811</v>
      </c>
      <c r="L473">
        <v>1374.94453723574</v>
      </c>
      <c r="M473">
        <v>23.6690256183848</v>
      </c>
      <c r="O473">
        <v>57.6805494461233</v>
      </c>
      <c r="P473">
        <v>-0.0353553597377444</v>
      </c>
      <c r="Q473">
        <v>0.65536682123809</v>
      </c>
      <c r="R473">
        <v>0.71578103874998</v>
      </c>
      <c r="S473" t="s">
        <v>2141</v>
      </c>
      <c r="T473" t="s">
        <v>3312</v>
      </c>
      <c r="U473" t="s">
        <v>3312</v>
      </c>
      <c r="V473" t="s">
        <v>3312</v>
      </c>
      <c r="W473" t="s">
        <v>3784</v>
      </c>
      <c r="X473">
        <v>3</v>
      </c>
      <c r="Y473" t="s">
        <v>5424</v>
      </c>
      <c r="Z473" t="s">
        <v>7066</v>
      </c>
      <c r="AA473">
        <v>0.8999088624043938</v>
      </c>
      <c r="AB473">
        <f>HYPERLINK("Melting_Curves/meltCurve_P0AAC8_iscA.pdf", "Melting_Curves/meltCurve_P0AAC8_iscA.pdf")</f>
        <v>0</v>
      </c>
    </row>
    <row r="474" spans="1:28">
      <c r="A474" t="s">
        <v>500</v>
      </c>
      <c r="B474">
        <v>0.999984544473304</v>
      </c>
      <c r="C474">
        <v>1.48332527509321</v>
      </c>
      <c r="D474">
        <v>0.305260739932736</v>
      </c>
      <c r="E474">
        <v>0.377539471973529</v>
      </c>
      <c r="F474">
        <v>0.148691323604843</v>
      </c>
      <c r="G474">
        <v>0.108418839605466</v>
      </c>
      <c r="H474">
        <v>0.0965378972959533</v>
      </c>
      <c r="I474">
        <v>0.0477118457476525</v>
      </c>
      <c r="J474">
        <v>0.0333745204092217</v>
      </c>
      <c r="K474">
        <v>0.0359526504328784</v>
      </c>
      <c r="L474">
        <v>10692.8901601675</v>
      </c>
      <c r="M474">
        <v>250</v>
      </c>
      <c r="N474">
        <v>42.8190739151993</v>
      </c>
      <c r="O474">
        <v>42.7688116725082</v>
      </c>
      <c r="P474">
        <v>-1.28426607227653</v>
      </c>
      <c r="Q474">
        <v>0.121175215500575</v>
      </c>
      <c r="R474">
        <v>0.8513675220160311</v>
      </c>
      <c r="S474" t="s">
        <v>2142</v>
      </c>
      <c r="T474" t="s">
        <v>3312</v>
      </c>
      <c r="U474" t="s">
        <v>3312</v>
      </c>
      <c r="V474" t="s">
        <v>3312</v>
      </c>
      <c r="W474" t="s">
        <v>3785</v>
      </c>
      <c r="X474">
        <v>1</v>
      </c>
      <c r="Y474" t="s">
        <v>5425</v>
      </c>
      <c r="Z474" t="s">
        <v>7067</v>
      </c>
      <c r="AA474">
        <v>0.2903142009727439</v>
      </c>
      <c r="AB474">
        <f>HYPERLINK("Melting_Curves/meltCurve_P0AAE0_cycA.pdf", "Melting_Curves/meltCurve_P0AAE0_cycA.pdf")</f>
        <v>0</v>
      </c>
    </row>
    <row r="475" spans="1:28">
      <c r="A475" t="s">
        <v>501</v>
      </c>
      <c r="B475">
        <v>0.999984544473304</v>
      </c>
      <c r="C475">
        <v>0.601175642818604</v>
      </c>
      <c r="D475">
        <v>0.250154899149448</v>
      </c>
      <c r="E475">
        <v>0.190092690136781</v>
      </c>
      <c r="F475">
        <v>0.13428470537229</v>
      </c>
      <c r="G475">
        <v>0.112871587049635</v>
      </c>
      <c r="H475">
        <v>0.07061092016082821</v>
      </c>
      <c r="I475">
        <v>0.06656716755550909</v>
      </c>
      <c r="J475">
        <v>0.0148839511449614</v>
      </c>
      <c r="K475">
        <v>0.0478171615429268</v>
      </c>
      <c r="L475">
        <v>1053.58667227132</v>
      </c>
      <c r="M475">
        <v>26.0022135799199</v>
      </c>
      <c r="N475">
        <v>40.8079120783545</v>
      </c>
      <c r="O475">
        <v>40.2817413348321</v>
      </c>
      <c r="P475">
        <v>-0.147816853578359</v>
      </c>
      <c r="Q475">
        <v>0.0840394048204102</v>
      </c>
      <c r="R475">
        <v>0.9759791467844841</v>
      </c>
      <c r="S475" t="s">
        <v>2143</v>
      </c>
      <c r="T475" t="s">
        <v>3312</v>
      </c>
      <c r="U475" t="s">
        <v>3312</v>
      </c>
      <c r="V475" t="s">
        <v>3312</v>
      </c>
      <c r="W475" t="s">
        <v>3786</v>
      </c>
      <c r="X475">
        <v>1</v>
      </c>
      <c r="Y475" t="s">
        <v>5426</v>
      </c>
      <c r="Z475" t="s">
        <v>7068</v>
      </c>
      <c r="AA475">
        <v>0.2006318925360832</v>
      </c>
      <c r="AB475">
        <f>HYPERLINK("Melting_Curves/meltCurve_P0AAF6_artP.pdf", "Melting_Curves/meltCurve_P0AAF6_artP.pdf")</f>
        <v>0</v>
      </c>
    </row>
    <row r="476" spans="1:28">
      <c r="A476" t="s">
        <v>502</v>
      </c>
      <c r="B476">
        <v>0.999984544473304</v>
      </c>
      <c r="C476">
        <v>0.602998111903576</v>
      </c>
      <c r="D476">
        <v>0.281520601129481</v>
      </c>
      <c r="E476">
        <v>0.144818111598346</v>
      </c>
      <c r="F476">
        <v>0.0798524255945592</v>
      </c>
      <c r="G476">
        <v>0.0687926090927337</v>
      </c>
      <c r="H476">
        <v>0.0367896654487645</v>
      </c>
      <c r="I476">
        <v>0.0347081481626047</v>
      </c>
      <c r="J476">
        <v>0.0232884568985987</v>
      </c>
      <c r="K476">
        <v>0.0311630677740394</v>
      </c>
      <c r="L476">
        <v>943.906375861753</v>
      </c>
      <c r="M476">
        <v>23.1298495036419</v>
      </c>
      <c r="N476">
        <v>40.9929373154096</v>
      </c>
      <c r="O476">
        <v>40.5076350561431</v>
      </c>
      <c r="P476">
        <v>-0.135716747753812</v>
      </c>
      <c r="Q476">
        <v>0.0492865052024051</v>
      </c>
      <c r="R476">
        <v>0.986813949829251</v>
      </c>
      <c r="S476" t="s">
        <v>2144</v>
      </c>
      <c r="T476" t="s">
        <v>3312</v>
      </c>
      <c r="U476" t="s">
        <v>3312</v>
      </c>
      <c r="V476" t="s">
        <v>3312</v>
      </c>
      <c r="W476" t="s">
        <v>3787</v>
      </c>
      <c r="X476">
        <v>3</v>
      </c>
      <c r="Y476" t="s">
        <v>5427</v>
      </c>
      <c r="Z476" t="s">
        <v>7069</v>
      </c>
      <c r="AA476">
        <v>0.1819182768295377</v>
      </c>
      <c r="AB476">
        <f>HYPERLINK("Melting_Curves/meltCurve_P0AAG0_dppD.pdf", "Melting_Curves/meltCurve_P0AAG0_dppD.pdf")</f>
        <v>0</v>
      </c>
    </row>
    <row r="477" spans="1:28">
      <c r="A477" t="s">
        <v>503</v>
      </c>
      <c r="B477">
        <v>0.999984544473304</v>
      </c>
      <c r="C477">
        <v>2.35941553686316</v>
      </c>
      <c r="D477">
        <v>2.43821222326838</v>
      </c>
      <c r="E477">
        <v>3.07708496047933</v>
      </c>
      <c r="F477">
        <v>1.34277558923131</v>
      </c>
      <c r="G477">
        <v>1.17938155463611</v>
      </c>
      <c r="H477">
        <v>1.056568522334</v>
      </c>
      <c r="I477">
        <v>0.597530486868696</v>
      </c>
      <c r="J477">
        <v>0</v>
      </c>
      <c r="K477">
        <v>0</v>
      </c>
      <c r="L477">
        <v>15000</v>
      </c>
      <c r="M477">
        <v>245.50645325762</v>
      </c>
      <c r="N477">
        <v>61.0981903347204</v>
      </c>
      <c r="O477">
        <v>61.0941360089221</v>
      </c>
      <c r="P477">
        <v>-1.00462364171095</v>
      </c>
      <c r="Q477">
        <v>0</v>
      </c>
      <c r="R477">
        <v>0.128047789156122</v>
      </c>
      <c r="S477" t="s">
        <v>2145</v>
      </c>
      <c r="T477" t="s">
        <v>3312</v>
      </c>
      <c r="U477" t="s">
        <v>3312</v>
      </c>
      <c r="V477" t="s">
        <v>3312</v>
      </c>
      <c r="W477" t="s">
        <v>3788</v>
      </c>
      <c r="X477">
        <v>1</v>
      </c>
      <c r="Y477" t="s">
        <v>5428</v>
      </c>
      <c r="Z477" t="s">
        <v>7070</v>
      </c>
      <c r="AA477">
        <v>0.803384198227258</v>
      </c>
      <c r="AB477">
        <f>HYPERLINK("Melting_Curves/meltCurve_P0AAH8_sapF.pdf", "Melting_Curves/meltCurve_P0AAH8_sapF.pdf")</f>
        <v>0</v>
      </c>
    </row>
    <row r="478" spans="1:28">
      <c r="A478" t="s">
        <v>504</v>
      </c>
      <c r="B478">
        <v>0.999984544473304</v>
      </c>
      <c r="C478">
        <v>1.6922501282489</v>
      </c>
      <c r="D478">
        <v>1.25205150878063</v>
      </c>
      <c r="E478">
        <v>1.14616233294878</v>
      </c>
      <c r="F478">
        <v>0.572681959620991</v>
      </c>
      <c r="G478">
        <v>0.409656453188868</v>
      </c>
      <c r="H478">
        <v>0.359729128397665</v>
      </c>
      <c r="I478">
        <v>0.438771104436789</v>
      </c>
      <c r="J478">
        <v>0.409101209568674</v>
      </c>
      <c r="K478">
        <v>0.398736863538983</v>
      </c>
      <c r="L478">
        <v>12503.5762557256</v>
      </c>
      <c r="M478">
        <v>250</v>
      </c>
      <c r="N478">
        <v>50.3449615385702</v>
      </c>
      <c r="O478">
        <v>50.0111046503915</v>
      </c>
      <c r="P478">
        <v>-0.745835675796985</v>
      </c>
      <c r="Q478">
        <v>0.403198946672126</v>
      </c>
      <c r="R478">
        <v>0.715207106622069</v>
      </c>
      <c r="S478" t="s">
        <v>2146</v>
      </c>
      <c r="T478" t="s">
        <v>3312</v>
      </c>
      <c r="U478" t="s">
        <v>3312</v>
      </c>
      <c r="V478" t="s">
        <v>3312</v>
      </c>
      <c r="W478" t="s">
        <v>3789</v>
      </c>
      <c r="X478">
        <v>17</v>
      </c>
      <c r="Y478" t="s">
        <v>5429</v>
      </c>
      <c r="Z478" t="s">
        <v>7071</v>
      </c>
      <c r="AA478">
        <v>0.6621496953494997</v>
      </c>
      <c r="AB478">
        <f>HYPERLINK("Melting_Curves/meltCurve_P0AAI3_ftsH.pdf", "Melting_Curves/meltCurve_P0AAI3_ftsH.pdf")</f>
        <v>0</v>
      </c>
    </row>
    <row r="479" spans="1:28">
      <c r="A479" t="s">
        <v>505</v>
      </c>
      <c r="B479">
        <v>0.999984544473304</v>
      </c>
      <c r="C479">
        <v>0.792696805521699</v>
      </c>
      <c r="D479">
        <v>0.453652469623579</v>
      </c>
      <c r="E479">
        <v>0.375298053706604</v>
      </c>
      <c r="F479">
        <v>0.328177437661842</v>
      </c>
      <c r="G479">
        <v>0.25161869346299</v>
      </c>
      <c r="H479">
        <v>0.201081527311739</v>
      </c>
      <c r="I479">
        <v>0.171971926091405</v>
      </c>
      <c r="J479">
        <v>0.140547036076365</v>
      </c>
      <c r="K479">
        <v>0.199651159807158</v>
      </c>
      <c r="L479">
        <v>713.653562549159</v>
      </c>
      <c r="M479">
        <v>16.9335001490655</v>
      </c>
      <c r="N479">
        <v>43.4569165553867</v>
      </c>
      <c r="O479">
        <v>41.5698878547999</v>
      </c>
      <c r="P479">
        <v>-0.0814574240161039</v>
      </c>
      <c r="Q479">
        <v>0.200173988002538</v>
      </c>
      <c r="R479">
        <v>0.965887008403351</v>
      </c>
      <c r="S479" t="s">
        <v>2147</v>
      </c>
      <c r="T479" t="s">
        <v>3312</v>
      </c>
      <c r="U479" t="s">
        <v>3312</v>
      </c>
      <c r="V479" t="s">
        <v>3312</v>
      </c>
      <c r="W479" t="s">
        <v>3790</v>
      </c>
      <c r="X479">
        <v>3</v>
      </c>
      <c r="Y479" t="s">
        <v>5430</v>
      </c>
      <c r="Z479" t="s">
        <v>7072</v>
      </c>
      <c r="AA479">
        <v>0.3547410207174391</v>
      </c>
      <c r="AB479">
        <f>HYPERLINK("Melting_Curves/meltCurve_P0AAI5_fabF.pdf", "Melting_Curves/meltCurve_P0AAI5_fabF.pdf")</f>
        <v>0</v>
      </c>
    </row>
    <row r="480" spans="1:28">
      <c r="A480" t="s">
        <v>506</v>
      </c>
      <c r="B480">
        <v>0.999984544473304</v>
      </c>
      <c r="C480">
        <v>0.810553427148223</v>
      </c>
      <c r="D480">
        <v>1.00235473653757</v>
      </c>
      <c r="E480">
        <v>0.90361469839872</v>
      </c>
      <c r="F480">
        <v>1.04889039989871</v>
      </c>
      <c r="G480">
        <v>0.840769689936419</v>
      </c>
      <c r="H480">
        <v>0.501440626632449</v>
      </c>
      <c r="I480">
        <v>0.0889667308304275</v>
      </c>
      <c r="J480">
        <v>0.0567466643670692</v>
      </c>
      <c r="K480">
        <v>0.0315633524314049</v>
      </c>
      <c r="L480">
        <v>1814.28618815362</v>
      </c>
      <c r="M480">
        <v>31.7439273727904</v>
      </c>
      <c r="N480">
        <v>57.1968963786642</v>
      </c>
      <c r="O480">
        <v>56.9284172845202</v>
      </c>
      <c r="P480">
        <v>-0.13775630304667</v>
      </c>
      <c r="Q480">
        <v>0.0118163096951122</v>
      </c>
      <c r="R480">
        <v>0.966794615641548</v>
      </c>
      <c r="S480" t="s">
        <v>2148</v>
      </c>
      <c r="T480" t="s">
        <v>3312</v>
      </c>
      <c r="U480" t="s">
        <v>3312</v>
      </c>
      <c r="V480" t="s">
        <v>3312</v>
      </c>
      <c r="W480" t="s">
        <v>3791</v>
      </c>
      <c r="X480">
        <v>9</v>
      </c>
      <c r="Y480" t="s">
        <v>5431</v>
      </c>
      <c r="Z480" t="s">
        <v>7073</v>
      </c>
      <c r="AA480">
        <v>0.6810770180295714</v>
      </c>
      <c r="AB480">
        <f>HYPERLINK("Melting_Curves/meltCurve_P0AAI9_fabD.pdf", "Melting_Curves/meltCurve_P0AAI9_fabD.pdf")</f>
        <v>0</v>
      </c>
    </row>
    <row r="481" spans="1:28">
      <c r="A481" t="s">
        <v>507</v>
      </c>
      <c r="B481">
        <v>0.999984544473304</v>
      </c>
      <c r="C481">
        <v>1.03048208864767</v>
      </c>
      <c r="D481">
        <v>0.538871763658612</v>
      </c>
      <c r="E481">
        <v>0.6838213776677819</v>
      </c>
      <c r="F481">
        <v>0.811191662516796</v>
      </c>
      <c r="G481">
        <v>0.61766347669751</v>
      </c>
      <c r="H481">
        <v>0.6013752356611149</v>
      </c>
      <c r="I481">
        <v>0.530033223724673</v>
      </c>
      <c r="J481">
        <v>0.6605824460683291</v>
      </c>
      <c r="K481">
        <v>0.422167447488726</v>
      </c>
      <c r="L481">
        <v>10332.5825262196</v>
      </c>
      <c r="M481">
        <v>250</v>
      </c>
      <c r="O481">
        <v>41.3276861840281</v>
      </c>
      <c r="P481">
        <v>-0.5925360407932621</v>
      </c>
      <c r="Q481">
        <v>0.60818971267995</v>
      </c>
      <c r="R481">
        <v>0.7332350343064959</v>
      </c>
      <c r="S481" t="s">
        <v>2149</v>
      </c>
      <c r="T481" t="s">
        <v>3312</v>
      </c>
      <c r="U481" t="s">
        <v>3312</v>
      </c>
      <c r="V481" t="s">
        <v>3312</v>
      </c>
      <c r="W481" t="s">
        <v>3792</v>
      </c>
      <c r="X481">
        <v>2</v>
      </c>
      <c r="Y481" t="s">
        <v>5432</v>
      </c>
      <c r="Z481" t="s">
        <v>7074</v>
      </c>
      <c r="AA481">
        <v>0.6647737283671645</v>
      </c>
      <c r="AB481">
        <f>HYPERLINK("Melting_Curves/meltCurve_P0AAJ1_ynfG.pdf", "Melting_Curves/meltCurve_P0AAJ1_ynfG.pdf")</f>
        <v>0</v>
      </c>
    </row>
    <row r="482" spans="1:28">
      <c r="A482" t="s">
        <v>508</v>
      </c>
      <c r="B482">
        <v>0.999984544473304</v>
      </c>
      <c r="C482">
        <v>1.59799456794158</v>
      </c>
      <c r="D482">
        <v>1.76432751108977</v>
      </c>
      <c r="E482">
        <v>1.72732983022176</v>
      </c>
      <c r="F482">
        <v>1.11003492654359</v>
      </c>
      <c r="G482">
        <v>1.52168902435322</v>
      </c>
      <c r="H482">
        <v>0.827153265078678</v>
      </c>
      <c r="I482">
        <v>0.9172188297453751</v>
      </c>
      <c r="J482">
        <v>0.922032969378033</v>
      </c>
      <c r="K482">
        <v>1.01788110629794</v>
      </c>
      <c r="L482">
        <v>9478.024879398159</v>
      </c>
      <c r="M482">
        <v>250</v>
      </c>
      <c r="O482">
        <v>37.9096538484149</v>
      </c>
      <c r="P482">
        <v>0.440678450190412</v>
      </c>
      <c r="Q482">
        <v>1.26729561869871</v>
      </c>
      <c r="R482">
        <v>0.0527344071323175</v>
      </c>
      <c r="S482" t="s">
        <v>2150</v>
      </c>
      <c r="T482" t="s">
        <v>3312</v>
      </c>
      <c r="U482" t="s">
        <v>3312</v>
      </c>
      <c r="V482" t="s">
        <v>3312</v>
      </c>
      <c r="W482" t="s">
        <v>3793</v>
      </c>
      <c r="X482">
        <v>4</v>
      </c>
      <c r="Y482" t="s">
        <v>5433</v>
      </c>
      <c r="Z482" t="s">
        <v>7075</v>
      </c>
      <c r="AA482">
        <v>1.259148473773727</v>
      </c>
      <c r="AB482">
        <f>HYPERLINK("Melting_Curves/meltCurve_P0AAJ5_fdoH.pdf", "Melting_Curves/meltCurve_P0AAJ5_fdoH.pdf")</f>
        <v>0</v>
      </c>
    </row>
    <row r="483" spans="1:28">
      <c r="A483" t="s">
        <v>509</v>
      </c>
      <c r="B483">
        <v>0.999984544473304</v>
      </c>
      <c r="C483">
        <v>0.871086965702593</v>
      </c>
      <c r="D483">
        <v>0.740430460011969</v>
      </c>
      <c r="E483">
        <v>0.702337747350855</v>
      </c>
      <c r="F483">
        <v>0.582862545975785</v>
      </c>
      <c r="G483">
        <v>0.466506178150313</v>
      </c>
      <c r="H483">
        <v>0.380884141375388</v>
      </c>
      <c r="I483">
        <v>0.308652748479982</v>
      </c>
      <c r="J483">
        <v>0.252072177970467</v>
      </c>
      <c r="K483">
        <v>0.280135631667209</v>
      </c>
      <c r="L483">
        <v>362.948347320656</v>
      </c>
      <c r="M483">
        <v>7.23808934370323</v>
      </c>
      <c r="N483">
        <v>52.3641443347661</v>
      </c>
      <c r="O483">
        <v>46.7410785004824</v>
      </c>
      <c r="P483">
        <v>-0.0336539739328035</v>
      </c>
      <c r="Q483">
        <v>0.132119998011609</v>
      </c>
      <c r="R483">
        <v>0.984098281892009</v>
      </c>
      <c r="S483" t="s">
        <v>2151</v>
      </c>
      <c r="T483" t="s">
        <v>3312</v>
      </c>
      <c r="U483" t="s">
        <v>3312</v>
      </c>
      <c r="V483" t="s">
        <v>3312</v>
      </c>
      <c r="W483" t="s">
        <v>3794</v>
      </c>
      <c r="X483">
        <v>3</v>
      </c>
      <c r="Y483" t="s">
        <v>5434</v>
      </c>
      <c r="Z483" t="s">
        <v>7076</v>
      </c>
      <c r="AA483">
        <v>0.5492351003747732</v>
      </c>
      <c r="AB483">
        <f>HYPERLINK("Melting_Curves/meltCurve_P0AAJ8_hybA.pdf", "Melting_Curves/meltCurve_P0AAJ8_hybA.pdf")</f>
        <v>0</v>
      </c>
    </row>
    <row r="484" spans="1:28">
      <c r="A484" t="s">
        <v>510</v>
      </c>
      <c r="B484">
        <v>0.999984544473304</v>
      </c>
      <c r="C484">
        <v>0.956227401488407</v>
      </c>
      <c r="D484">
        <v>0.709131433872405</v>
      </c>
      <c r="E484">
        <v>0.665791105297211</v>
      </c>
      <c r="F484">
        <v>0.484696732191557</v>
      </c>
      <c r="G484">
        <v>0.329810014884012</v>
      </c>
      <c r="H484">
        <v>0.295750647409235</v>
      </c>
      <c r="I484">
        <v>0.204264981568033</v>
      </c>
      <c r="J484">
        <v>0.184937335804513</v>
      </c>
      <c r="K484">
        <v>0.174902334040124</v>
      </c>
      <c r="L484">
        <v>485.131545689776</v>
      </c>
      <c r="M484">
        <v>10.0772093176433</v>
      </c>
      <c r="N484">
        <v>49.5487113615979</v>
      </c>
      <c r="O484">
        <v>46.3609809269249</v>
      </c>
      <c r="P484">
        <v>-0.0476009526030116</v>
      </c>
      <c r="Q484">
        <v>0.124446266925946</v>
      </c>
      <c r="R484">
        <v>0.983364803228456</v>
      </c>
      <c r="S484" t="s">
        <v>2152</v>
      </c>
      <c r="T484" t="s">
        <v>3312</v>
      </c>
      <c r="U484" t="s">
        <v>3312</v>
      </c>
      <c r="V484" t="s">
        <v>3312</v>
      </c>
      <c r="W484" t="s">
        <v>3795</v>
      </c>
      <c r="X484">
        <v>3</v>
      </c>
      <c r="Y484" t="s">
        <v>5435</v>
      </c>
      <c r="Z484" t="s">
        <v>7077</v>
      </c>
      <c r="AA484">
        <v>0.4840708156652033</v>
      </c>
      <c r="AB484">
        <f>HYPERLINK("Melting_Curves/meltCurve_P0AAN3_hypB.pdf", "Melting_Curves/meltCurve_P0AAN3_hypB.pdf")</f>
        <v>0</v>
      </c>
    </row>
    <row r="485" spans="1:28">
      <c r="A485" t="s">
        <v>511</v>
      </c>
      <c r="B485">
        <v>0.999984544473304</v>
      </c>
      <c r="C485">
        <v>1.2038882368968</v>
      </c>
      <c r="D485">
        <v>0.61650181494238</v>
      </c>
      <c r="E485">
        <v>0.95046325670928</v>
      </c>
      <c r="F485">
        <v>0.986117402189459</v>
      </c>
      <c r="G485">
        <v>0.799931584902063</v>
      </c>
      <c r="H485">
        <v>0.518097267050283</v>
      </c>
      <c r="I485">
        <v>0.688347204179543</v>
      </c>
      <c r="J485">
        <v>0.499227318487214</v>
      </c>
      <c r="K485">
        <v>0.92900326538074</v>
      </c>
      <c r="L485">
        <v>607.986685688418</v>
      </c>
      <c r="M485">
        <v>12.0778941344081</v>
      </c>
      <c r="O485">
        <v>49.0184148168597</v>
      </c>
      <c r="P485">
        <v>-0.0213323096213254</v>
      </c>
      <c r="Q485">
        <v>0.653770696196377</v>
      </c>
      <c r="R485">
        <v>0.320003333370505</v>
      </c>
      <c r="S485" t="s">
        <v>2153</v>
      </c>
      <c r="T485" t="s">
        <v>3312</v>
      </c>
      <c r="U485" t="s">
        <v>3312</v>
      </c>
      <c r="V485" t="s">
        <v>3312</v>
      </c>
      <c r="W485" t="s">
        <v>3796</v>
      </c>
      <c r="X485">
        <v>1</v>
      </c>
      <c r="Y485" t="s">
        <v>5436</v>
      </c>
      <c r="Z485" t="s">
        <v>7078</v>
      </c>
      <c r="AA485">
        <v>0.8171177048711306</v>
      </c>
      <c r="AB485">
        <f>HYPERLINK("Melting_Curves/meltCurve_P0AAN5_yaiA.pdf", "Melting_Curves/meltCurve_P0AAN5_yaiA.pdf")</f>
        <v>0</v>
      </c>
    </row>
    <row r="486" spans="1:28">
      <c r="A486" t="s">
        <v>512</v>
      </c>
      <c r="B486">
        <v>0.999984544473304</v>
      </c>
      <c r="C486">
        <v>0.860176717561931</v>
      </c>
      <c r="D486">
        <v>0.775971833329356</v>
      </c>
      <c r="E486">
        <v>1.14935691808313</v>
      </c>
      <c r="F486">
        <v>0.880028492387301</v>
      </c>
      <c r="G486">
        <v>0.755049427697654</v>
      </c>
      <c r="H486">
        <v>0.457736182856043</v>
      </c>
      <c r="I486">
        <v>0.710111332534288</v>
      </c>
      <c r="J486">
        <v>0.41752545926379</v>
      </c>
      <c r="K486">
        <v>0.552689890044976</v>
      </c>
      <c r="L486">
        <v>1755.85726473881</v>
      </c>
      <c r="M486">
        <v>33.1184177535648</v>
      </c>
      <c r="O486">
        <v>52.8253671441657</v>
      </c>
      <c r="P486">
        <v>-0.07354378250943371</v>
      </c>
      <c r="Q486">
        <v>0.53077950173444</v>
      </c>
      <c r="R486">
        <v>0.6844883665388</v>
      </c>
      <c r="S486" t="s">
        <v>2154</v>
      </c>
      <c r="T486" t="s">
        <v>3312</v>
      </c>
      <c r="U486" t="s">
        <v>3312</v>
      </c>
      <c r="V486" t="s">
        <v>3312</v>
      </c>
      <c r="W486" t="s">
        <v>3797</v>
      </c>
      <c r="X486">
        <v>1</v>
      </c>
      <c r="Y486" t="s">
        <v>5437</v>
      </c>
      <c r="Z486" t="s">
        <v>7079</v>
      </c>
      <c r="AA486">
        <v>0.7837811164644621</v>
      </c>
      <c r="AB486">
        <f>HYPERLINK("Melting_Curves/meltCurve_P0AAN9_iraP.pdf", "Melting_Curves/meltCurve_P0AAN9_iraP.pdf")</f>
        <v>0</v>
      </c>
    </row>
    <row r="487" spans="1:28">
      <c r="A487" t="s">
        <v>513</v>
      </c>
      <c r="B487">
        <v>0.999984544473304</v>
      </c>
      <c r="C487">
        <v>1.06893338440565</v>
      </c>
      <c r="D487">
        <v>0.714804936539341</v>
      </c>
      <c r="E487">
        <v>0.9239583210444831</v>
      </c>
      <c r="F487">
        <v>0.809767092111403</v>
      </c>
      <c r="G487">
        <v>0.632543841302657</v>
      </c>
      <c r="H487">
        <v>0.6154678956737401</v>
      </c>
      <c r="I487">
        <v>0.485818575947055</v>
      </c>
      <c r="J487">
        <v>0.365781333412565</v>
      </c>
      <c r="K487">
        <v>0.426853591244078</v>
      </c>
      <c r="L487">
        <v>374.027305237851</v>
      </c>
      <c r="M487">
        <v>6.41218850160915</v>
      </c>
      <c r="N487">
        <v>60.6906286700937</v>
      </c>
      <c r="O487">
        <v>53.4326463871916</v>
      </c>
      <c r="P487">
        <v>-0.0267589742895883</v>
      </c>
      <c r="Q487">
        <v>0.110341505903671</v>
      </c>
      <c r="R487">
        <v>0.867219008753465</v>
      </c>
      <c r="S487" t="s">
        <v>2155</v>
      </c>
      <c r="T487" t="s">
        <v>3312</v>
      </c>
      <c r="U487" t="s">
        <v>3312</v>
      </c>
      <c r="V487" t="s">
        <v>3312</v>
      </c>
      <c r="W487" t="s">
        <v>3798</v>
      </c>
      <c r="X487">
        <v>4</v>
      </c>
      <c r="Y487" t="s">
        <v>5438</v>
      </c>
      <c r="Z487" t="s">
        <v>7080</v>
      </c>
      <c r="AA487">
        <v>0.706683694635365</v>
      </c>
      <c r="AB487">
        <f>HYPERLINK("Melting_Curves/meltCurve_P0AAP3_frmR.pdf", "Melting_Curves/meltCurve_P0AAP3_frmR.pdf")</f>
        <v>0</v>
      </c>
    </row>
    <row r="488" spans="1:28">
      <c r="A488" t="s">
        <v>514</v>
      </c>
      <c r="B488">
        <v>0.999984544473304</v>
      </c>
      <c r="C488">
        <v>1.02687941311488</v>
      </c>
      <c r="D488">
        <v>1.02528231697945</v>
      </c>
      <c r="E488">
        <v>0.956951828365998</v>
      </c>
      <c r="F488">
        <v>0.954485897020427</v>
      </c>
      <c r="G488">
        <v>0.888875174986107</v>
      </c>
      <c r="H488">
        <v>0.853233945192683</v>
      </c>
      <c r="I488">
        <v>0.756456997235289</v>
      </c>
      <c r="J488">
        <v>0.634794459183728</v>
      </c>
      <c r="K488">
        <v>0.72699191246019</v>
      </c>
      <c r="L488">
        <v>806.738244862764</v>
      </c>
      <c r="M488">
        <v>14.0161889222598</v>
      </c>
      <c r="O488">
        <v>56.4239473565869</v>
      </c>
      <c r="P488">
        <v>-0.0226314580194715</v>
      </c>
      <c r="Q488">
        <v>0.6356247731660301</v>
      </c>
      <c r="R488">
        <v>0.934765820601774</v>
      </c>
      <c r="S488" t="s">
        <v>2156</v>
      </c>
      <c r="T488" t="s">
        <v>3312</v>
      </c>
      <c r="U488" t="s">
        <v>3312</v>
      </c>
      <c r="V488" t="s">
        <v>3312</v>
      </c>
      <c r="W488" t="s">
        <v>3799</v>
      </c>
      <c r="X488">
        <v>2</v>
      </c>
      <c r="Y488" t="s">
        <v>5439</v>
      </c>
      <c r="Z488" t="s">
        <v>7081</v>
      </c>
      <c r="AA488">
        <v>0.887132133886949</v>
      </c>
      <c r="AB488">
        <f>HYPERLINK("Melting_Curves/meltCurve_P0AAQ2_yajD.pdf", "Melting_Curves/meltCurve_P0AAQ2_yajD.pdf")</f>
        <v>0</v>
      </c>
    </row>
    <row r="489" spans="1:28">
      <c r="A489" t="s">
        <v>515</v>
      </c>
      <c r="B489">
        <v>0.999984544473304</v>
      </c>
      <c r="C489">
        <v>1.73859768353813</v>
      </c>
      <c r="D489">
        <v>0.919157173686955</v>
      </c>
      <c r="E489">
        <v>1.2267275816066</v>
      </c>
      <c r="F489">
        <v>0.973860198678967</v>
      </c>
      <c r="G489">
        <v>0.756705419334908</v>
      </c>
      <c r="H489">
        <v>0.709754966855907</v>
      </c>
      <c r="I489">
        <v>0.6881194318134199</v>
      </c>
      <c r="J489">
        <v>0.549066606830526</v>
      </c>
      <c r="K489">
        <v>0.699472313220793</v>
      </c>
      <c r="L489">
        <v>2457.45176019691</v>
      </c>
      <c r="M489">
        <v>46.4774015303204</v>
      </c>
      <c r="O489">
        <v>52.7765139973069</v>
      </c>
      <c r="P489">
        <v>-0.0753276607876948</v>
      </c>
      <c r="Q489">
        <v>0.65785291883948</v>
      </c>
      <c r="R489">
        <v>0.427881852376584</v>
      </c>
      <c r="S489" t="s">
        <v>2157</v>
      </c>
      <c r="T489" t="s">
        <v>3312</v>
      </c>
      <c r="U489" t="s">
        <v>3312</v>
      </c>
      <c r="V489" t="s">
        <v>3312</v>
      </c>
      <c r="W489" t="s">
        <v>3800</v>
      </c>
      <c r="X489">
        <v>4</v>
      </c>
      <c r="Y489" t="s">
        <v>5440</v>
      </c>
      <c r="Z489" t="s">
        <v>7082</v>
      </c>
      <c r="AA489">
        <v>0.8398188579949871</v>
      </c>
      <c r="AB489">
        <f>HYPERLINK("Melting_Curves/meltCurve_P0AAQ6_ybaA.pdf", "Melting_Curves/meltCurve_P0AAQ6_ybaA.pdf")</f>
        <v>0</v>
      </c>
    </row>
    <row r="490" spans="1:28">
      <c r="A490" t="s">
        <v>516</v>
      </c>
      <c r="B490">
        <v>0.999984544473304</v>
      </c>
      <c r="C490">
        <v>1.01522337418928</v>
      </c>
      <c r="D490">
        <v>1.00558803147012</v>
      </c>
      <c r="E490">
        <v>1.03886131143996</v>
      </c>
      <c r="F490">
        <v>0.974729321107126</v>
      </c>
      <c r="G490">
        <v>0.579301850853593</v>
      </c>
      <c r="H490">
        <v>0.238034082159538</v>
      </c>
      <c r="I490">
        <v>0.108357035153324</v>
      </c>
      <c r="J490">
        <v>0.0535231903526102</v>
      </c>
      <c r="K490">
        <v>0.0442924083131058</v>
      </c>
      <c r="L490">
        <v>1665.71841602763</v>
      </c>
      <c r="M490">
        <v>30.624945270734</v>
      </c>
      <c r="N490">
        <v>54.6077556032146</v>
      </c>
      <c r="O490">
        <v>54.1605652453298</v>
      </c>
      <c r="P490">
        <v>-0.133269079635804</v>
      </c>
      <c r="Q490">
        <v>0.0572540894695875</v>
      </c>
      <c r="R490">
        <v>0.996622497113423</v>
      </c>
      <c r="S490" t="s">
        <v>2158</v>
      </c>
      <c r="T490" t="s">
        <v>3312</v>
      </c>
      <c r="U490" t="s">
        <v>3312</v>
      </c>
      <c r="V490" t="s">
        <v>3312</v>
      </c>
      <c r="W490" t="s">
        <v>3801</v>
      </c>
      <c r="X490">
        <v>4</v>
      </c>
      <c r="Y490" t="s">
        <v>5441</v>
      </c>
      <c r="Z490" t="s">
        <v>7083</v>
      </c>
      <c r="AA490">
        <v>0.6095578408896288</v>
      </c>
      <c r="AB490">
        <f>HYPERLINK("Melting_Curves/meltCurve_P0AAR3_ybaK.pdf", "Melting_Curves/meltCurve_P0AAR3_ybaK.pdf")</f>
        <v>0</v>
      </c>
    </row>
    <row r="491" spans="1:28">
      <c r="A491" t="s">
        <v>517</v>
      </c>
      <c r="B491">
        <v>0.999984544473304</v>
      </c>
      <c r="C491">
        <v>1.08896493372008</v>
      </c>
      <c r="D491">
        <v>0.618821184040189</v>
      </c>
      <c r="E491">
        <v>0.681165376661964</v>
      </c>
      <c r="F491">
        <v>0.735532132366021</v>
      </c>
      <c r="G491">
        <v>0.409383691907695</v>
      </c>
      <c r="H491">
        <v>0.358720914209546</v>
      </c>
      <c r="I491">
        <v>0.182935924666196</v>
      </c>
      <c r="J491">
        <v>0.174115549597322</v>
      </c>
      <c r="K491">
        <v>0.222508212003095</v>
      </c>
      <c r="L491">
        <v>400.468897997007</v>
      </c>
      <c r="M491">
        <v>7.67014136538009</v>
      </c>
      <c r="N491">
        <v>52.3396954035405</v>
      </c>
      <c r="O491">
        <v>49.0176641308514</v>
      </c>
      <c r="P491">
        <v>-0.0388062774841035</v>
      </c>
      <c r="Q491">
        <v>0.009311992046040741</v>
      </c>
      <c r="R491">
        <v>0.8810744532371521</v>
      </c>
      <c r="S491" t="s">
        <v>2159</v>
      </c>
      <c r="T491" t="s">
        <v>3312</v>
      </c>
      <c r="U491" t="s">
        <v>3312</v>
      </c>
      <c r="V491" t="s">
        <v>3312</v>
      </c>
      <c r="W491" t="s">
        <v>3802</v>
      </c>
      <c r="X491">
        <v>1</v>
      </c>
      <c r="Y491" t="s">
        <v>5442</v>
      </c>
      <c r="Z491" t="s">
        <v>7084</v>
      </c>
      <c r="AA491">
        <v>0.5385787150550227</v>
      </c>
      <c r="AB491">
        <f>HYPERLINK("Melting_Curves/meltCurve_P0AAS0_ylaC.pdf", "Melting_Curves/meltCurve_P0AAS0_ylaC.pdf")</f>
        <v>0</v>
      </c>
    </row>
    <row r="492" spans="1:28">
      <c r="A492" t="s">
        <v>518</v>
      </c>
      <c r="B492">
        <v>0.999984544473304</v>
      </c>
      <c r="C492">
        <v>0.9713233207711101</v>
      </c>
      <c r="D492">
        <v>0.989598086869685</v>
      </c>
      <c r="E492">
        <v>1.24862684158464</v>
      </c>
      <c r="F492">
        <v>1.12580220410014</v>
      </c>
      <c r="G492">
        <v>1.11980292549367</v>
      </c>
      <c r="H492">
        <v>0.880190287888322</v>
      </c>
      <c r="I492">
        <v>1.08530767145093</v>
      </c>
      <c r="J492">
        <v>0.778766165713112</v>
      </c>
      <c r="K492">
        <v>0.834051998046665</v>
      </c>
      <c r="L492">
        <v>15000</v>
      </c>
      <c r="M492">
        <v>239.397403918387</v>
      </c>
      <c r="O492">
        <v>62.6529474888637</v>
      </c>
      <c r="P492">
        <v>-0.185227095858766</v>
      </c>
      <c r="Q492">
        <v>0.806096081614025</v>
      </c>
      <c r="R492">
        <v>0.391479068979425</v>
      </c>
      <c r="S492" t="s">
        <v>2160</v>
      </c>
      <c r="T492" t="s">
        <v>3312</v>
      </c>
      <c r="U492" t="s">
        <v>3312</v>
      </c>
      <c r="V492" t="s">
        <v>3312</v>
      </c>
      <c r="W492" t="s">
        <v>3803</v>
      </c>
      <c r="X492">
        <v>1</v>
      </c>
      <c r="Y492" t="s">
        <v>5443</v>
      </c>
      <c r="Z492" t="s">
        <v>7085</v>
      </c>
      <c r="AA492">
        <v>0.9719545040681415</v>
      </c>
      <c r="AB492">
        <f>HYPERLINK("Melting_Curves/meltCurve_P0AAS3_ybbJ.pdf", "Melting_Curves/meltCurve_P0AAS3_ybbJ.pdf")</f>
        <v>0</v>
      </c>
    </row>
    <row r="493" spans="1:28">
      <c r="A493" t="s">
        <v>519</v>
      </c>
      <c r="B493">
        <v>0.999984544473304</v>
      </c>
      <c r="C493">
        <v>0.877843004083853</v>
      </c>
      <c r="D493">
        <v>1.18588459794289</v>
      </c>
      <c r="E493">
        <v>1.25198046630396</v>
      </c>
      <c r="F493">
        <v>1.6692183956782</v>
      </c>
      <c r="G493">
        <v>1.31331410567435</v>
      </c>
      <c r="H493">
        <v>1.40220252362384</v>
      </c>
      <c r="I493">
        <v>1.27436290995151</v>
      </c>
      <c r="J493">
        <v>1.2022047996101</v>
      </c>
      <c r="K493">
        <v>1.06675030997238</v>
      </c>
      <c r="L493">
        <v>10733.1254087104</v>
      </c>
      <c r="M493">
        <v>250</v>
      </c>
      <c r="O493">
        <v>42.9297554998017</v>
      </c>
      <c r="P493">
        <v>0.453405455328551</v>
      </c>
      <c r="Q493">
        <v>1.31143335592877</v>
      </c>
      <c r="R493">
        <v>0.479636404076791</v>
      </c>
      <c r="S493" t="s">
        <v>2161</v>
      </c>
      <c r="T493" t="s">
        <v>3312</v>
      </c>
      <c r="U493" t="s">
        <v>3312</v>
      </c>
      <c r="V493" t="s">
        <v>3312</v>
      </c>
      <c r="W493" t="s">
        <v>3804</v>
      </c>
      <c r="X493">
        <v>3</v>
      </c>
      <c r="Y493" t="s">
        <v>5444</v>
      </c>
      <c r="Z493" t="s">
        <v>7086</v>
      </c>
      <c r="AA493">
        <v>1.249823927604532</v>
      </c>
      <c r="AB493">
        <f>HYPERLINK("Melting_Curves/meltCurve_P0AAS7_ybcJ.pdf", "Melting_Curves/meltCurve_P0AAS7_ybcJ.pdf")</f>
        <v>0</v>
      </c>
    </row>
    <row r="494" spans="1:28">
      <c r="A494" t="s">
        <v>520</v>
      </c>
      <c r="B494">
        <v>0.999984544473304</v>
      </c>
      <c r="C494">
        <v>1.07998199801618</v>
      </c>
      <c r="D494">
        <v>1.22947319115312</v>
      </c>
      <c r="E494">
        <v>1.12744303758776</v>
      </c>
      <c r="F494">
        <v>0.730166473550568</v>
      </c>
      <c r="G494">
        <v>0.419628550888917</v>
      </c>
      <c r="H494">
        <v>0.289047546138729</v>
      </c>
      <c r="I494">
        <v>0.18593420264109</v>
      </c>
      <c r="J494">
        <v>0.167438961382457</v>
      </c>
      <c r="K494">
        <v>0.125373481124978</v>
      </c>
      <c r="L494">
        <v>1446.14311340264</v>
      </c>
      <c r="M494">
        <v>27.7431423114819</v>
      </c>
      <c r="N494">
        <v>52.9143585203233</v>
      </c>
      <c r="O494">
        <v>51.8575730483261</v>
      </c>
      <c r="P494">
        <v>-0.111110431072429</v>
      </c>
      <c r="Q494">
        <v>0.169255449717399</v>
      </c>
      <c r="R494">
        <v>0.947371488968933</v>
      </c>
      <c r="S494" t="s">
        <v>2162</v>
      </c>
      <c r="T494" t="s">
        <v>3312</v>
      </c>
      <c r="U494" t="s">
        <v>3312</v>
      </c>
      <c r="V494" t="s">
        <v>3312</v>
      </c>
      <c r="W494" t="s">
        <v>3805</v>
      </c>
      <c r="X494">
        <v>1</v>
      </c>
      <c r="Y494" t="s">
        <v>5445</v>
      </c>
      <c r="Z494" t="s">
        <v>7087</v>
      </c>
      <c r="AA494">
        <v>0.5942053006775969</v>
      </c>
      <c r="AB494">
        <f>HYPERLINK("Melting_Curves/meltCurve_P0AAT2_ybdF.pdf", "Melting_Curves/meltCurve_P0AAT2_ybdF.pdf")</f>
        <v>0</v>
      </c>
    </row>
    <row r="495" spans="1:28">
      <c r="A495" t="s">
        <v>521</v>
      </c>
      <c r="B495">
        <v>0.999984544473304</v>
      </c>
      <c r="C495">
        <v>1.22067885981707</v>
      </c>
      <c r="D495">
        <v>0.876676690223497</v>
      </c>
      <c r="E495">
        <v>1.16197208871271</v>
      </c>
      <c r="F495">
        <v>0.912610341649385</v>
      </c>
      <c r="G495">
        <v>0.858929638443849</v>
      </c>
      <c r="H495">
        <v>0.799946777601916</v>
      </c>
      <c r="I495">
        <v>0.914460447693405</v>
      </c>
      <c r="J495">
        <v>0.5907243091091821</v>
      </c>
      <c r="K495">
        <v>0.99235143057064</v>
      </c>
      <c r="L495">
        <v>9985.289039146181</v>
      </c>
      <c r="M495">
        <v>198.982020352207</v>
      </c>
      <c r="O495">
        <v>50.1767976090367</v>
      </c>
      <c r="P495">
        <v>-0.16726736437408</v>
      </c>
      <c r="Q495">
        <v>0.831282433668437</v>
      </c>
      <c r="R495">
        <v>0.364738270540997</v>
      </c>
      <c r="S495" t="s">
        <v>2163</v>
      </c>
      <c r="T495" t="s">
        <v>3312</v>
      </c>
      <c r="U495" t="s">
        <v>3312</v>
      </c>
      <c r="V495" t="s">
        <v>3312</v>
      </c>
      <c r="W495" t="s">
        <v>3806</v>
      </c>
      <c r="X495">
        <v>1</v>
      </c>
      <c r="Y495" t="s">
        <v>5446</v>
      </c>
      <c r="Z495" t="s">
        <v>7088</v>
      </c>
      <c r="AA495">
        <v>0.9054396353624234</v>
      </c>
      <c r="AB495">
        <f>HYPERLINK("Melting_Curves/meltCurve_P0AAT9_ybeL.pdf", "Melting_Curves/meltCurve_P0AAT9_ybeL.pdf")</f>
        <v>0</v>
      </c>
    </row>
    <row r="496" spans="1:28">
      <c r="A496" t="s">
        <v>522</v>
      </c>
      <c r="B496">
        <v>0.999984544473304</v>
      </c>
      <c r="C496">
        <v>1.48869675679092</v>
      </c>
      <c r="D496">
        <v>1.17127829648639</v>
      </c>
      <c r="E496">
        <v>1.41363032009819</v>
      </c>
      <c r="F496">
        <v>1.46412260560829</v>
      </c>
      <c r="G496">
        <v>0.927223810152093</v>
      </c>
      <c r="H496">
        <v>0.938629085265863</v>
      </c>
      <c r="I496">
        <v>0.602439731968292</v>
      </c>
      <c r="J496">
        <v>0.345510968298173</v>
      </c>
      <c r="K496">
        <v>0.140735791848265</v>
      </c>
      <c r="L496">
        <v>1788.91035079518</v>
      </c>
      <c r="M496">
        <v>28.8951646947336</v>
      </c>
      <c r="N496">
        <v>62.1903816951654</v>
      </c>
      <c r="O496">
        <v>61.6161196553472</v>
      </c>
      <c r="P496">
        <v>-0.110088356285328</v>
      </c>
      <c r="Q496">
        <v>0.0609964424878731</v>
      </c>
      <c r="R496">
        <v>0.662701805309865</v>
      </c>
      <c r="S496" t="s">
        <v>2164</v>
      </c>
      <c r="T496" t="s">
        <v>3312</v>
      </c>
      <c r="U496" t="s">
        <v>3312</v>
      </c>
      <c r="V496" t="s">
        <v>3312</v>
      </c>
      <c r="W496" t="s">
        <v>3807</v>
      </c>
      <c r="X496">
        <v>1</v>
      </c>
      <c r="Y496" t="s">
        <v>5447</v>
      </c>
      <c r="Z496" t="s">
        <v>7089</v>
      </c>
      <c r="AA496">
        <v>0.8394441738832147</v>
      </c>
      <c r="AB496">
        <f>HYPERLINK("Melting_Curves/meltCurve_P0AAV0_ybgE.pdf", "Melting_Curves/meltCurve_P0AAV0_ybgE.pdf")</f>
        <v>0</v>
      </c>
    </row>
    <row r="497" spans="1:28">
      <c r="A497" t="s">
        <v>523</v>
      </c>
      <c r="B497">
        <v>0.999984544473304</v>
      </c>
      <c r="C497">
        <v>0.86087880031835</v>
      </c>
      <c r="D497">
        <v>0.963706066492088</v>
      </c>
      <c r="E497">
        <v>0.994717905746914</v>
      </c>
      <c r="F497">
        <v>0.42121165580816</v>
      </c>
      <c r="G497">
        <v>0.164112645498462</v>
      </c>
      <c r="H497">
        <v>0.0492022591130543</v>
      </c>
      <c r="I497">
        <v>0.0482787762565611</v>
      </c>
      <c r="J497">
        <v>0.0419599294910394</v>
      </c>
      <c r="K497">
        <v>0.0255166667409765</v>
      </c>
      <c r="L497">
        <v>2073.20197335617</v>
      </c>
      <c r="M497">
        <v>41.6597672300815</v>
      </c>
      <c r="N497">
        <v>49.9030397693071</v>
      </c>
      <c r="O497">
        <v>49.6508355452192</v>
      </c>
      <c r="P497">
        <v>-0.198353703018726</v>
      </c>
      <c r="Q497">
        <v>0.05439619676472</v>
      </c>
      <c r="R497">
        <v>0.983574116518131</v>
      </c>
      <c r="S497" t="s">
        <v>2165</v>
      </c>
      <c r="T497" t="s">
        <v>3312</v>
      </c>
      <c r="U497" t="s">
        <v>3312</v>
      </c>
      <c r="V497" t="s">
        <v>3312</v>
      </c>
      <c r="W497" t="s">
        <v>3808</v>
      </c>
      <c r="X497">
        <v>2</v>
      </c>
      <c r="Y497" t="s">
        <v>5448</v>
      </c>
      <c r="Z497" t="s">
        <v>7090</v>
      </c>
      <c r="AA497">
        <v>0.4597493134868323</v>
      </c>
      <c r="AB497">
        <f>HYPERLINK("Melting_Curves/meltCurve_P0AAV4_ybgJ.pdf", "Melting_Curves/meltCurve_P0AAV4_ybgJ.pdf")</f>
        <v>0</v>
      </c>
    </row>
    <row r="498" spans="1:28">
      <c r="A498" t="s">
        <v>524</v>
      </c>
      <c r="B498">
        <v>0.999984544473304</v>
      </c>
      <c r="C498">
        <v>0.753103231102892</v>
      </c>
      <c r="D498">
        <v>1.11324267143053</v>
      </c>
      <c r="E498">
        <v>1.24600515230954</v>
      </c>
      <c r="F498">
        <v>1.21814431292264</v>
      </c>
      <c r="G498">
        <v>1.13539654485961</v>
      </c>
      <c r="H498">
        <v>0.937448521040103</v>
      </c>
      <c r="I498">
        <v>1.48819756395903</v>
      </c>
      <c r="J498">
        <v>2.82374072790864</v>
      </c>
      <c r="K498">
        <v>1.34179780169134</v>
      </c>
      <c r="L498">
        <v>15000</v>
      </c>
      <c r="M498">
        <v>249.622930525126</v>
      </c>
      <c r="O498">
        <v>60.0867762363765</v>
      </c>
      <c r="P498">
        <v>0.519296727986361</v>
      </c>
      <c r="Q498">
        <v>1.5</v>
      </c>
      <c r="R498">
        <v>0.328495526175254</v>
      </c>
      <c r="S498" t="s">
        <v>2166</v>
      </c>
      <c r="T498" t="s">
        <v>3312</v>
      </c>
      <c r="U498" t="s">
        <v>3312</v>
      </c>
      <c r="V498" t="s">
        <v>3312</v>
      </c>
      <c r="W498" t="s">
        <v>3809</v>
      </c>
      <c r="X498">
        <v>1</v>
      </c>
      <c r="Y498" t="s">
        <v>5449</v>
      </c>
      <c r="Z498" t="s">
        <v>7091</v>
      </c>
      <c r="AA498">
        <v>1.115103221909311</v>
      </c>
      <c r="AB498">
        <f>HYPERLINK("Melting_Curves/meltCurve_P0AAV6_ybgS.pdf", "Melting_Curves/meltCurve_P0AAV6_ybgS.pdf")</f>
        <v>0</v>
      </c>
    </row>
    <row r="499" spans="1:28">
      <c r="A499" t="s">
        <v>525</v>
      </c>
      <c r="B499">
        <v>0.999984544473304</v>
      </c>
      <c r="C499">
        <v>0.50959283328542</v>
      </c>
      <c r="D499">
        <v>0.181278164006826</v>
      </c>
      <c r="E499">
        <v>0.0552575626830981</v>
      </c>
      <c r="F499">
        <v>0.022109154062142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1170.70138273556</v>
      </c>
      <c r="M499">
        <v>29.1501119208913</v>
      </c>
      <c r="N499">
        <v>40.1931795276191</v>
      </c>
      <c r="O499">
        <v>39.9735449328137</v>
      </c>
      <c r="P499">
        <v>-0.180215687815324</v>
      </c>
      <c r="Q499">
        <v>0.0114882303932099</v>
      </c>
      <c r="R499">
        <v>0.98886589433685</v>
      </c>
      <c r="S499" t="s">
        <v>2167</v>
      </c>
      <c r="T499" t="s">
        <v>3312</v>
      </c>
      <c r="U499" t="s">
        <v>3312</v>
      </c>
      <c r="V499" t="s">
        <v>3312</v>
      </c>
      <c r="W499" t="s">
        <v>3810</v>
      </c>
      <c r="X499">
        <v>1</v>
      </c>
      <c r="Y499" t="s">
        <v>5450</v>
      </c>
      <c r="Z499" t="s">
        <v>7092</v>
      </c>
      <c r="AA499">
        <v>0.1237442974047905</v>
      </c>
      <c r="AB499">
        <f>HYPERLINK("Melting_Curves/meltCurve_P0AAW1_ybhP.pdf", "Melting_Curves/meltCurve_P0AAW1_ybhP.pdf")</f>
        <v>0</v>
      </c>
    </row>
    <row r="500" spans="1:28">
      <c r="A500" t="s">
        <v>526</v>
      </c>
      <c r="B500">
        <v>0.999984544473304</v>
      </c>
      <c r="C500">
        <v>0.9660339100147169</v>
      </c>
      <c r="D500">
        <v>0.9116510409316561</v>
      </c>
      <c r="E500">
        <v>0.512406398793489</v>
      </c>
      <c r="F500">
        <v>0.180132479059591</v>
      </c>
      <c r="G500">
        <v>0.0951969976458432</v>
      </c>
      <c r="H500">
        <v>0.06629883454949249</v>
      </c>
      <c r="I500">
        <v>0.0467124092769347</v>
      </c>
      <c r="J500">
        <v>0.0506688793958832</v>
      </c>
      <c r="K500">
        <v>0.0363960200187027</v>
      </c>
      <c r="L500">
        <v>1185.20257339988</v>
      </c>
      <c r="M500">
        <v>25.4584315390425</v>
      </c>
      <c r="N500">
        <v>46.7495437883205</v>
      </c>
      <c r="O500">
        <v>46.2700205484925</v>
      </c>
      <c r="P500">
        <v>-0.130622079547508</v>
      </c>
      <c r="Q500">
        <v>0.0504031296319527</v>
      </c>
      <c r="R500">
        <v>0.999225350392293</v>
      </c>
      <c r="S500" t="s">
        <v>2168</v>
      </c>
      <c r="T500" t="s">
        <v>3312</v>
      </c>
      <c r="U500" t="s">
        <v>3312</v>
      </c>
      <c r="V500" t="s">
        <v>3312</v>
      </c>
      <c r="W500" t="s">
        <v>3811</v>
      </c>
      <c r="X500">
        <v>6</v>
      </c>
      <c r="Y500" t="s">
        <v>5451</v>
      </c>
      <c r="Z500" t="s">
        <v>7093</v>
      </c>
      <c r="AA500">
        <v>0.360469657569938</v>
      </c>
      <c r="AB500">
        <f>HYPERLINK("Melting_Curves/meltCurve_P0AAX8_ybiS.pdf", "Melting_Curves/meltCurve_P0AAX8_ybiS.pdf")</f>
        <v>0</v>
      </c>
    </row>
    <row r="501" spans="1:28">
      <c r="A501" t="s">
        <v>527</v>
      </c>
      <c r="B501">
        <v>0.999984544473304</v>
      </c>
      <c r="C501">
        <v>1.1216987329428</v>
      </c>
      <c r="D501">
        <v>0.786932647704237</v>
      </c>
      <c r="E501">
        <v>1.08981431351892</v>
      </c>
      <c r="F501">
        <v>1.1698171807783</v>
      </c>
      <c r="G501">
        <v>0.955346553227545</v>
      </c>
      <c r="H501">
        <v>0.879808191320214</v>
      </c>
      <c r="I501">
        <v>0.8247775017785191</v>
      </c>
      <c r="J501">
        <v>0.53673953175183</v>
      </c>
      <c r="K501">
        <v>0.481000127578901</v>
      </c>
      <c r="L501">
        <v>1503.97916885101</v>
      </c>
      <c r="M501">
        <v>24.0845073362188</v>
      </c>
      <c r="N501">
        <v>65.8983168412736</v>
      </c>
      <c r="O501">
        <v>62.0201874035141</v>
      </c>
      <c r="P501">
        <v>-0.0622871113530968</v>
      </c>
      <c r="Q501">
        <v>0.35842605039823</v>
      </c>
      <c r="R501">
        <v>0.783873784119364</v>
      </c>
      <c r="S501" t="s">
        <v>2169</v>
      </c>
      <c r="T501" t="s">
        <v>3312</v>
      </c>
      <c r="U501" t="s">
        <v>3312</v>
      </c>
      <c r="V501" t="s">
        <v>3312</v>
      </c>
      <c r="W501" t="s">
        <v>3812</v>
      </c>
      <c r="X501">
        <v>3</v>
      </c>
      <c r="Y501" t="s">
        <v>5452</v>
      </c>
      <c r="Z501" t="s">
        <v>7094</v>
      </c>
      <c r="AA501">
        <v>0.8977898388630933</v>
      </c>
      <c r="AB501">
        <f>HYPERLINK("Melting_Curves/meltCurve_P0AAZ7_ycaR.pdf", "Melting_Curves/meltCurve_P0AAZ7_ycaR.pdf")</f>
        <v>0</v>
      </c>
    </row>
    <row r="502" spans="1:28">
      <c r="A502" t="s">
        <v>528</v>
      </c>
      <c r="B502">
        <v>0.999984544473304</v>
      </c>
      <c r="C502">
        <v>1.24726461096734</v>
      </c>
      <c r="D502">
        <v>0.946929839049084</v>
      </c>
      <c r="E502">
        <v>0.969730391371599</v>
      </c>
      <c r="F502">
        <v>0.326559933862284</v>
      </c>
      <c r="G502">
        <v>0.38441012424085</v>
      </c>
      <c r="H502">
        <v>0.260401623448853</v>
      </c>
      <c r="I502">
        <v>0.212351337874052</v>
      </c>
      <c r="J502">
        <v>0</v>
      </c>
      <c r="K502">
        <v>0</v>
      </c>
      <c r="L502">
        <v>1048.32264366191</v>
      </c>
      <c r="M502">
        <v>21.0528799073451</v>
      </c>
      <c r="N502">
        <v>50.3498407740555</v>
      </c>
      <c r="O502">
        <v>49.3519993205207</v>
      </c>
      <c r="P502">
        <v>-0.095603850666738</v>
      </c>
      <c r="Q502">
        <v>0.103568638055818</v>
      </c>
      <c r="R502">
        <v>0.906282466162798</v>
      </c>
      <c r="S502" t="s">
        <v>2170</v>
      </c>
      <c r="T502" t="s">
        <v>3312</v>
      </c>
      <c r="U502" t="s">
        <v>3312</v>
      </c>
      <c r="V502" t="s">
        <v>3312</v>
      </c>
      <c r="W502" t="s">
        <v>3813</v>
      </c>
      <c r="X502">
        <v>1</v>
      </c>
      <c r="Y502" t="s">
        <v>5453</v>
      </c>
      <c r="Z502" t="s">
        <v>7095</v>
      </c>
      <c r="AA502">
        <v>0.4966647273214143</v>
      </c>
      <c r="AB502">
        <f>HYPERLINK("Melting_Curves/meltCurve_P0AB12_yccF.pdf", "Melting_Curves/meltCurve_P0AB12_yccF.pdf")</f>
        <v>0</v>
      </c>
    </row>
    <row r="503" spans="1:28">
      <c r="A503" t="s">
        <v>529</v>
      </c>
      <c r="B503">
        <v>0.999984544473304</v>
      </c>
      <c r="C503">
        <v>0.478993260339924</v>
      </c>
      <c r="D503">
        <v>2.52728123396026</v>
      </c>
      <c r="E503">
        <v>1.10664569439245</v>
      </c>
      <c r="F503">
        <v>2.57979799635171</v>
      </c>
      <c r="G503">
        <v>1.95195992676605</v>
      </c>
      <c r="H503">
        <v>1.13250924043819</v>
      </c>
      <c r="I503">
        <v>1.05672154175292</v>
      </c>
      <c r="J503">
        <v>0.568918060738306</v>
      </c>
      <c r="K503">
        <v>0.515952303330668</v>
      </c>
      <c r="L503">
        <v>15000</v>
      </c>
      <c r="M503">
        <v>236.104798215776</v>
      </c>
      <c r="O503">
        <v>63.5265679975126</v>
      </c>
      <c r="P503">
        <v>-0.449782804324101</v>
      </c>
      <c r="Q503">
        <v>0.51592426708399</v>
      </c>
      <c r="R503">
        <v>-0.0770170169497166</v>
      </c>
      <c r="S503" t="s">
        <v>2171</v>
      </c>
      <c r="T503" t="s">
        <v>3312</v>
      </c>
      <c r="U503" t="s">
        <v>3312</v>
      </c>
      <c r="V503" t="s">
        <v>3312</v>
      </c>
      <c r="W503" t="s">
        <v>3814</v>
      </c>
      <c r="X503">
        <v>1</v>
      </c>
      <c r="Y503" t="s">
        <v>5454</v>
      </c>
      <c r="Z503" t="s">
        <v>7096</v>
      </c>
      <c r="AA503">
        <v>0.9440869806821736</v>
      </c>
      <c r="AB503">
        <f>HYPERLINK("Melting_Curves/meltCurve_P0AB18_tusE.pdf", "Melting_Curves/meltCurve_P0AB18_tusE.pdf")</f>
        <v>0</v>
      </c>
    </row>
    <row r="504" spans="1:28">
      <c r="A504" t="s">
        <v>530</v>
      </c>
      <c r="B504">
        <v>0.999984544473304</v>
      </c>
      <c r="C504">
        <v>0.93090199900531</v>
      </c>
      <c r="D504">
        <v>0.829853043512046</v>
      </c>
      <c r="E504">
        <v>1.04248895636676</v>
      </c>
      <c r="F504">
        <v>0.871522796041914</v>
      </c>
      <c r="G504">
        <v>0.751118102711733</v>
      </c>
      <c r="H504">
        <v>0.630419843093208</v>
      </c>
      <c r="I504">
        <v>0.583345122035692</v>
      </c>
      <c r="J504">
        <v>0.340038727849687</v>
      </c>
      <c r="K504">
        <v>0.545798375751024</v>
      </c>
      <c r="L504">
        <v>799.063538427455</v>
      </c>
      <c r="M504">
        <v>14.5203702035039</v>
      </c>
      <c r="N504">
        <v>62.7959485545357</v>
      </c>
      <c r="O504">
        <v>54.0183562325486</v>
      </c>
      <c r="P504">
        <v>-0.0391836310437895</v>
      </c>
      <c r="Q504">
        <v>0.416986623987476</v>
      </c>
      <c r="R504">
        <v>0.849731191527156</v>
      </c>
      <c r="S504" t="s">
        <v>2172</v>
      </c>
      <c r="T504" t="s">
        <v>3312</v>
      </c>
      <c r="U504" t="s">
        <v>3312</v>
      </c>
      <c r="V504" t="s">
        <v>3312</v>
      </c>
      <c r="W504" t="s">
        <v>3815</v>
      </c>
      <c r="X504">
        <v>1</v>
      </c>
      <c r="Y504" t="s">
        <v>5455</v>
      </c>
      <c r="Z504" t="s">
        <v>7097</v>
      </c>
      <c r="AA504">
        <v>0.7756545682742609</v>
      </c>
      <c r="AB504">
        <f>HYPERLINK("Melting_Curves/meltCurve_P0AB20_hspQ.pdf", "Melting_Curves/meltCurve_P0AB20_hspQ.pdf")</f>
        <v>0</v>
      </c>
    </row>
    <row r="505" spans="1:28">
      <c r="A505" t="s">
        <v>531</v>
      </c>
      <c r="B505">
        <v>0.999984544473304</v>
      </c>
      <c r="C505">
        <v>0.994478036199402</v>
      </c>
      <c r="D505">
        <v>0.895127339795641</v>
      </c>
      <c r="E505">
        <v>0.981224583514766</v>
      </c>
      <c r="F505">
        <v>1.06150019952329</v>
      </c>
      <c r="G505">
        <v>0.947575043186224</v>
      </c>
      <c r="H505">
        <v>0.844742911474594</v>
      </c>
      <c r="I505">
        <v>0.739433857116052</v>
      </c>
      <c r="J505">
        <v>0.560312266560683</v>
      </c>
      <c r="K505">
        <v>0.584620963146199</v>
      </c>
      <c r="L505">
        <v>1358.30152912644</v>
      </c>
      <c r="M505">
        <v>22.7882801538831</v>
      </c>
      <c r="O505">
        <v>59.1519603468485</v>
      </c>
      <c r="P505">
        <v>-0.0455691285589174</v>
      </c>
      <c r="Q505">
        <v>0.52687066688801</v>
      </c>
      <c r="R505">
        <v>0.927732681499019</v>
      </c>
      <c r="S505" t="s">
        <v>2173</v>
      </c>
      <c r="T505" t="s">
        <v>3312</v>
      </c>
      <c r="U505" t="s">
        <v>3312</v>
      </c>
      <c r="V505" t="s">
        <v>3312</v>
      </c>
      <c r="W505" t="s">
        <v>3816</v>
      </c>
      <c r="X505">
        <v>12</v>
      </c>
      <c r="Y505" t="s">
        <v>5456</v>
      </c>
      <c r="Z505" t="s">
        <v>7098</v>
      </c>
      <c r="AA505">
        <v>0.8849648985055493</v>
      </c>
      <c r="AB505">
        <f>HYPERLINK("Melting_Curves/meltCurve_P0AB24_efeO.pdf", "Melting_Curves/meltCurve_P0AB24_efeO.pdf")</f>
        <v>0</v>
      </c>
    </row>
    <row r="506" spans="1:28">
      <c r="A506" t="s">
        <v>532</v>
      </c>
      <c r="B506">
        <v>0.999984544473304</v>
      </c>
      <c r="C506">
        <v>0.8976429019165501</v>
      </c>
      <c r="D506">
        <v>0.954130357466112</v>
      </c>
      <c r="E506">
        <v>0.925221476770678</v>
      </c>
      <c r="F506">
        <v>1.05580615604482</v>
      </c>
      <c r="G506">
        <v>0.848809489567334</v>
      </c>
      <c r="H506">
        <v>0.818936565039896</v>
      </c>
      <c r="I506">
        <v>0.812538863097224</v>
      </c>
      <c r="J506">
        <v>0.677566828006501</v>
      </c>
      <c r="K506">
        <v>0.624506599812646</v>
      </c>
      <c r="L506">
        <v>448.624426735932</v>
      </c>
      <c r="M506">
        <v>6.1669761839961</v>
      </c>
      <c r="O506">
        <v>66.2132655805887</v>
      </c>
      <c r="P506">
        <v>-0.0233528710310074</v>
      </c>
      <c r="Q506">
        <v>0</v>
      </c>
      <c r="R506">
        <v>0.814057588798268</v>
      </c>
      <c r="S506" t="s">
        <v>2174</v>
      </c>
      <c r="T506" t="s">
        <v>3312</v>
      </c>
      <c r="U506" t="s">
        <v>3312</v>
      </c>
      <c r="V506" t="s">
        <v>3312</v>
      </c>
      <c r="W506" t="s">
        <v>3817</v>
      </c>
      <c r="X506">
        <v>3</v>
      </c>
      <c r="Y506" t="s">
        <v>5457</v>
      </c>
      <c r="Z506" t="s">
        <v>7099</v>
      </c>
      <c r="AA506">
        <v>0.8817701054989835</v>
      </c>
      <c r="AB506">
        <f>HYPERLINK("Melting_Curves/meltCurve_P0AB26_yceB.pdf", "Melting_Curves/meltCurve_P0AB26_yceB.pdf")</f>
        <v>0</v>
      </c>
    </row>
    <row r="507" spans="1:28">
      <c r="A507" t="s">
        <v>533</v>
      </c>
      <c r="B507">
        <v>0.999984544473304</v>
      </c>
      <c r="C507">
        <v>1.02966325170624</v>
      </c>
      <c r="D507">
        <v>0.9992778507987879</v>
      </c>
      <c r="E507">
        <v>1.11067978166714</v>
      </c>
      <c r="F507">
        <v>1.0356727901901</v>
      </c>
      <c r="G507">
        <v>1.05927194023399</v>
      </c>
      <c r="H507">
        <v>0.965234600886641</v>
      </c>
      <c r="I507">
        <v>0.917301066885752</v>
      </c>
      <c r="J507">
        <v>0.6064691222091</v>
      </c>
      <c r="K507">
        <v>0.806857621204299</v>
      </c>
      <c r="L507">
        <v>15000</v>
      </c>
      <c r="M507">
        <v>244.966849707785</v>
      </c>
      <c r="O507">
        <v>61.2286714172236</v>
      </c>
      <c r="P507">
        <v>-0.293399464504653</v>
      </c>
      <c r="Q507">
        <v>0.706662905050697</v>
      </c>
      <c r="R507">
        <v>0.8000665690934921</v>
      </c>
      <c r="S507" t="s">
        <v>2175</v>
      </c>
      <c r="T507" t="s">
        <v>3312</v>
      </c>
      <c r="U507" t="s">
        <v>3312</v>
      </c>
      <c r="V507" t="s">
        <v>3312</v>
      </c>
      <c r="W507" t="s">
        <v>3818</v>
      </c>
      <c r="X507">
        <v>4</v>
      </c>
      <c r="Y507" t="s">
        <v>5458</v>
      </c>
      <c r="Z507" t="s">
        <v>7100</v>
      </c>
      <c r="AA507">
        <v>0.9436414645069652</v>
      </c>
      <c r="AB507">
        <f>HYPERLINK("Melting_Curves/meltCurve_P0AB28_yceD.pdf", "Melting_Curves/meltCurve_P0AB28_yceD.pdf")</f>
        <v>0</v>
      </c>
    </row>
    <row r="508" spans="1:28">
      <c r="A508" t="s">
        <v>534</v>
      </c>
      <c r="B508">
        <v>0.999984544473304</v>
      </c>
      <c r="C508">
        <v>0.938302960881514</v>
      </c>
      <c r="D508">
        <v>1.0970652052247</v>
      </c>
      <c r="E508">
        <v>1.03004065453497</v>
      </c>
      <c r="F508">
        <v>1.08101623352409</v>
      </c>
      <c r="G508">
        <v>0.876788473684712</v>
      </c>
      <c r="H508">
        <v>0.23550683409847</v>
      </c>
      <c r="I508">
        <v>0.0356965593206232</v>
      </c>
      <c r="J508">
        <v>0.0203753952325841</v>
      </c>
      <c r="K508">
        <v>0.0214762932090558</v>
      </c>
      <c r="L508">
        <v>2806.21614340955</v>
      </c>
      <c r="M508">
        <v>50.1688367321635</v>
      </c>
      <c r="N508">
        <v>55.9823524374711</v>
      </c>
      <c r="O508">
        <v>55.8467871198865</v>
      </c>
      <c r="P508">
        <v>-0.21996011658756</v>
      </c>
      <c r="Q508">
        <v>0.0205828619296832</v>
      </c>
      <c r="R508">
        <v>0.989996672376114</v>
      </c>
      <c r="S508" t="s">
        <v>2176</v>
      </c>
      <c r="T508" t="s">
        <v>3312</v>
      </c>
      <c r="U508" t="s">
        <v>3312</v>
      </c>
      <c r="V508" t="s">
        <v>3312</v>
      </c>
      <c r="W508" t="s">
        <v>3819</v>
      </c>
      <c r="X508">
        <v>5</v>
      </c>
      <c r="Y508" t="s">
        <v>5459</v>
      </c>
      <c r="Z508" t="s">
        <v>7101</v>
      </c>
      <c r="AA508">
        <v>0.6411591702153971</v>
      </c>
      <c r="AB508">
        <f>HYPERLINK("Melting_Curves/meltCurve_P0AB38_lpoB.pdf", "Melting_Curves/meltCurve_P0AB38_lpoB.pdf")</f>
        <v>0</v>
      </c>
    </row>
    <row r="509" spans="1:28">
      <c r="A509" t="s">
        <v>535</v>
      </c>
      <c r="B509">
        <v>0.999984544473304</v>
      </c>
      <c r="C509">
        <v>0.887403303739345</v>
      </c>
      <c r="D509">
        <v>1.02518709542595</v>
      </c>
      <c r="E509">
        <v>1.06789309884115</v>
      </c>
      <c r="F509">
        <v>1.30564779331298</v>
      </c>
      <c r="G509">
        <v>1.04080386977403</v>
      </c>
      <c r="H509">
        <v>1.18041049378435</v>
      </c>
      <c r="I509">
        <v>1.12892504822687</v>
      </c>
      <c r="J509">
        <v>1.0193112665744</v>
      </c>
      <c r="K509">
        <v>0.744354917473509</v>
      </c>
      <c r="L509">
        <v>15000</v>
      </c>
      <c r="M509">
        <v>222.811861824359</v>
      </c>
      <c r="Q509">
        <v>0</v>
      </c>
      <c r="R509">
        <v>0.232929140594434</v>
      </c>
      <c r="S509" t="s">
        <v>2177</v>
      </c>
      <c r="T509" t="s">
        <v>3312</v>
      </c>
      <c r="U509" t="s">
        <v>3312</v>
      </c>
      <c r="V509" t="s">
        <v>3312</v>
      </c>
      <c r="W509" t="s">
        <v>3820</v>
      </c>
      <c r="X509">
        <v>7</v>
      </c>
      <c r="Y509" t="s">
        <v>5460</v>
      </c>
      <c r="Z509" t="s">
        <v>7102</v>
      </c>
      <c r="AA509">
        <v>0.9970827907724716</v>
      </c>
      <c r="AB509">
        <f>HYPERLINK("Melting_Curves/meltCurve_P0AB43_ycgL.pdf", "Melting_Curves/meltCurve_P0AB43_ycgL.pdf")</f>
        <v>0</v>
      </c>
    </row>
    <row r="510" spans="1:28">
      <c r="A510" t="s">
        <v>536</v>
      </c>
      <c r="B510">
        <v>0.999984544473304</v>
      </c>
      <c r="C510">
        <v>1.12991001212659</v>
      </c>
      <c r="D510">
        <v>0.9289663135760871</v>
      </c>
      <c r="E510">
        <v>1.20907361930475</v>
      </c>
      <c r="F510">
        <v>1.24439626754066</v>
      </c>
      <c r="G510">
        <v>1.05107228223805</v>
      </c>
      <c r="H510">
        <v>1.16625991870618</v>
      </c>
      <c r="I510">
        <v>0.9225225328266941</v>
      </c>
      <c r="J510">
        <v>0.750234638958493</v>
      </c>
      <c r="K510">
        <v>0.832182610936265</v>
      </c>
      <c r="L510">
        <v>15000</v>
      </c>
      <c r="M510">
        <v>245.374071264368</v>
      </c>
      <c r="O510">
        <v>61.1270994654453</v>
      </c>
      <c r="P510">
        <v>-0.209531221323556</v>
      </c>
      <c r="Q510">
        <v>0.791208023195487</v>
      </c>
      <c r="R510">
        <v>0.355496713199139</v>
      </c>
      <c r="S510" t="s">
        <v>2178</v>
      </c>
      <c r="T510" t="s">
        <v>3312</v>
      </c>
      <c r="U510" t="s">
        <v>3312</v>
      </c>
      <c r="V510" t="s">
        <v>3312</v>
      </c>
      <c r="W510" t="s">
        <v>3821</v>
      </c>
      <c r="X510">
        <v>3</v>
      </c>
      <c r="Y510" t="s">
        <v>5461</v>
      </c>
      <c r="Z510" t="s">
        <v>7103</v>
      </c>
      <c r="AA510">
        <v>0.9591776503261309</v>
      </c>
      <c r="AB510">
        <f>HYPERLINK("Melting_Curves/meltCurve_P0AB55_yciI.pdf", "Melting_Curves/meltCurve_P0AB55_yciI.pdf")</f>
        <v>0</v>
      </c>
    </row>
    <row r="511" spans="1:28">
      <c r="A511" t="s">
        <v>537</v>
      </c>
      <c r="B511">
        <v>0.999984544473304</v>
      </c>
      <c r="C511">
        <v>1.08361037772018</v>
      </c>
      <c r="D511">
        <v>0.681409850885808</v>
      </c>
      <c r="E511">
        <v>0.945366754922816</v>
      </c>
      <c r="F511">
        <v>0.989938303928546</v>
      </c>
      <c r="G511">
        <v>0.763198979486405</v>
      </c>
      <c r="H511">
        <v>0.792580732158486</v>
      </c>
      <c r="I511">
        <v>0.719821500652419</v>
      </c>
      <c r="J511">
        <v>0.466383830870475</v>
      </c>
      <c r="K511">
        <v>0.56821683600771</v>
      </c>
      <c r="L511">
        <v>369.556250098615</v>
      </c>
      <c r="M511">
        <v>5.3937151493822</v>
      </c>
      <c r="O511">
        <v>60.8089448093717</v>
      </c>
      <c r="P511">
        <v>-0.0222794128093992</v>
      </c>
      <c r="Q511">
        <v>0</v>
      </c>
      <c r="R511">
        <v>0.648584645824213</v>
      </c>
      <c r="S511" t="s">
        <v>2179</v>
      </c>
      <c r="T511" t="s">
        <v>3312</v>
      </c>
      <c r="U511" t="s">
        <v>3312</v>
      </c>
      <c r="V511" t="s">
        <v>3312</v>
      </c>
      <c r="W511" t="s">
        <v>3822</v>
      </c>
      <c r="X511">
        <v>2</v>
      </c>
      <c r="Y511" t="s">
        <v>5462</v>
      </c>
      <c r="Z511" t="s">
        <v>7104</v>
      </c>
      <c r="AA511">
        <v>0.8151866428113222</v>
      </c>
      <c r="AB511">
        <f>HYPERLINK("Melting_Curves/meltCurve_P0AB61_yciN.pdf", "Melting_Curves/meltCurve_P0AB61_yciN.pdf")</f>
        <v>0</v>
      </c>
    </row>
    <row r="512" spans="1:28">
      <c r="A512" t="s">
        <v>538</v>
      </c>
      <c r="B512">
        <v>0.999984544473304</v>
      </c>
      <c r="C512">
        <v>1.05637591478722</v>
      </c>
      <c r="D512">
        <v>1.24241787538223</v>
      </c>
      <c r="E512">
        <v>1.25534697297137</v>
      </c>
      <c r="F512">
        <v>1.38277212385921</v>
      </c>
      <c r="G512">
        <v>1.17109116019005</v>
      </c>
      <c r="H512">
        <v>1.3045278217935</v>
      </c>
      <c r="I512">
        <v>1.30133937434094</v>
      </c>
      <c r="J512">
        <v>1.18011578945878</v>
      </c>
      <c r="K512">
        <v>1.00795335900331</v>
      </c>
      <c r="L512">
        <v>10020.0410581937</v>
      </c>
      <c r="M512">
        <v>250</v>
      </c>
      <c r="O512">
        <v>40.0775999335375</v>
      </c>
      <c r="P512">
        <v>0.359763877804385</v>
      </c>
      <c r="Q512">
        <v>1.23069556071848</v>
      </c>
      <c r="R512">
        <v>0.427410429390454</v>
      </c>
      <c r="S512" t="s">
        <v>2180</v>
      </c>
      <c r="T512" t="s">
        <v>3312</v>
      </c>
      <c r="U512" t="s">
        <v>3312</v>
      </c>
      <c r="V512" t="s">
        <v>3312</v>
      </c>
      <c r="W512" t="s">
        <v>3823</v>
      </c>
      <c r="X512">
        <v>4</v>
      </c>
      <c r="Y512" t="s">
        <v>5463</v>
      </c>
      <c r="Z512" t="s">
        <v>7105</v>
      </c>
      <c r="AA512">
        <v>1.206993326417418</v>
      </c>
      <c r="AB512">
        <f>HYPERLINK("Melting_Curves/meltCurve_P0AB65_yccX.pdf", "Melting_Curves/meltCurve_P0AB65_yccX.pdf")</f>
        <v>0</v>
      </c>
    </row>
    <row r="513" spans="1:28">
      <c r="A513" t="s">
        <v>539</v>
      </c>
      <c r="B513">
        <v>0.999984544473304</v>
      </c>
      <c r="C513">
        <v>1.30821939685111</v>
      </c>
      <c r="D513">
        <v>0.679869156764787</v>
      </c>
      <c r="E513">
        <v>0.467959145128362</v>
      </c>
      <c r="F513">
        <v>0.172464573339039</v>
      </c>
      <c r="G513">
        <v>0.100518599089709</v>
      </c>
      <c r="H513">
        <v>0.0623042128087103</v>
      </c>
      <c r="I513">
        <v>0.0427351865725947</v>
      </c>
      <c r="J513">
        <v>0.0347951746756952</v>
      </c>
      <c r="K513">
        <v>0.0384465663973512</v>
      </c>
      <c r="L513">
        <v>1029.69750282865</v>
      </c>
      <c r="M513">
        <v>22.4879296215618</v>
      </c>
      <c r="N513">
        <v>45.9986762189248</v>
      </c>
      <c r="O513">
        <v>45.4314469654389</v>
      </c>
      <c r="P513">
        <v>-0.117717983319732</v>
      </c>
      <c r="Q513">
        <v>0.0487366028698984</v>
      </c>
      <c r="R513">
        <v>0.927619082688288</v>
      </c>
      <c r="S513" t="s">
        <v>2181</v>
      </c>
      <c r="T513" t="s">
        <v>3312</v>
      </c>
      <c r="U513" t="s">
        <v>3312</v>
      </c>
      <c r="V513" t="s">
        <v>3312</v>
      </c>
      <c r="W513" t="s">
        <v>3824</v>
      </c>
      <c r="X513">
        <v>2</v>
      </c>
      <c r="Y513" t="s">
        <v>5464</v>
      </c>
      <c r="Z513" t="s">
        <v>7106</v>
      </c>
      <c r="AA513">
        <v>0.3372012720161826</v>
      </c>
      <c r="AB513">
        <f>HYPERLINK("Melting_Curves/meltCurve_P0AB67_pntB.pdf", "Melting_Curves/meltCurve_P0AB67_pntB.pdf")</f>
        <v>0</v>
      </c>
    </row>
    <row r="514" spans="1:28">
      <c r="A514" t="s">
        <v>540</v>
      </c>
      <c r="B514">
        <v>0.999984544473304</v>
      </c>
      <c r="C514">
        <v>0.946480979538754</v>
      </c>
      <c r="D514">
        <v>1.22695587316283</v>
      </c>
      <c r="E514">
        <v>0.985443803299032</v>
      </c>
      <c r="F514">
        <v>0.472887602903757</v>
      </c>
      <c r="G514">
        <v>0.120485641361987</v>
      </c>
      <c r="H514">
        <v>0.0269182580867155</v>
      </c>
      <c r="I514">
        <v>0.0127370067576784</v>
      </c>
      <c r="J514">
        <v>0.00820067002586515</v>
      </c>
      <c r="K514">
        <v>0.007870452384728419</v>
      </c>
      <c r="L514">
        <v>2018.48990021535</v>
      </c>
      <c r="M514">
        <v>40.2961864774866</v>
      </c>
      <c r="N514">
        <v>50.1437456876624</v>
      </c>
      <c r="O514">
        <v>49.9684484125836</v>
      </c>
      <c r="P514">
        <v>-0.197452054325934</v>
      </c>
      <c r="Q514">
        <v>0.0206167129759471</v>
      </c>
      <c r="R514">
        <v>0.974616841242309</v>
      </c>
      <c r="S514" t="s">
        <v>2182</v>
      </c>
      <c r="T514" t="s">
        <v>3312</v>
      </c>
      <c r="U514" t="s">
        <v>3312</v>
      </c>
      <c r="V514" t="s">
        <v>3312</v>
      </c>
      <c r="W514" t="s">
        <v>3825</v>
      </c>
      <c r="X514">
        <v>6</v>
      </c>
      <c r="Y514" t="s">
        <v>5465</v>
      </c>
      <c r="Z514" t="s">
        <v>7107</v>
      </c>
      <c r="AA514">
        <v>0.4513369282605075</v>
      </c>
      <c r="AB514">
        <f>HYPERLINK("Melting_Curves/meltCurve_P0AB71_fbaA.pdf", "Melting_Curves/meltCurve_P0AB71_fbaA.pdf")</f>
        <v>0</v>
      </c>
    </row>
    <row r="515" spans="1:28">
      <c r="A515" t="s">
        <v>541</v>
      </c>
      <c r="B515">
        <v>0.999984544473304</v>
      </c>
      <c r="C515">
        <v>0.744353813214957</v>
      </c>
      <c r="D515">
        <v>0.684337222555246</v>
      </c>
      <c r="E515">
        <v>0.477400681011622</v>
      </c>
      <c r="F515">
        <v>0.253858103805232</v>
      </c>
      <c r="G515">
        <v>0.0988129110312759</v>
      </c>
      <c r="H515">
        <v>0.0380828499948901</v>
      </c>
      <c r="I515">
        <v>0.0242347581417786</v>
      </c>
      <c r="J515">
        <v>0.0170268363542132</v>
      </c>
      <c r="K515">
        <v>0.0143311444695897</v>
      </c>
      <c r="L515">
        <v>553.575227055637</v>
      </c>
      <c r="M515">
        <v>12.1694465600662</v>
      </c>
      <c r="N515">
        <v>45.4889161875522</v>
      </c>
      <c r="O515">
        <v>44.3128729766934</v>
      </c>
      <c r="P515">
        <v>-0.0686720300580683</v>
      </c>
      <c r="Q515">
        <v>0</v>
      </c>
      <c r="R515">
        <v>0.98382745025453</v>
      </c>
      <c r="S515" t="s">
        <v>2183</v>
      </c>
      <c r="T515" t="s">
        <v>3312</v>
      </c>
      <c r="U515" t="s">
        <v>3312</v>
      </c>
      <c r="V515" t="s">
        <v>3312</v>
      </c>
      <c r="W515" t="s">
        <v>3826</v>
      </c>
      <c r="X515">
        <v>6</v>
      </c>
      <c r="Y515" t="s">
        <v>5466</v>
      </c>
      <c r="Z515" t="s">
        <v>7108</v>
      </c>
      <c r="AA515">
        <v>0.3175139865512529</v>
      </c>
      <c r="AB515">
        <f>HYPERLINK("Melting_Curves/meltCurve_P0AB77_kbl.pdf", "Melting_Curves/meltCurve_P0AB77_kbl.pdf")</f>
        <v>0</v>
      </c>
    </row>
    <row r="516" spans="1:28">
      <c r="A516" t="s">
        <v>542</v>
      </c>
      <c r="B516">
        <v>0.999984544473304</v>
      </c>
      <c r="C516">
        <v>0.505134368519161</v>
      </c>
      <c r="D516">
        <v>0.191235403334884</v>
      </c>
      <c r="E516">
        <v>0.136972667355448</v>
      </c>
      <c r="F516">
        <v>0.108981154337152</v>
      </c>
      <c r="G516">
        <v>0.0865396928465121</v>
      </c>
      <c r="H516">
        <v>0.0706114046351427</v>
      </c>
      <c r="I516">
        <v>0.0643132045576795</v>
      </c>
      <c r="J516">
        <v>0.0521303721334532</v>
      </c>
      <c r="K516">
        <v>0.0605788311431435</v>
      </c>
      <c r="L516">
        <v>1442.86372772027</v>
      </c>
      <c r="M516">
        <v>36.225025650697</v>
      </c>
      <c r="N516">
        <v>40.0414091273343</v>
      </c>
      <c r="O516">
        <v>39.7097702414341</v>
      </c>
      <c r="P516">
        <v>-0.208261145881824</v>
      </c>
      <c r="Q516">
        <v>0.0868214676014666</v>
      </c>
      <c r="R516">
        <v>0.987054492333682</v>
      </c>
      <c r="S516" t="s">
        <v>2184</v>
      </c>
      <c r="T516" t="s">
        <v>3312</v>
      </c>
      <c r="U516" t="s">
        <v>3312</v>
      </c>
      <c r="V516" t="s">
        <v>3312</v>
      </c>
      <c r="W516" t="s">
        <v>3827</v>
      </c>
      <c r="X516">
        <v>4</v>
      </c>
      <c r="Y516" t="s">
        <v>5467</v>
      </c>
      <c r="Z516" t="s">
        <v>7109</v>
      </c>
      <c r="AA516">
        <v>0.177722830441122</v>
      </c>
      <c r="AB516">
        <f>HYPERLINK("Melting_Curves/meltCurve_P0AB80_ilvE.pdf", "Melting_Curves/meltCurve_P0AB80_ilvE.pdf")</f>
        <v>0</v>
      </c>
    </row>
    <row r="517" spans="1:28">
      <c r="A517" t="s">
        <v>543</v>
      </c>
      <c r="B517">
        <v>0.999984544473304</v>
      </c>
      <c r="C517">
        <v>1.1773032231446</v>
      </c>
      <c r="D517">
        <v>1.0165253195992</v>
      </c>
      <c r="E517">
        <v>0.9186728669801471</v>
      </c>
      <c r="F517">
        <v>1.01333291467594</v>
      </c>
      <c r="G517">
        <v>0.782006007703116</v>
      </c>
      <c r="H517">
        <v>0.614669182986745</v>
      </c>
      <c r="I517">
        <v>0.782808312755092</v>
      </c>
      <c r="J517">
        <v>0.508141292843885</v>
      </c>
      <c r="K517">
        <v>0.604158217123012</v>
      </c>
      <c r="L517">
        <v>13431.4995919515</v>
      </c>
      <c r="M517">
        <v>250</v>
      </c>
      <c r="O517">
        <v>53.7225603173887</v>
      </c>
      <c r="P517">
        <v>-0.433425637013192</v>
      </c>
      <c r="Q517">
        <v>0.627444241992108</v>
      </c>
      <c r="R517">
        <v>0.819540745171959</v>
      </c>
      <c r="S517" t="s">
        <v>2185</v>
      </c>
      <c r="T517" t="s">
        <v>3312</v>
      </c>
      <c r="U517" t="s">
        <v>3312</v>
      </c>
      <c r="V517" t="s">
        <v>3312</v>
      </c>
      <c r="W517" t="s">
        <v>3828</v>
      </c>
      <c r="X517">
        <v>1</v>
      </c>
      <c r="Y517" t="s">
        <v>5468</v>
      </c>
      <c r="Z517" t="s">
        <v>7110</v>
      </c>
      <c r="AA517">
        <v>0.8351916029830477</v>
      </c>
      <c r="AB517">
        <f>HYPERLINK("Melting_Curves/meltCurve_P0AB85_apbE.pdf", "Melting_Curves/meltCurve_P0AB85_apbE.pdf")</f>
        <v>0</v>
      </c>
    </row>
    <row r="518" spans="1:28">
      <c r="A518" t="s">
        <v>544</v>
      </c>
      <c r="B518">
        <v>0.999984544473304</v>
      </c>
      <c r="C518">
        <v>0.856155607284985</v>
      </c>
      <c r="D518">
        <v>0.53529390946141</v>
      </c>
      <c r="E518">
        <v>0.475977726896622</v>
      </c>
      <c r="F518">
        <v>0.305549070780623</v>
      </c>
      <c r="G518">
        <v>0.173927159494381</v>
      </c>
      <c r="H518">
        <v>0.116571359174457</v>
      </c>
      <c r="I518">
        <v>0.058803175500051</v>
      </c>
      <c r="J518">
        <v>0.0284421302295044</v>
      </c>
      <c r="K518">
        <v>0.0251918180607198</v>
      </c>
      <c r="L518">
        <v>477.395213154286</v>
      </c>
      <c r="M518">
        <v>10.4735092519832</v>
      </c>
      <c r="N518">
        <v>45.5812090620481</v>
      </c>
      <c r="O518">
        <v>44.0135171651623</v>
      </c>
      <c r="P518">
        <v>-0.0595145229245477</v>
      </c>
      <c r="Q518">
        <v>0</v>
      </c>
      <c r="R518">
        <v>0.9779954299743679</v>
      </c>
      <c r="S518" t="s">
        <v>2186</v>
      </c>
      <c r="T518" t="s">
        <v>3312</v>
      </c>
      <c r="U518" t="s">
        <v>3312</v>
      </c>
      <c r="V518" t="s">
        <v>3312</v>
      </c>
      <c r="W518" t="s">
        <v>3829</v>
      </c>
      <c r="X518">
        <v>10</v>
      </c>
      <c r="Y518" t="s">
        <v>5469</v>
      </c>
      <c r="Z518" t="s">
        <v>7111</v>
      </c>
      <c r="AA518">
        <v>0.3302979486022236</v>
      </c>
      <c r="AB518">
        <f>HYPERLINK("Melting_Curves/meltCurve_P0AB89_purB.pdf", "Melting_Curves/meltCurve_P0AB89_purB.pdf")</f>
        <v>0</v>
      </c>
    </row>
    <row r="519" spans="1:28">
      <c r="A519" t="s">
        <v>545</v>
      </c>
      <c r="B519">
        <v>0.999984544473304</v>
      </c>
      <c r="C519">
        <v>0.928009463715161</v>
      </c>
      <c r="D519">
        <v>0.69240447843171</v>
      </c>
      <c r="E519">
        <v>0.306772888221469</v>
      </c>
      <c r="F519">
        <v>0.136111510744616</v>
      </c>
      <c r="G519">
        <v>0.0555296371009932</v>
      </c>
      <c r="H519">
        <v>0.0421992422644453</v>
      </c>
      <c r="I519">
        <v>0.0310528929455791</v>
      </c>
      <c r="J519">
        <v>0.0210526801282758</v>
      </c>
      <c r="K519">
        <v>0.016906045761545</v>
      </c>
      <c r="L519">
        <v>910.58900502515</v>
      </c>
      <c r="M519">
        <v>20.3964155084941</v>
      </c>
      <c r="N519">
        <v>44.7613853888776</v>
      </c>
      <c r="O519">
        <v>44.2220545860392</v>
      </c>
      <c r="P519">
        <v>-0.112321343121835</v>
      </c>
      <c r="Q519">
        <v>0.0259208160048521</v>
      </c>
      <c r="R519">
        <v>0.999397885854711</v>
      </c>
      <c r="S519" t="s">
        <v>2187</v>
      </c>
      <c r="T519" t="s">
        <v>3312</v>
      </c>
      <c r="U519" t="s">
        <v>3312</v>
      </c>
      <c r="V519" t="s">
        <v>3312</v>
      </c>
      <c r="W519" t="s">
        <v>3830</v>
      </c>
      <c r="X519">
        <v>7</v>
      </c>
      <c r="Y519" t="s">
        <v>5470</v>
      </c>
      <c r="Z519" t="s">
        <v>7112</v>
      </c>
      <c r="AA519">
        <v>0.2864645087871671</v>
      </c>
      <c r="AB519">
        <f>HYPERLINK("Melting_Curves/meltCurve_P0AB91_aroG.pdf", "Melting_Curves/meltCurve_P0AB91_aroG.pdf")</f>
        <v>0</v>
      </c>
    </row>
    <row r="520" spans="1:28">
      <c r="A520" t="s">
        <v>546</v>
      </c>
      <c r="B520">
        <v>0.999984544473304</v>
      </c>
      <c r="C520">
        <v>0.7227564132058421</v>
      </c>
      <c r="D520">
        <v>1.14747155476612</v>
      </c>
      <c r="E520">
        <v>0.760832619967604</v>
      </c>
      <c r="F520">
        <v>0.921982106673638</v>
      </c>
      <c r="G520">
        <v>0.72601234842606</v>
      </c>
      <c r="H520">
        <v>0.791757169606375</v>
      </c>
      <c r="I520">
        <v>0.711361168776481</v>
      </c>
      <c r="J520">
        <v>0.481238896624898</v>
      </c>
      <c r="K520">
        <v>0.223973710667793</v>
      </c>
      <c r="L520">
        <v>576.253128668669</v>
      </c>
      <c r="M520">
        <v>9.1380553304641</v>
      </c>
      <c r="N520">
        <v>63.0608019866294</v>
      </c>
      <c r="O520">
        <v>60.2610381756294</v>
      </c>
      <c r="P520">
        <v>-0.0379362851483839</v>
      </c>
      <c r="Q520">
        <v>0</v>
      </c>
      <c r="R520">
        <v>0.673466359081609</v>
      </c>
      <c r="S520" t="s">
        <v>2188</v>
      </c>
      <c r="T520" t="s">
        <v>3312</v>
      </c>
      <c r="U520" t="s">
        <v>3312</v>
      </c>
      <c r="V520" t="s">
        <v>3312</v>
      </c>
      <c r="W520" t="s">
        <v>3831</v>
      </c>
      <c r="X520">
        <v>3</v>
      </c>
      <c r="Y520" t="s">
        <v>5471</v>
      </c>
      <c r="Z520" t="s">
        <v>7113</v>
      </c>
      <c r="AA520">
        <v>0.7971190489663105</v>
      </c>
      <c r="AB520">
        <f>HYPERLINK("Melting_Curves/meltCurve_P0AB98_atpB.pdf", "Melting_Curves/meltCurve_P0AB98_atpB.pdf")</f>
        <v>0</v>
      </c>
    </row>
    <row r="521" spans="1:28">
      <c r="A521" t="s">
        <v>547</v>
      </c>
      <c r="B521">
        <v>0.999984544473304</v>
      </c>
      <c r="C521">
        <v>0.9421348243233389</v>
      </c>
      <c r="D521">
        <v>0.989283448297811</v>
      </c>
      <c r="E521">
        <v>1.13148864402863</v>
      </c>
      <c r="F521">
        <v>1.06292964056264</v>
      </c>
      <c r="G521">
        <v>0.932354537939625</v>
      </c>
      <c r="H521">
        <v>0.95121052945536</v>
      </c>
      <c r="I521">
        <v>0.863627843831636</v>
      </c>
      <c r="J521">
        <v>0.745230704521576</v>
      </c>
      <c r="K521">
        <v>0.795391026883201</v>
      </c>
      <c r="L521">
        <v>1671.76498719103</v>
      </c>
      <c r="M521">
        <v>27.9505888012283</v>
      </c>
      <c r="O521">
        <v>59.50778166114</v>
      </c>
      <c r="P521">
        <v>-0.0286317546300071</v>
      </c>
      <c r="Q521">
        <v>0.75617004711953</v>
      </c>
      <c r="R521">
        <v>0.745401735949149</v>
      </c>
      <c r="S521" t="s">
        <v>2189</v>
      </c>
      <c r="T521" t="s">
        <v>3312</v>
      </c>
      <c r="U521" t="s">
        <v>3312</v>
      </c>
      <c r="V521" t="s">
        <v>3312</v>
      </c>
      <c r="W521" t="s">
        <v>3832</v>
      </c>
      <c r="X521">
        <v>8</v>
      </c>
      <c r="Y521" t="s">
        <v>5472</v>
      </c>
      <c r="Z521" t="s">
        <v>7114</v>
      </c>
      <c r="AA521">
        <v>0.9424984807675488</v>
      </c>
      <c r="AB521">
        <f>HYPERLINK("Melting_Curves/meltCurve_P0ABA0_atpF.pdf", "Melting_Curves/meltCurve_P0ABA0_atpF.pdf")</f>
        <v>0</v>
      </c>
    </row>
    <row r="522" spans="1:28">
      <c r="A522" t="s">
        <v>548</v>
      </c>
      <c r="B522">
        <v>0.999984544473304</v>
      </c>
      <c r="C522">
        <v>1.105070156603</v>
      </c>
      <c r="D522">
        <v>0.952108180636201</v>
      </c>
      <c r="E522">
        <v>1.17261361348228</v>
      </c>
      <c r="F522">
        <v>1.07314190850546</v>
      </c>
      <c r="G522">
        <v>0.854157663530281</v>
      </c>
      <c r="H522">
        <v>0.703703246965025</v>
      </c>
      <c r="I522">
        <v>0.509943064621627</v>
      </c>
      <c r="J522">
        <v>0.319105498006235</v>
      </c>
      <c r="K522">
        <v>0.39292844544668</v>
      </c>
      <c r="L522">
        <v>1420.394755118</v>
      </c>
      <c r="M522">
        <v>24.5712216308094</v>
      </c>
      <c r="N522">
        <v>60.49477667214</v>
      </c>
      <c r="O522">
        <v>57.4284467148573</v>
      </c>
      <c r="P522">
        <v>-0.0714362496364721</v>
      </c>
      <c r="Q522">
        <v>0.332159712610019</v>
      </c>
      <c r="R522">
        <v>0.928330492882344</v>
      </c>
      <c r="S522" t="s">
        <v>2190</v>
      </c>
      <c r="T522" t="s">
        <v>3312</v>
      </c>
      <c r="U522" t="s">
        <v>3312</v>
      </c>
      <c r="V522" t="s">
        <v>3312</v>
      </c>
      <c r="W522" t="s">
        <v>3833</v>
      </c>
      <c r="X522">
        <v>5</v>
      </c>
      <c r="Y522" t="s">
        <v>5473</v>
      </c>
      <c r="Z522" t="s">
        <v>7115</v>
      </c>
      <c r="AA522">
        <v>0.7998970034829901</v>
      </c>
      <c r="AB522">
        <f>HYPERLINK("Melting_Curves/meltCurve_P0ABA4_atpH.pdf", "Melting_Curves/meltCurve_P0ABA4_atpH.pdf")</f>
        <v>0</v>
      </c>
    </row>
    <row r="523" spans="1:28">
      <c r="A523" t="s">
        <v>549</v>
      </c>
      <c r="B523">
        <v>0.999984544473304</v>
      </c>
      <c r="C523">
        <v>0.532398284999846</v>
      </c>
      <c r="D523">
        <v>0.392180229533305</v>
      </c>
      <c r="E523">
        <v>0.211292112061859</v>
      </c>
      <c r="F523">
        <v>0.140662271775217</v>
      </c>
      <c r="G523">
        <v>0.092788914018249</v>
      </c>
      <c r="H523">
        <v>0.07272847168410319</v>
      </c>
      <c r="I523">
        <v>0.0613097914619922</v>
      </c>
      <c r="J523">
        <v>0.0387087387820318</v>
      </c>
      <c r="K523">
        <v>0.0459577670561244</v>
      </c>
      <c r="L523">
        <v>686.691660818812</v>
      </c>
      <c r="M523">
        <v>16.7280025735075</v>
      </c>
      <c r="N523">
        <v>41.4034438187832</v>
      </c>
      <c r="O523">
        <v>40.47721385564</v>
      </c>
      <c r="P523">
        <v>-0.0964575000126682</v>
      </c>
      <c r="Q523">
        <v>0.06645736428396019</v>
      </c>
      <c r="R523">
        <v>0.960830765210948</v>
      </c>
      <c r="S523" t="s">
        <v>2191</v>
      </c>
      <c r="T523" t="s">
        <v>3312</v>
      </c>
      <c r="U523" t="s">
        <v>3312</v>
      </c>
      <c r="V523" t="s">
        <v>3312</v>
      </c>
      <c r="W523" t="s">
        <v>3834</v>
      </c>
      <c r="X523">
        <v>8</v>
      </c>
      <c r="Y523" t="s">
        <v>5474</v>
      </c>
      <c r="Z523" t="s">
        <v>7116</v>
      </c>
      <c r="AA523">
        <v>0.2162906881588865</v>
      </c>
      <c r="AB523">
        <f>HYPERLINK("Melting_Curves/meltCurve_P0ABA6_atpG.pdf", "Melting_Curves/meltCurve_P0ABA6_atpG.pdf")</f>
        <v>0</v>
      </c>
    </row>
    <row r="524" spans="1:28">
      <c r="A524" t="s">
        <v>550</v>
      </c>
      <c r="B524">
        <v>0.999984544473304</v>
      </c>
      <c r="C524">
        <v>1.06332952920757</v>
      </c>
      <c r="D524">
        <v>0.839828763402975</v>
      </c>
      <c r="E524">
        <v>0.275989630748018</v>
      </c>
      <c r="F524">
        <v>0.05565815447599</v>
      </c>
      <c r="G524">
        <v>0.0305893667261767</v>
      </c>
      <c r="H524">
        <v>0.0227494982419329</v>
      </c>
      <c r="I524">
        <v>0.015881927272037</v>
      </c>
      <c r="J524">
        <v>0.0125880971587292</v>
      </c>
      <c r="K524">
        <v>0.0104118660241601</v>
      </c>
      <c r="L524">
        <v>1538.46349768897</v>
      </c>
      <c r="M524">
        <v>34.05958871424</v>
      </c>
      <c r="N524">
        <v>45.2202570169518</v>
      </c>
      <c r="O524">
        <v>45.0149003902193</v>
      </c>
      <c r="P524">
        <v>-0.185626960449312</v>
      </c>
      <c r="Q524">
        <v>0.0186673894736171</v>
      </c>
      <c r="R524">
        <v>0.996774784971389</v>
      </c>
      <c r="S524" t="s">
        <v>2192</v>
      </c>
      <c r="T524" t="s">
        <v>3312</v>
      </c>
      <c r="U524" t="s">
        <v>3312</v>
      </c>
      <c r="V524" t="s">
        <v>3312</v>
      </c>
      <c r="W524" t="s">
        <v>3835</v>
      </c>
      <c r="X524">
        <v>19</v>
      </c>
      <c r="Y524" t="s">
        <v>5475</v>
      </c>
      <c r="Z524" t="s">
        <v>7117</v>
      </c>
      <c r="AA524">
        <v>0.2901642343177958</v>
      </c>
      <c r="AB524">
        <f>HYPERLINK("Melting_Curves/meltCurve_P0ABB0_atpA.pdf", "Melting_Curves/meltCurve_P0ABB0_atpA.pdf")</f>
        <v>0</v>
      </c>
    </row>
    <row r="525" spans="1:28">
      <c r="A525" t="s">
        <v>551</v>
      </c>
      <c r="B525">
        <v>0.999984544473304</v>
      </c>
      <c r="C525">
        <v>0.747267596933081</v>
      </c>
      <c r="D525">
        <v>0.522422812977541</v>
      </c>
      <c r="E525">
        <v>0.442611869442439</v>
      </c>
      <c r="F525">
        <v>0.384037187178337</v>
      </c>
      <c r="G525">
        <v>0.278217320522651</v>
      </c>
      <c r="H525">
        <v>0.236489987317675</v>
      </c>
      <c r="I525">
        <v>0.19893749773553</v>
      </c>
      <c r="J525">
        <v>0.133983446688489</v>
      </c>
      <c r="K525">
        <v>0.168793974597488</v>
      </c>
      <c r="L525">
        <v>470.596559053436</v>
      </c>
      <c r="M525">
        <v>10.8236303777818</v>
      </c>
      <c r="N525">
        <v>45.1099539336492</v>
      </c>
      <c r="O525">
        <v>42.0734109612432</v>
      </c>
      <c r="P525">
        <v>-0.0539175790321655</v>
      </c>
      <c r="Q525">
        <v>0.161951653081437</v>
      </c>
      <c r="R525">
        <v>0.961167382854049</v>
      </c>
      <c r="S525" t="s">
        <v>2193</v>
      </c>
      <c r="T525" t="s">
        <v>3312</v>
      </c>
      <c r="U525" t="s">
        <v>3312</v>
      </c>
      <c r="V525" t="s">
        <v>3312</v>
      </c>
      <c r="W525" t="s">
        <v>3836</v>
      </c>
      <c r="X525">
        <v>14</v>
      </c>
      <c r="Y525" t="s">
        <v>5476</v>
      </c>
      <c r="Z525" t="s">
        <v>7118</v>
      </c>
      <c r="AA525">
        <v>0.3835307105145611</v>
      </c>
      <c r="AB525">
        <f>HYPERLINK("Melting_Curves/meltCurve_P0ABB4_atpD.pdf", "Melting_Curves/meltCurve_P0ABB4_atpD.pdf")</f>
        <v>0</v>
      </c>
    </row>
    <row r="526" spans="1:28">
      <c r="A526" t="s">
        <v>552</v>
      </c>
      <c r="B526">
        <v>0.999984544473304</v>
      </c>
      <c r="C526">
        <v>1.14489752590347</v>
      </c>
      <c r="D526">
        <v>0.518371229249997</v>
      </c>
      <c r="E526">
        <v>0.437352440676224</v>
      </c>
      <c r="F526">
        <v>0.342503801124045</v>
      </c>
      <c r="G526">
        <v>0.245060520998716</v>
      </c>
      <c r="H526">
        <v>0.24165347852258</v>
      </c>
      <c r="I526">
        <v>0.210980953966078</v>
      </c>
      <c r="J526">
        <v>0.170717538593386</v>
      </c>
      <c r="K526">
        <v>0.141526035481114</v>
      </c>
      <c r="L526">
        <v>10723.9328327079</v>
      </c>
      <c r="M526">
        <v>250</v>
      </c>
      <c r="N526">
        <v>43.018963583221</v>
      </c>
      <c r="O526">
        <v>42.893001572313</v>
      </c>
      <c r="P526">
        <v>-1.08455236038513</v>
      </c>
      <c r="Q526">
        <v>0.255684967025862</v>
      </c>
      <c r="R526">
        <v>0.924728196349849</v>
      </c>
      <c r="S526" t="s">
        <v>2194</v>
      </c>
      <c r="T526" t="s">
        <v>3312</v>
      </c>
      <c r="U526" t="s">
        <v>3312</v>
      </c>
      <c r="V526" t="s">
        <v>3312</v>
      </c>
      <c r="W526" t="s">
        <v>3837</v>
      </c>
      <c r="X526">
        <v>1</v>
      </c>
      <c r="Y526" t="s">
        <v>5477</v>
      </c>
      <c r="Z526" t="s">
        <v>7119</v>
      </c>
      <c r="AA526">
        <v>0.4020170487234012</v>
      </c>
      <c r="AB526">
        <f>HYPERLINK("Melting_Curves/meltCurve_P0ABB8_mgtA.pdf", "Melting_Curves/meltCurve_P0ABB8_mgtA.pdf")</f>
        <v>0</v>
      </c>
    </row>
    <row r="527" spans="1:28">
      <c r="A527" t="s">
        <v>553</v>
      </c>
      <c r="B527">
        <v>0.999984544473304</v>
      </c>
      <c r="C527">
        <v>0.892312053857251</v>
      </c>
      <c r="D527">
        <v>0.862475642452165</v>
      </c>
      <c r="E527">
        <v>0.613837259016477</v>
      </c>
      <c r="F527">
        <v>0.262038594820549</v>
      </c>
      <c r="G527">
        <v>0.20021637451766</v>
      </c>
      <c r="H527">
        <v>0.134419306126879</v>
      </c>
      <c r="I527">
        <v>0.146698567434498</v>
      </c>
      <c r="J527">
        <v>0.0776265328223186</v>
      </c>
      <c r="K527">
        <v>0.0444042923166709</v>
      </c>
      <c r="L527">
        <v>797.532417406125</v>
      </c>
      <c r="M527">
        <v>16.9350210801546</v>
      </c>
      <c r="N527">
        <v>47.5785635613561</v>
      </c>
      <c r="O527">
        <v>46.4517215754574</v>
      </c>
      <c r="P527">
        <v>-0.0839245392190671</v>
      </c>
      <c r="Q527">
        <v>0.0792583762387027</v>
      </c>
      <c r="R527">
        <v>0.989262882135611</v>
      </c>
      <c r="S527" t="s">
        <v>2195</v>
      </c>
      <c r="T527" t="s">
        <v>3312</v>
      </c>
      <c r="U527" t="s">
        <v>3312</v>
      </c>
      <c r="V527" t="s">
        <v>3312</v>
      </c>
      <c r="W527" t="s">
        <v>3838</v>
      </c>
      <c r="X527">
        <v>6</v>
      </c>
      <c r="Y527" t="s">
        <v>5478</v>
      </c>
      <c r="Z527" t="s">
        <v>7120</v>
      </c>
      <c r="AA527">
        <v>0.4056218335925899</v>
      </c>
      <c r="AB527">
        <f>HYPERLINK("Melting_Curves/meltCurve_P0ABC3_hflC.pdf", "Melting_Curves/meltCurve_P0ABC3_hflC.pdf")</f>
        <v>0</v>
      </c>
    </row>
    <row r="528" spans="1:28">
      <c r="A528" t="s">
        <v>554</v>
      </c>
      <c r="B528">
        <v>0.999984544473304</v>
      </c>
      <c r="C528">
        <v>1.90140672848361</v>
      </c>
      <c r="D528">
        <v>1.43443032968234</v>
      </c>
      <c r="E528">
        <v>1.32485305505821</v>
      </c>
      <c r="F528">
        <v>0.42831000089321</v>
      </c>
      <c r="G528">
        <v>0.351323503780024</v>
      </c>
      <c r="H528">
        <v>0.220276270719636</v>
      </c>
      <c r="I528">
        <v>0.283994607341003</v>
      </c>
      <c r="J528">
        <v>0.120559155359462</v>
      </c>
      <c r="K528">
        <v>0.115718623276578</v>
      </c>
      <c r="L528">
        <v>12499.7098434811</v>
      </c>
      <c r="M528">
        <v>250</v>
      </c>
      <c r="N528">
        <v>50.1139026411999</v>
      </c>
      <c r="O528">
        <v>49.9956482831625</v>
      </c>
      <c r="P528">
        <v>-0.977117180627475</v>
      </c>
      <c r="Q528">
        <v>0.218374423198144</v>
      </c>
      <c r="R528">
        <v>0.692453916753308</v>
      </c>
      <c r="S528" t="s">
        <v>2196</v>
      </c>
      <c r="T528" t="s">
        <v>3312</v>
      </c>
      <c r="U528" t="s">
        <v>3312</v>
      </c>
      <c r="V528" t="s">
        <v>3312</v>
      </c>
      <c r="W528" t="s">
        <v>3839</v>
      </c>
      <c r="X528">
        <v>6</v>
      </c>
      <c r="Y528" t="s">
        <v>5479</v>
      </c>
      <c r="Z528" t="s">
        <v>7121</v>
      </c>
      <c r="AA528">
        <v>0.5571171860888017</v>
      </c>
      <c r="AB528">
        <f>HYPERLINK("Melting_Curves/meltCurve_P0ABC7_hflK.pdf", "Melting_Curves/meltCurve_P0ABC7_hflK.pdf")</f>
        <v>0</v>
      </c>
    </row>
    <row r="529" spans="1:28">
      <c r="A529" t="s">
        <v>555</v>
      </c>
      <c r="B529">
        <v>0.999984544473304</v>
      </c>
      <c r="C529">
        <v>2.80007253101873</v>
      </c>
      <c r="D529">
        <v>1.20378967337652</v>
      </c>
      <c r="E529">
        <v>3.58762845029499</v>
      </c>
      <c r="F529">
        <v>1.74270121031659</v>
      </c>
      <c r="G529">
        <v>2.43156739585241</v>
      </c>
      <c r="H529">
        <v>1.0042456607192</v>
      </c>
      <c r="I529">
        <v>1.09701276874655</v>
      </c>
      <c r="J529">
        <v>0.696404075876463</v>
      </c>
      <c r="K529">
        <v>0.749723900819851</v>
      </c>
      <c r="L529">
        <v>15000</v>
      </c>
      <c r="M529">
        <v>239.318929967106</v>
      </c>
      <c r="O529">
        <v>62.6734891723013</v>
      </c>
      <c r="P529">
        <v>-0.264893122329409</v>
      </c>
      <c r="Q529">
        <v>0.722516286069109</v>
      </c>
      <c r="R529">
        <v>-0.437615647280601</v>
      </c>
      <c r="S529" t="s">
        <v>2197</v>
      </c>
      <c r="T529" t="s">
        <v>3312</v>
      </c>
      <c r="U529" t="s">
        <v>3312</v>
      </c>
      <c r="V529" t="s">
        <v>3312</v>
      </c>
      <c r="W529" t="s">
        <v>3840</v>
      </c>
      <c r="X529">
        <v>4</v>
      </c>
      <c r="Y529" t="s">
        <v>5480</v>
      </c>
      <c r="Z529" t="s">
        <v>7122</v>
      </c>
      <c r="AA529">
        <v>0.9600559219647878</v>
      </c>
      <c r="AB529">
        <f>HYPERLINK("Melting_Curves/meltCurve_P0ABD3_bfr.pdf", "Melting_Curves/meltCurve_P0ABD3_bfr.pdf")</f>
        <v>0</v>
      </c>
    </row>
    <row r="530" spans="1:28">
      <c r="A530" t="s">
        <v>556</v>
      </c>
      <c r="B530">
        <v>0.999984544473304</v>
      </c>
      <c r="C530">
        <v>0.683004865493288</v>
      </c>
      <c r="D530">
        <v>0.9077339434451021</v>
      </c>
      <c r="E530">
        <v>0.583247264425233</v>
      </c>
      <c r="F530">
        <v>0.683756981962276</v>
      </c>
      <c r="G530">
        <v>0.529762431997127</v>
      </c>
      <c r="H530">
        <v>0.115547981522486</v>
      </c>
      <c r="I530">
        <v>0.0763906161147925</v>
      </c>
      <c r="J530">
        <v>0.049674694514384</v>
      </c>
      <c r="K530">
        <v>0.0548264880690348</v>
      </c>
      <c r="L530">
        <v>495.008809190917</v>
      </c>
      <c r="M530">
        <v>9.75605928990783</v>
      </c>
      <c r="N530">
        <v>50.7386013109059</v>
      </c>
      <c r="O530">
        <v>48.7445501910957</v>
      </c>
      <c r="P530">
        <v>-0.0500634109106973</v>
      </c>
      <c r="Q530">
        <v>0</v>
      </c>
      <c r="R530">
        <v>0.8656285499777721</v>
      </c>
      <c r="S530" t="s">
        <v>2198</v>
      </c>
      <c r="T530" t="s">
        <v>3312</v>
      </c>
      <c r="U530" t="s">
        <v>3312</v>
      </c>
      <c r="V530" t="s">
        <v>3312</v>
      </c>
      <c r="W530" t="s">
        <v>3841</v>
      </c>
      <c r="X530">
        <v>5</v>
      </c>
      <c r="Y530" t="s">
        <v>5481</v>
      </c>
      <c r="Z530" t="s">
        <v>7123</v>
      </c>
      <c r="AA530">
        <v>0.4899792875105373</v>
      </c>
      <c r="AB530">
        <f>HYPERLINK("Melting_Curves/meltCurve_P0ABD5_accA.pdf", "Melting_Curves/meltCurve_P0ABD5_accA.pdf")</f>
        <v>0</v>
      </c>
    </row>
    <row r="531" spans="1:28">
      <c r="A531" t="s">
        <v>557</v>
      </c>
      <c r="B531">
        <v>0.999984544473304</v>
      </c>
      <c r="C531">
        <v>1.12763384233824</v>
      </c>
      <c r="D531">
        <v>0.939258607548336</v>
      </c>
      <c r="E531">
        <v>1.15074305567624</v>
      </c>
      <c r="F531">
        <v>1.09744847311136</v>
      </c>
      <c r="G531">
        <v>0.947391893947258</v>
      </c>
      <c r="H531">
        <v>0.823780705497713</v>
      </c>
      <c r="I531">
        <v>0.8466851256050409</v>
      </c>
      <c r="J531">
        <v>0.545165362600618</v>
      </c>
      <c r="K531">
        <v>0.805978461020192</v>
      </c>
      <c r="L531">
        <v>1660.70669115106</v>
      </c>
      <c r="M531">
        <v>28.9598925527562</v>
      </c>
      <c r="O531">
        <v>57.0737078825231</v>
      </c>
      <c r="P531">
        <v>-0.0374672347660355</v>
      </c>
      <c r="Q531">
        <v>0.704642826450768</v>
      </c>
      <c r="R531">
        <v>0.659953494618459</v>
      </c>
      <c r="S531" t="s">
        <v>2199</v>
      </c>
      <c r="T531" t="s">
        <v>3312</v>
      </c>
      <c r="U531" t="s">
        <v>3312</v>
      </c>
      <c r="V531" t="s">
        <v>3312</v>
      </c>
      <c r="W531" t="s">
        <v>3842</v>
      </c>
      <c r="X531">
        <v>2</v>
      </c>
      <c r="Y531" t="s">
        <v>5482</v>
      </c>
      <c r="Z531" t="s">
        <v>7124</v>
      </c>
      <c r="AA531">
        <v>0.9067528517668222</v>
      </c>
      <c r="AB531">
        <f>HYPERLINK("Melting_Curves/meltCurve_P0ABD8_accB.pdf", "Melting_Curves/meltCurve_P0ABD8_accB.pdf")</f>
        <v>0</v>
      </c>
    </row>
    <row r="532" spans="1:28">
      <c r="A532" t="s">
        <v>558</v>
      </c>
      <c r="B532">
        <v>0.999984544473304</v>
      </c>
      <c r="C532">
        <v>0.85235095679808</v>
      </c>
      <c r="D532">
        <v>0.8391643484454619</v>
      </c>
      <c r="E532">
        <v>1.29991293864819</v>
      </c>
      <c r="F532">
        <v>0.899748191568541</v>
      </c>
      <c r="G532">
        <v>0.771042440634662</v>
      </c>
      <c r="H532">
        <v>0.562552834604973</v>
      </c>
      <c r="I532">
        <v>0.383887563705815</v>
      </c>
      <c r="J532">
        <v>0.170812477741031</v>
      </c>
      <c r="K532">
        <v>0.219206336561386</v>
      </c>
      <c r="L532">
        <v>1104.9702120915</v>
      </c>
      <c r="M532">
        <v>19.3295037758863</v>
      </c>
      <c r="N532">
        <v>58.1791739335139</v>
      </c>
      <c r="O532">
        <v>56.5636732699708</v>
      </c>
      <c r="P532">
        <v>-0.0732155673643836</v>
      </c>
      <c r="Q532">
        <v>0.14303311389853</v>
      </c>
      <c r="R532">
        <v>0.8681428277087681</v>
      </c>
      <c r="S532" t="s">
        <v>2200</v>
      </c>
      <c r="T532" t="s">
        <v>3312</v>
      </c>
      <c r="U532" t="s">
        <v>3312</v>
      </c>
      <c r="V532" t="s">
        <v>3312</v>
      </c>
      <c r="W532" t="s">
        <v>3843</v>
      </c>
      <c r="X532">
        <v>2</v>
      </c>
      <c r="Y532" t="s">
        <v>5483</v>
      </c>
      <c r="Z532" t="s">
        <v>7125</v>
      </c>
      <c r="AA532">
        <v>0.7263985646485646</v>
      </c>
      <c r="AB532">
        <f>HYPERLINK("Melting_Curves/meltCurve_P0ABE2_bolA.pdf", "Melting_Curves/meltCurve_P0ABE2_bolA.pdf")</f>
        <v>0</v>
      </c>
    </row>
    <row r="533" spans="1:28">
      <c r="A533" t="s">
        <v>559</v>
      </c>
      <c r="B533">
        <v>0.999984544473304</v>
      </c>
      <c r="C533">
        <v>0.862608716745736</v>
      </c>
      <c r="D533">
        <v>1.11879915691958</v>
      </c>
      <c r="E533">
        <v>0.794330288117728</v>
      </c>
      <c r="F533">
        <v>0.719703964520469</v>
      </c>
      <c r="G533">
        <v>0.476524268954089</v>
      </c>
      <c r="H533">
        <v>0.446631899988347</v>
      </c>
      <c r="I533">
        <v>0.462291779768659</v>
      </c>
      <c r="J533">
        <v>0.476244484893054</v>
      </c>
      <c r="K533">
        <v>0.346348860456099</v>
      </c>
      <c r="L533">
        <v>989.020302512962</v>
      </c>
      <c r="M533">
        <v>19.9636577543263</v>
      </c>
      <c r="N533">
        <v>54.3491841336986</v>
      </c>
      <c r="O533">
        <v>49.0520033329875</v>
      </c>
      <c r="P533">
        <v>-0.0595746924601547</v>
      </c>
      <c r="Q533">
        <v>0.414503911004386</v>
      </c>
      <c r="R533">
        <v>0.909097801411153</v>
      </c>
      <c r="S533" t="s">
        <v>2201</v>
      </c>
      <c r="T533" t="s">
        <v>3312</v>
      </c>
      <c r="U533" t="s">
        <v>3312</v>
      </c>
      <c r="V533" t="s">
        <v>3312</v>
      </c>
      <c r="W533" t="s">
        <v>3844</v>
      </c>
      <c r="X533">
        <v>1</v>
      </c>
      <c r="Y533" t="s">
        <v>5484</v>
      </c>
      <c r="Z533" t="s">
        <v>7126</v>
      </c>
      <c r="AA533">
        <v>0.6670026197465743</v>
      </c>
      <c r="AB533">
        <f>HYPERLINK("Melting_Curves/meltCurve_P0ABE5_cybB.pdf", "Melting_Curves/meltCurve_P0ABE5_cybB.pdf")</f>
        <v>0</v>
      </c>
    </row>
    <row r="534" spans="1:28">
      <c r="A534" t="s">
        <v>560</v>
      </c>
      <c r="B534">
        <v>0.999984544473304</v>
      </c>
      <c r="C534">
        <v>1.09847525826974</v>
      </c>
      <c r="D534">
        <v>0.873457916275182</v>
      </c>
      <c r="E534">
        <v>0.404633793235006</v>
      </c>
      <c r="F534">
        <v>0.178077848612131</v>
      </c>
      <c r="G534">
        <v>0.209582849802917</v>
      </c>
      <c r="H534">
        <v>0.0819419457275526</v>
      </c>
      <c r="I534">
        <v>0.1146905337721</v>
      </c>
      <c r="J534">
        <v>0</v>
      </c>
      <c r="K534">
        <v>0.0714108734982869</v>
      </c>
      <c r="L534">
        <v>1331.13894869567</v>
      </c>
      <c r="M534">
        <v>29.1320016027662</v>
      </c>
      <c r="N534">
        <v>46.0244002958583</v>
      </c>
      <c r="O534">
        <v>45.4796875748106</v>
      </c>
      <c r="P534">
        <v>-0.145002078897482</v>
      </c>
      <c r="Q534">
        <v>0.0945217576376344</v>
      </c>
      <c r="R534">
        <v>0.9787670165303179</v>
      </c>
      <c r="S534" t="s">
        <v>2202</v>
      </c>
      <c r="T534" t="s">
        <v>3312</v>
      </c>
      <c r="U534" t="s">
        <v>3312</v>
      </c>
      <c r="V534" t="s">
        <v>3312</v>
      </c>
      <c r="W534" t="s">
        <v>3845</v>
      </c>
      <c r="X534">
        <v>1</v>
      </c>
      <c r="Y534" t="s">
        <v>5485</v>
      </c>
      <c r="Z534" t="s">
        <v>7127</v>
      </c>
      <c r="AA534">
        <v>0.3623672027228474</v>
      </c>
      <c r="AB534">
        <f>HYPERLINK("Melting_Curves/meltCurve_P0ABF1_pcnB.pdf", "Melting_Curves/meltCurve_P0ABF1_pcnB.pdf")</f>
        <v>0</v>
      </c>
    </row>
    <row r="535" spans="1:28">
      <c r="A535" t="s">
        <v>561</v>
      </c>
      <c r="B535">
        <v>0.999984544473304</v>
      </c>
      <c r="C535">
        <v>1.40057889315129</v>
      </c>
      <c r="D535">
        <v>0.82723927080027</v>
      </c>
      <c r="E535">
        <v>0.767047122550099</v>
      </c>
      <c r="F535">
        <v>0.520092111359308</v>
      </c>
      <c r="G535">
        <v>0.377203388792196</v>
      </c>
      <c r="H535">
        <v>0.336098467990558</v>
      </c>
      <c r="I535">
        <v>0.200549720604178</v>
      </c>
      <c r="J535">
        <v>0.255465088480561</v>
      </c>
      <c r="K535">
        <v>0.296250413811626</v>
      </c>
      <c r="L535">
        <v>930.96245717633</v>
      </c>
      <c r="M535">
        <v>19.1678798620827</v>
      </c>
      <c r="N535">
        <v>50.4981238109255</v>
      </c>
      <c r="O535">
        <v>48.0495043679434</v>
      </c>
      <c r="P535">
        <v>-0.07384297129387341</v>
      </c>
      <c r="Q535">
        <v>0.259598532767192</v>
      </c>
      <c r="R535">
        <v>0.860809027585426</v>
      </c>
      <c r="S535" t="s">
        <v>2203</v>
      </c>
      <c r="T535" t="s">
        <v>3312</v>
      </c>
      <c r="U535" t="s">
        <v>3312</v>
      </c>
      <c r="V535" t="s">
        <v>3312</v>
      </c>
      <c r="W535" t="s">
        <v>3846</v>
      </c>
      <c r="X535">
        <v>1</v>
      </c>
      <c r="Y535" t="s">
        <v>5486</v>
      </c>
      <c r="Z535" t="s">
        <v>7128</v>
      </c>
      <c r="AA535">
        <v>0.5556569753217031</v>
      </c>
      <c r="AB535">
        <f>HYPERLINK("Melting_Curves/meltCurve_P0ABF4_eutM.pdf", "Melting_Curves/meltCurve_P0ABF4_eutM.pdf")</f>
        <v>0</v>
      </c>
    </row>
    <row r="536" spans="1:28">
      <c r="A536" t="s">
        <v>562</v>
      </c>
      <c r="B536">
        <v>0.999984544473304</v>
      </c>
      <c r="C536">
        <v>0.759693915368573</v>
      </c>
      <c r="D536">
        <v>1.08341834253209</v>
      </c>
      <c r="E536">
        <v>0.865435949773159</v>
      </c>
      <c r="F536">
        <v>1.18916595533711</v>
      </c>
      <c r="G536">
        <v>0.960653698261742</v>
      </c>
      <c r="H536">
        <v>0.92361704614786</v>
      </c>
      <c r="I536">
        <v>0.464012006638409</v>
      </c>
      <c r="J536">
        <v>0.122626577582584</v>
      </c>
      <c r="K536">
        <v>0.0436443577666128</v>
      </c>
      <c r="L536">
        <v>2536.50873049448</v>
      </c>
      <c r="M536">
        <v>41.7782492371962</v>
      </c>
      <c r="N536">
        <v>60.7887036602339</v>
      </c>
      <c r="O536">
        <v>60.5750120126216</v>
      </c>
      <c r="P536">
        <v>-0.168088323230796</v>
      </c>
      <c r="Q536">
        <v>0.0251449555819498</v>
      </c>
      <c r="R536">
        <v>0.916048948564668</v>
      </c>
      <c r="S536" t="s">
        <v>2204</v>
      </c>
      <c r="T536" t="s">
        <v>3312</v>
      </c>
      <c r="U536" t="s">
        <v>3312</v>
      </c>
      <c r="V536" t="s">
        <v>3312</v>
      </c>
      <c r="W536" t="s">
        <v>3847</v>
      </c>
      <c r="X536">
        <v>8</v>
      </c>
      <c r="Y536" t="s">
        <v>5487</v>
      </c>
      <c r="Z536" t="s">
        <v>7129</v>
      </c>
      <c r="AA536">
        <v>0.7982763260072955</v>
      </c>
      <c r="AB536">
        <f>HYPERLINK("Melting_Curves/meltCurve_P0ABF6_cdd.pdf", "Melting_Curves/meltCurve_P0ABF6_cdd.pdf")</f>
        <v>0</v>
      </c>
    </row>
    <row r="537" spans="1:28">
      <c r="A537" t="s">
        <v>563</v>
      </c>
      <c r="B537">
        <v>0.999984544473304</v>
      </c>
      <c r="C537">
        <v>1.1023754101704</v>
      </c>
      <c r="D537">
        <v>1.34062142430034</v>
      </c>
      <c r="E537">
        <v>1.20364878892342</v>
      </c>
      <c r="F537">
        <v>0.907265964347855</v>
      </c>
      <c r="G537">
        <v>0.494327414876025</v>
      </c>
      <c r="H537">
        <v>0.491802755137482</v>
      </c>
      <c r="I537">
        <v>0.350393901855228</v>
      </c>
      <c r="J537">
        <v>0.222803906265432</v>
      </c>
      <c r="K537">
        <v>0.130862903796152</v>
      </c>
      <c r="L537">
        <v>1217.75241765593</v>
      </c>
      <c r="M537">
        <v>22.5525142528308</v>
      </c>
      <c r="N537">
        <v>55.3960788754753</v>
      </c>
      <c r="O537">
        <v>53.5771346215943</v>
      </c>
      <c r="P537">
        <v>-0.0823785579100582</v>
      </c>
      <c r="Q537">
        <v>0.217201642083372</v>
      </c>
      <c r="R537">
        <v>0.868774549079354</v>
      </c>
      <c r="S537" t="s">
        <v>2205</v>
      </c>
      <c r="T537" t="s">
        <v>3312</v>
      </c>
      <c r="U537" t="s">
        <v>3312</v>
      </c>
      <c r="V537" t="s">
        <v>3312</v>
      </c>
      <c r="W537" t="s">
        <v>3848</v>
      </c>
      <c r="X537">
        <v>2</v>
      </c>
      <c r="Y537" t="s">
        <v>5488</v>
      </c>
      <c r="Z537" t="s">
        <v>7130</v>
      </c>
      <c r="AA537">
        <v>0.6687080019647172</v>
      </c>
      <c r="AB537">
        <f>HYPERLINK("Melting_Curves/meltCurve_P0ABF8_pgsA.pdf", "Melting_Curves/meltCurve_P0ABF8_pgsA.pdf")</f>
        <v>0</v>
      </c>
    </row>
    <row r="538" spans="1:28">
      <c r="A538" t="s">
        <v>564</v>
      </c>
      <c r="B538">
        <v>0.999984544473304</v>
      </c>
      <c r="C538">
        <v>1.22328166011621</v>
      </c>
      <c r="D538">
        <v>0.841106782547466</v>
      </c>
      <c r="E538">
        <v>0.798421503568337</v>
      </c>
      <c r="F538">
        <v>0.841663365015986</v>
      </c>
      <c r="G538">
        <v>0.322386748821206</v>
      </c>
      <c r="H538">
        <v>0.292264720344473</v>
      </c>
      <c r="I538">
        <v>0.226565857278411</v>
      </c>
      <c r="J538">
        <v>0.231074860457083</v>
      </c>
      <c r="K538">
        <v>0.204981792661933</v>
      </c>
      <c r="S538" t="s">
        <v>2206</v>
      </c>
      <c r="T538" t="s">
        <v>3312</v>
      </c>
      <c r="U538" t="s">
        <v>3313</v>
      </c>
      <c r="V538" t="s">
        <v>3312</v>
      </c>
      <c r="W538" t="s">
        <v>3849</v>
      </c>
      <c r="X538">
        <v>4</v>
      </c>
      <c r="Y538" t="s">
        <v>5489</v>
      </c>
      <c r="Z538" t="s">
        <v>7131</v>
      </c>
      <c r="AB538">
        <f>HYPERLINK("Melting_Curves/meltCurve_P0ABH0_ftsA.pdf", "Melting_Curves/meltCurve_P0ABH0_ftsA.pdf")</f>
        <v>0</v>
      </c>
    </row>
    <row r="539" spans="1:28">
      <c r="A539" t="s">
        <v>565</v>
      </c>
      <c r="B539">
        <v>0.999984544473304</v>
      </c>
      <c r="C539">
        <v>0.872542758942639</v>
      </c>
      <c r="D539">
        <v>0.943717712685003</v>
      </c>
      <c r="E539">
        <v>0.738482252201898</v>
      </c>
      <c r="F539">
        <v>0.646862605002606</v>
      </c>
      <c r="G539">
        <v>0.668623967551448</v>
      </c>
      <c r="H539">
        <v>0.348039326615925</v>
      </c>
      <c r="I539">
        <v>0.117413862956614</v>
      </c>
      <c r="J539">
        <v>0.0672013297390245</v>
      </c>
      <c r="K539">
        <v>0.06443416535866039</v>
      </c>
      <c r="L539">
        <v>597.380298287718</v>
      </c>
      <c r="M539">
        <v>11.1394442370263</v>
      </c>
      <c r="N539">
        <v>53.6274777743793</v>
      </c>
      <c r="O539">
        <v>51.9862590859628</v>
      </c>
      <c r="P539">
        <v>-0.0535863936684187</v>
      </c>
      <c r="Q539">
        <v>0</v>
      </c>
      <c r="R539">
        <v>0.942679072899997</v>
      </c>
      <c r="S539" t="s">
        <v>2207</v>
      </c>
      <c r="T539" t="s">
        <v>3312</v>
      </c>
      <c r="U539" t="s">
        <v>3312</v>
      </c>
      <c r="V539" t="s">
        <v>3312</v>
      </c>
      <c r="W539" t="s">
        <v>3850</v>
      </c>
      <c r="X539">
        <v>8</v>
      </c>
      <c r="Y539" t="s">
        <v>5490</v>
      </c>
      <c r="Z539" t="s">
        <v>7132</v>
      </c>
      <c r="AA539">
        <v>0.5737255454647963</v>
      </c>
      <c r="AB539">
        <f>HYPERLINK("Melting_Curves/meltCurve_P0ABH7_gltA.pdf", "Melting_Curves/meltCurve_P0ABH7_gltA.pdf")</f>
        <v>0</v>
      </c>
    </row>
    <row r="540" spans="1:28">
      <c r="A540" t="s">
        <v>566</v>
      </c>
      <c r="B540">
        <v>0.999984544473304</v>
      </c>
      <c r="C540">
        <v>1.00726833130632</v>
      </c>
      <c r="D540">
        <v>0.672601870347954</v>
      </c>
      <c r="E540">
        <v>0.318609396413654</v>
      </c>
      <c r="F540">
        <v>0.173693622814738</v>
      </c>
      <c r="G540">
        <v>0.0876794175633793</v>
      </c>
      <c r="H540">
        <v>0.0587023108683309</v>
      </c>
      <c r="I540">
        <v>0.0427160303652758</v>
      </c>
      <c r="J540">
        <v>0.0307575471620338</v>
      </c>
      <c r="K540">
        <v>0.0334323320746261</v>
      </c>
      <c r="L540">
        <v>951.292260629781</v>
      </c>
      <c r="M540">
        <v>21.3054435608462</v>
      </c>
      <c r="N540">
        <v>44.8659218571188</v>
      </c>
      <c r="O540">
        <v>44.2624140558126</v>
      </c>
      <c r="P540">
        <v>-0.114480408820459</v>
      </c>
      <c r="Q540">
        <v>0.0486841875928418</v>
      </c>
      <c r="R540">
        <v>0.992954553264156</v>
      </c>
      <c r="S540" t="s">
        <v>2208</v>
      </c>
      <c r="T540" t="s">
        <v>3312</v>
      </c>
      <c r="U540" t="s">
        <v>3312</v>
      </c>
      <c r="V540" t="s">
        <v>3312</v>
      </c>
      <c r="W540" t="s">
        <v>3851</v>
      </c>
      <c r="X540">
        <v>14</v>
      </c>
      <c r="Y540" t="s">
        <v>5491</v>
      </c>
      <c r="Z540" t="s">
        <v>7133</v>
      </c>
      <c r="AA540">
        <v>0.3022451148571175</v>
      </c>
      <c r="AB540">
        <f>HYPERLINK("Melting_Curves/meltCurve_P0ABH9_clpA.pdf", "Melting_Curves/meltCurve_P0ABH9_clpA.pdf")</f>
        <v>0</v>
      </c>
    </row>
    <row r="541" spans="1:28">
      <c r="A541" t="s">
        <v>567</v>
      </c>
      <c r="B541">
        <v>0.999984544473304</v>
      </c>
      <c r="C541">
        <v>1.55925549672347</v>
      </c>
      <c r="D541">
        <v>0.830681547025151</v>
      </c>
      <c r="E541">
        <v>1.03992470087577</v>
      </c>
      <c r="F541">
        <v>0.490788779523593</v>
      </c>
      <c r="G541">
        <v>0.335336862286312</v>
      </c>
      <c r="H541">
        <v>0.13685463228624</v>
      </c>
      <c r="I541">
        <v>0.082249558443061</v>
      </c>
      <c r="J541">
        <v>0.0597295029906192</v>
      </c>
      <c r="K541">
        <v>0.0623130920611724</v>
      </c>
      <c r="L541">
        <v>1245.24273229113</v>
      </c>
      <c r="M541">
        <v>24.5780360733947</v>
      </c>
      <c r="N541">
        <v>51.0077479992619</v>
      </c>
      <c r="O541">
        <v>50.3330423961237</v>
      </c>
      <c r="P541">
        <v>-0.112782922311404</v>
      </c>
      <c r="Q541">
        <v>0.0761467543061965</v>
      </c>
      <c r="R541">
        <v>0.847232963795664</v>
      </c>
      <c r="S541" t="s">
        <v>2209</v>
      </c>
      <c r="T541" t="s">
        <v>3312</v>
      </c>
      <c r="U541" t="s">
        <v>3312</v>
      </c>
      <c r="V541" t="s">
        <v>3312</v>
      </c>
      <c r="W541" t="s">
        <v>3852</v>
      </c>
      <c r="X541">
        <v>3</v>
      </c>
      <c r="Y541" t="s">
        <v>5492</v>
      </c>
      <c r="Z541" t="s">
        <v>7134</v>
      </c>
      <c r="AA541">
        <v>0.5053508362954635</v>
      </c>
      <c r="AB541">
        <f>HYPERLINK("Melting_Curves/meltCurve_P0ABI8_cyoB.pdf", "Melting_Curves/meltCurve_P0ABI8_cyoB.pdf")</f>
        <v>0</v>
      </c>
    </row>
    <row r="542" spans="1:28">
      <c r="A542" t="s">
        <v>568</v>
      </c>
      <c r="B542">
        <v>0.999984544473304</v>
      </c>
      <c r="C542">
        <v>1.0362755602565</v>
      </c>
      <c r="D542">
        <v>1.00729106823626</v>
      </c>
      <c r="E542">
        <v>1.12760757630904</v>
      </c>
      <c r="F542">
        <v>0.866758266379725</v>
      </c>
      <c r="G542">
        <v>0.514637029382966</v>
      </c>
      <c r="H542">
        <v>0.227274832167484</v>
      </c>
      <c r="I542">
        <v>0.10152114685972</v>
      </c>
      <c r="J542">
        <v>0.0460713866486716</v>
      </c>
      <c r="K542">
        <v>0.0362162973072521</v>
      </c>
      <c r="L542">
        <v>1424.68865504843</v>
      </c>
      <c r="M542">
        <v>26.4384744921166</v>
      </c>
      <c r="N542">
        <v>54.0789793466943</v>
      </c>
      <c r="O542">
        <v>53.5814867093346</v>
      </c>
      <c r="P542">
        <v>-0.117830561570214</v>
      </c>
      <c r="Q542">
        <v>0.0448059095448257</v>
      </c>
      <c r="R542">
        <v>0.987574149573084</v>
      </c>
      <c r="S542" t="s">
        <v>2210</v>
      </c>
      <c r="T542" t="s">
        <v>3312</v>
      </c>
      <c r="U542" t="s">
        <v>3312</v>
      </c>
      <c r="V542" t="s">
        <v>3312</v>
      </c>
      <c r="W542" t="s">
        <v>3853</v>
      </c>
      <c r="X542">
        <v>7</v>
      </c>
      <c r="Y542" t="s">
        <v>5493</v>
      </c>
      <c r="Z542" t="s">
        <v>7135</v>
      </c>
      <c r="AA542">
        <v>0.5900969689944613</v>
      </c>
      <c r="AB542">
        <f>HYPERLINK("Melting_Curves/meltCurve_P0ABJ1_cyoA.pdf", "Melting_Curves/meltCurve_P0ABJ1_cyoA.pdf")</f>
        <v>0</v>
      </c>
    </row>
    <row r="543" spans="1:28">
      <c r="A543" t="s">
        <v>569</v>
      </c>
      <c r="B543">
        <v>0.999984544473304</v>
      </c>
      <c r="C543">
        <v>0.843490091877697</v>
      </c>
      <c r="D543">
        <v>0.709220994986175</v>
      </c>
      <c r="E543">
        <v>0.579974876399592</v>
      </c>
      <c r="F543">
        <v>0.502661719170981</v>
      </c>
      <c r="G543">
        <v>0.36292320066721</v>
      </c>
      <c r="H543">
        <v>0.213157489855797</v>
      </c>
      <c r="I543">
        <v>0.0736422319014666</v>
      </c>
      <c r="J543">
        <v>0.0273933599976389</v>
      </c>
      <c r="K543">
        <v>0.0265253786401461</v>
      </c>
      <c r="L543">
        <v>446.099408720849</v>
      </c>
      <c r="M543">
        <v>9.16566035229692</v>
      </c>
      <c r="N543">
        <v>48.6707188259899</v>
      </c>
      <c r="O543">
        <v>46.5219183668638</v>
      </c>
      <c r="P543">
        <v>-0.0492879104879831</v>
      </c>
      <c r="Q543">
        <v>0</v>
      </c>
      <c r="R543">
        <v>0.972982265308421</v>
      </c>
      <c r="S543" t="s">
        <v>2211</v>
      </c>
      <c r="T543" t="s">
        <v>3312</v>
      </c>
      <c r="U543" t="s">
        <v>3312</v>
      </c>
      <c r="V543" t="s">
        <v>3312</v>
      </c>
      <c r="W543" t="s">
        <v>3854</v>
      </c>
      <c r="X543">
        <v>10</v>
      </c>
      <c r="Y543" t="s">
        <v>5494</v>
      </c>
      <c r="Z543" t="s">
        <v>7136</v>
      </c>
      <c r="AA543">
        <v>0.4310841177487977</v>
      </c>
      <c r="AB543">
        <f>HYPERLINK("Melting_Curves/meltCurve_P0ABJ9_cydA.pdf", "Melting_Curves/meltCurve_P0ABJ9_cydA.pdf")</f>
        <v>0</v>
      </c>
    </row>
    <row r="544" spans="1:28">
      <c r="A544" t="s">
        <v>570</v>
      </c>
      <c r="B544">
        <v>0.999984544473304</v>
      </c>
      <c r="C544">
        <v>1.42618590243335</v>
      </c>
      <c r="D544">
        <v>0.72991587147801</v>
      </c>
      <c r="E544">
        <v>1.0426326788115</v>
      </c>
      <c r="F544">
        <v>0.795834513812679</v>
      </c>
      <c r="G544">
        <v>0.643464525658421</v>
      </c>
      <c r="H544">
        <v>0.515897996586691</v>
      </c>
      <c r="I544">
        <v>0.303302643432227</v>
      </c>
      <c r="J544">
        <v>0.148340359078499</v>
      </c>
      <c r="K544">
        <v>0.0805954358436983</v>
      </c>
      <c r="L544">
        <v>749.610084615752</v>
      </c>
      <c r="M544">
        <v>13.2192694791229</v>
      </c>
      <c r="N544">
        <v>56.7058632799357</v>
      </c>
      <c r="O544">
        <v>55.4552952457109</v>
      </c>
      <c r="P544">
        <v>-0.0596041127719413</v>
      </c>
      <c r="Q544">
        <v>0</v>
      </c>
      <c r="R544">
        <v>0.833930069704058</v>
      </c>
      <c r="S544" t="s">
        <v>2212</v>
      </c>
      <c r="T544" t="s">
        <v>3312</v>
      </c>
      <c r="U544" t="s">
        <v>3312</v>
      </c>
      <c r="V544" t="s">
        <v>3312</v>
      </c>
      <c r="W544" t="s">
        <v>3855</v>
      </c>
      <c r="X544">
        <v>4</v>
      </c>
      <c r="Y544" t="s">
        <v>5495</v>
      </c>
      <c r="Z544" t="s">
        <v>7137</v>
      </c>
      <c r="AA544">
        <v>0.6647885302240513</v>
      </c>
      <c r="AB544">
        <f>HYPERLINK("Melting_Curves/meltCurve_P0ABK2_cydB.pdf", "Melting_Curves/meltCurve_P0ABK2_cydB.pdf")</f>
        <v>0</v>
      </c>
    </row>
    <row r="545" spans="1:28">
      <c r="A545" t="s">
        <v>571</v>
      </c>
      <c r="B545">
        <v>0.999984544473304</v>
      </c>
      <c r="C545">
        <v>1.01513173132319</v>
      </c>
      <c r="D545">
        <v>0.972739017507798</v>
      </c>
      <c r="E545">
        <v>0.991224080042048</v>
      </c>
      <c r="F545">
        <v>1.08978198601914</v>
      </c>
      <c r="G545">
        <v>0.973899789305971</v>
      </c>
      <c r="H545">
        <v>1.01737943756327</v>
      </c>
      <c r="I545">
        <v>0.885316305390504</v>
      </c>
      <c r="J545">
        <v>0.801260269578011</v>
      </c>
      <c r="K545">
        <v>0.54499497848975</v>
      </c>
      <c r="L545">
        <v>1552.10747479429</v>
      </c>
      <c r="M545">
        <v>22.9567273612464</v>
      </c>
      <c r="Q545">
        <v>0</v>
      </c>
      <c r="R545">
        <v>0.941362479352441</v>
      </c>
      <c r="S545" t="s">
        <v>2213</v>
      </c>
      <c r="T545" t="s">
        <v>3312</v>
      </c>
      <c r="U545" t="s">
        <v>3312</v>
      </c>
      <c r="V545" t="s">
        <v>3312</v>
      </c>
      <c r="W545" t="s">
        <v>3856</v>
      </c>
      <c r="X545">
        <v>12</v>
      </c>
      <c r="Y545" t="s">
        <v>5496</v>
      </c>
      <c r="Z545" t="s">
        <v>7138</v>
      </c>
      <c r="AA545">
        <v>0.9477717650892006</v>
      </c>
      <c r="AB545">
        <f>HYPERLINK("Melting_Curves/meltCurve_P0ABK5_cysK.pdf", "Melting_Curves/meltCurve_P0ABK5_cysK.pdf")</f>
        <v>0</v>
      </c>
    </row>
    <row r="546" spans="1:28">
      <c r="A546" t="s">
        <v>572</v>
      </c>
      <c r="B546">
        <v>0.999984544473304</v>
      </c>
      <c r="C546">
        <v>0.831349551472482</v>
      </c>
      <c r="D546">
        <v>0.841549039907531</v>
      </c>
      <c r="E546">
        <v>0.665082888332326</v>
      </c>
      <c r="F546">
        <v>0.64186069313853</v>
      </c>
      <c r="G546">
        <v>0.33992331158811</v>
      </c>
      <c r="H546">
        <v>0.37914527107105</v>
      </c>
      <c r="I546">
        <v>0.259655793887381</v>
      </c>
      <c r="J546">
        <v>0.248743220440546</v>
      </c>
      <c r="K546">
        <v>0.188400578702206</v>
      </c>
      <c r="L546">
        <v>394.651032753095</v>
      </c>
      <c r="M546">
        <v>7.78473618453494</v>
      </c>
      <c r="N546">
        <v>51.8044454823819</v>
      </c>
      <c r="O546">
        <v>47.6763635846143</v>
      </c>
      <c r="P546">
        <v>-0.0377349378206957</v>
      </c>
      <c r="Q546">
        <v>0.0767497508846622</v>
      </c>
      <c r="R546">
        <v>0.96467042513562</v>
      </c>
      <c r="S546" t="s">
        <v>2214</v>
      </c>
      <c r="T546" t="s">
        <v>3312</v>
      </c>
      <c r="U546" t="s">
        <v>3312</v>
      </c>
      <c r="V546" t="s">
        <v>3312</v>
      </c>
      <c r="W546" t="s">
        <v>3857</v>
      </c>
      <c r="X546">
        <v>1</v>
      </c>
      <c r="Y546" t="s">
        <v>5497</v>
      </c>
      <c r="Z546" t="s">
        <v>7139</v>
      </c>
      <c r="AA546">
        <v>0.532570182627679</v>
      </c>
      <c r="AB546">
        <f>HYPERLINK("Melting_Curves/meltCurve_P0ABL5_napC.pdf", "Melting_Curves/meltCurve_P0ABL5_napC.pdf")</f>
        <v>0</v>
      </c>
    </row>
    <row r="547" spans="1:28">
      <c r="A547" t="s">
        <v>573</v>
      </c>
      <c r="B547">
        <v>0.999984544473304</v>
      </c>
      <c r="C547">
        <v>1.02506166796619</v>
      </c>
      <c r="D547">
        <v>0.753028373044807</v>
      </c>
      <c r="E547">
        <v>0.915512379124358</v>
      </c>
      <c r="F547">
        <v>0.872139597493253</v>
      </c>
      <c r="G547">
        <v>0.6813514762699771</v>
      </c>
      <c r="H547">
        <v>0.587386346225967</v>
      </c>
      <c r="I547">
        <v>0.417998722549308</v>
      </c>
      <c r="J547">
        <v>0.254519126979553</v>
      </c>
      <c r="K547">
        <v>0.205165278990119</v>
      </c>
      <c r="L547">
        <v>557.322370156632</v>
      </c>
      <c r="M547">
        <v>9.54266402676916</v>
      </c>
      <c r="N547">
        <v>58.4032417124026</v>
      </c>
      <c r="O547">
        <v>56.0110908723819</v>
      </c>
      <c r="P547">
        <v>-0.042617509510651</v>
      </c>
      <c r="Q547">
        <v>0</v>
      </c>
      <c r="R547">
        <v>0.931520211312627</v>
      </c>
      <c r="S547" t="s">
        <v>2215</v>
      </c>
      <c r="T547" t="s">
        <v>3312</v>
      </c>
      <c r="U547" t="s">
        <v>3312</v>
      </c>
      <c r="V547" t="s">
        <v>3312</v>
      </c>
      <c r="W547" t="s">
        <v>3858</v>
      </c>
      <c r="X547">
        <v>3</v>
      </c>
      <c r="Y547" t="s">
        <v>5498</v>
      </c>
      <c r="Z547" t="s">
        <v>7140</v>
      </c>
      <c r="AA547">
        <v>0.6990300056035719</v>
      </c>
      <c r="AB547">
        <f>HYPERLINK("Melting_Curves/meltCurve_P0ABN1_dgkA.pdf", "Melting_Curves/meltCurve_P0ABN1_dgkA.pdf")</f>
        <v>0</v>
      </c>
    </row>
    <row r="548" spans="1:28">
      <c r="A548" t="s">
        <v>574</v>
      </c>
      <c r="B548">
        <v>0.999984544473304</v>
      </c>
      <c r="C548">
        <v>1.16974055663021</v>
      </c>
      <c r="D548">
        <v>0.508025396877852</v>
      </c>
      <c r="E548">
        <v>0.254125371571923</v>
      </c>
      <c r="F548">
        <v>0.111905192638201</v>
      </c>
      <c r="G548">
        <v>0.0570455820364328</v>
      </c>
      <c r="H548">
        <v>0.0445331548698752</v>
      </c>
      <c r="I548">
        <v>0.0411794473138724</v>
      </c>
      <c r="J548">
        <v>0.0240651222419594</v>
      </c>
      <c r="K548">
        <v>0.0218030195441325</v>
      </c>
      <c r="L548">
        <v>10744.0890991092</v>
      </c>
      <c r="M548">
        <v>250</v>
      </c>
      <c r="N548">
        <v>43.0060376228826</v>
      </c>
      <c r="O548">
        <v>42.9736062161998</v>
      </c>
      <c r="P548">
        <v>-1.33914073541765</v>
      </c>
      <c r="Q548">
        <v>0.07923669542970969</v>
      </c>
      <c r="R548">
        <v>0.958026545244393</v>
      </c>
      <c r="S548" t="s">
        <v>2216</v>
      </c>
      <c r="T548" t="s">
        <v>3312</v>
      </c>
      <c r="U548" t="s">
        <v>3312</v>
      </c>
      <c r="V548" t="s">
        <v>3312</v>
      </c>
      <c r="W548" t="s">
        <v>3859</v>
      </c>
      <c r="X548">
        <v>2</v>
      </c>
      <c r="Y548" t="s">
        <v>5499</v>
      </c>
      <c r="Z548" t="s">
        <v>7141</v>
      </c>
      <c r="AA548">
        <v>0.2627331308390902</v>
      </c>
      <c r="AB548">
        <f>HYPERLINK("Melting_Curves/meltCurve_P0ABN5_dcuA.pdf", "Melting_Curves/meltCurve_P0ABN5_dcuA.pdf")</f>
        <v>0</v>
      </c>
    </row>
    <row r="549" spans="1:28">
      <c r="A549" t="s">
        <v>575</v>
      </c>
      <c r="B549">
        <v>0.999984544473304</v>
      </c>
      <c r="C549">
        <v>0.7962095428371549</v>
      </c>
      <c r="D549">
        <v>1.12707453634647</v>
      </c>
      <c r="E549">
        <v>0.859539285891703</v>
      </c>
      <c r="F549">
        <v>0.885833278367322</v>
      </c>
      <c r="G549">
        <v>0.87168415178549</v>
      </c>
      <c r="H549">
        <v>0.574117670256558</v>
      </c>
      <c r="I549">
        <v>0.550779524716845</v>
      </c>
      <c r="J549">
        <v>0.355159218565955</v>
      </c>
      <c r="K549">
        <v>0.0748875015289262</v>
      </c>
      <c r="L549">
        <v>791.194030446339</v>
      </c>
      <c r="M549">
        <v>13.1709883703747</v>
      </c>
      <c r="N549">
        <v>60.0709721047219</v>
      </c>
      <c r="O549">
        <v>58.7368273454082</v>
      </c>
      <c r="P549">
        <v>-0.0560687410170198</v>
      </c>
      <c r="Q549">
        <v>0</v>
      </c>
      <c r="R549">
        <v>0.878046479070112</v>
      </c>
      <c r="S549" t="s">
        <v>2217</v>
      </c>
      <c r="T549" t="s">
        <v>3312</v>
      </c>
      <c r="U549" t="s">
        <v>3312</v>
      </c>
      <c r="V549" t="s">
        <v>3312</v>
      </c>
      <c r="W549" t="s">
        <v>3860</v>
      </c>
      <c r="X549">
        <v>10</v>
      </c>
      <c r="Y549" t="s">
        <v>5500</v>
      </c>
      <c r="Z549" t="s">
        <v>7142</v>
      </c>
      <c r="AA549">
        <v>0.756632485180842</v>
      </c>
      <c r="AB549">
        <f>HYPERLINK("Melting_Curves/meltCurve_P0ABP8_deoD.pdf", "Melting_Curves/meltCurve_P0ABP8_deoD.pdf")</f>
        <v>0</v>
      </c>
    </row>
    <row r="550" spans="1:28">
      <c r="A550" t="s">
        <v>576</v>
      </c>
      <c r="B550">
        <v>0.999984544473304</v>
      </c>
      <c r="C550">
        <v>1.83215623536276</v>
      </c>
      <c r="D550">
        <v>1.58315849661071</v>
      </c>
      <c r="E550">
        <v>1.78933672587402</v>
      </c>
      <c r="F550">
        <v>0.252309984783726</v>
      </c>
      <c r="G550">
        <v>0.0983111367536339</v>
      </c>
      <c r="H550">
        <v>0.06630909856348841</v>
      </c>
      <c r="I550">
        <v>0.0474201798415591</v>
      </c>
      <c r="J550">
        <v>0.0304870175171128</v>
      </c>
      <c r="K550">
        <v>0.0277487605496326</v>
      </c>
      <c r="L550">
        <v>12483.3627631035</v>
      </c>
      <c r="M550">
        <v>250</v>
      </c>
      <c r="N550">
        <v>49.956313675512</v>
      </c>
      <c r="O550">
        <v>49.9302719728799</v>
      </c>
      <c r="P550">
        <v>-1.18408263482512</v>
      </c>
      <c r="Q550">
        <v>0.0540552209861083</v>
      </c>
      <c r="R550">
        <v>0.704854952304195</v>
      </c>
      <c r="S550" t="s">
        <v>2218</v>
      </c>
      <c r="T550" t="s">
        <v>3312</v>
      </c>
      <c r="U550" t="s">
        <v>3312</v>
      </c>
      <c r="V550" t="s">
        <v>3312</v>
      </c>
      <c r="W550" t="s">
        <v>3861</v>
      </c>
      <c r="X550">
        <v>5</v>
      </c>
      <c r="Y550" t="s">
        <v>5501</v>
      </c>
      <c r="Z550" t="s">
        <v>7143</v>
      </c>
      <c r="AA550">
        <v>0.4619491330139872</v>
      </c>
      <c r="AB550">
        <f>HYPERLINK("Melting_Curves/meltCurve_P0ABQ0_coaBC.pdf", "Melting_Curves/meltCurve_P0ABQ0_coaBC.pdf")</f>
        <v>0</v>
      </c>
    </row>
    <row r="551" spans="1:28">
      <c r="A551" t="s">
        <v>577</v>
      </c>
      <c r="B551">
        <v>0.999984544473304</v>
      </c>
      <c r="C551">
        <v>0.804933458712994</v>
      </c>
      <c r="D551">
        <v>0.895867008621666</v>
      </c>
      <c r="E551">
        <v>0.903117981828097</v>
      </c>
      <c r="F551">
        <v>0.912763258116521</v>
      </c>
      <c r="G551">
        <v>0.498849171460196</v>
      </c>
      <c r="H551">
        <v>0.22540020997755</v>
      </c>
      <c r="I551">
        <v>0.08984175358189669</v>
      </c>
      <c r="J551">
        <v>0.06333813412344701</v>
      </c>
      <c r="K551">
        <v>0.0485944684204222</v>
      </c>
      <c r="L551">
        <v>1351.20178478234</v>
      </c>
      <c r="M551">
        <v>25.1132040167585</v>
      </c>
      <c r="N551">
        <v>54.0110384401278</v>
      </c>
      <c r="O551">
        <v>53.466749358161</v>
      </c>
      <c r="P551">
        <v>-0.112048197713376</v>
      </c>
      <c r="Q551">
        <v>0.0457969818662447</v>
      </c>
      <c r="R551">
        <v>0.9602649410046949</v>
      </c>
      <c r="S551" t="s">
        <v>2219</v>
      </c>
      <c r="T551" t="s">
        <v>3312</v>
      </c>
      <c r="U551" t="s">
        <v>3312</v>
      </c>
      <c r="V551" t="s">
        <v>3312</v>
      </c>
      <c r="W551" t="s">
        <v>3862</v>
      </c>
      <c r="X551">
        <v>6</v>
      </c>
      <c r="Y551" t="s">
        <v>5502</v>
      </c>
      <c r="Z551" t="s">
        <v>7144</v>
      </c>
      <c r="AA551">
        <v>0.5885882392509582</v>
      </c>
      <c r="AB551">
        <f>HYPERLINK("Melting_Curves/meltCurve_P0ABQ2_garR.pdf", "Melting_Curves/meltCurve_P0ABQ2_garR.pdf")</f>
        <v>0</v>
      </c>
    </row>
    <row r="552" spans="1:28">
      <c r="A552" t="s">
        <v>578</v>
      </c>
      <c r="B552">
        <v>0.999984544473304</v>
      </c>
      <c r="C552">
        <v>1.10871860240563</v>
      </c>
      <c r="D552">
        <v>0.890520494486606</v>
      </c>
      <c r="E552">
        <v>0.843196179786632</v>
      </c>
      <c r="F552">
        <v>0.429533553935235</v>
      </c>
      <c r="G552">
        <v>0.167272980509325</v>
      </c>
      <c r="H552">
        <v>0.138390660040509</v>
      </c>
      <c r="I552">
        <v>0.0984930145644401</v>
      </c>
      <c r="J552">
        <v>0.09384201348912539</v>
      </c>
      <c r="K552">
        <v>0.112909642504309</v>
      </c>
      <c r="L552">
        <v>1285.56467147452</v>
      </c>
      <c r="M552">
        <v>26.161487536893</v>
      </c>
      <c r="N552">
        <v>49.5632221604392</v>
      </c>
      <c r="O552">
        <v>48.8551650417573</v>
      </c>
      <c r="P552">
        <v>-0.120461669845568</v>
      </c>
      <c r="Q552">
        <v>0.100187466094262</v>
      </c>
      <c r="R552">
        <v>0.986780695483455</v>
      </c>
      <c r="S552" t="s">
        <v>2220</v>
      </c>
      <c r="T552" t="s">
        <v>3312</v>
      </c>
      <c r="U552" t="s">
        <v>3312</v>
      </c>
      <c r="V552" t="s">
        <v>3312</v>
      </c>
      <c r="W552" t="s">
        <v>3863</v>
      </c>
      <c r="X552">
        <v>2</v>
      </c>
      <c r="Y552" t="s">
        <v>5503</v>
      </c>
      <c r="Z552" t="s">
        <v>7145</v>
      </c>
      <c r="AA552">
        <v>0.4714293873470483</v>
      </c>
      <c r="AB552">
        <f>HYPERLINK("Melting_Curves/meltCurve_P0ABQ4_folA.pdf", "Melting_Curves/meltCurve_P0ABQ4_folA.pdf")</f>
        <v>0</v>
      </c>
    </row>
    <row r="553" spans="1:28">
      <c r="A553" t="s">
        <v>579</v>
      </c>
      <c r="B553">
        <v>0.999984544473304</v>
      </c>
      <c r="C553">
        <v>0.900812684014068</v>
      </c>
      <c r="D553">
        <v>1.05849742473032</v>
      </c>
      <c r="E553">
        <v>1.38110094566882</v>
      </c>
      <c r="F553">
        <v>1.17580787924919</v>
      </c>
      <c r="G553">
        <v>1.14437433644124</v>
      </c>
      <c r="H553">
        <v>1.12335176809448</v>
      </c>
      <c r="I553">
        <v>1.13168628921152</v>
      </c>
      <c r="J553">
        <v>0.663285283570082</v>
      </c>
      <c r="K553">
        <v>0.731495812103784</v>
      </c>
      <c r="L553">
        <v>15000</v>
      </c>
      <c r="M553">
        <v>239.28844942337</v>
      </c>
      <c r="O553">
        <v>62.6814652369235</v>
      </c>
      <c r="P553">
        <v>-0.289369653066337</v>
      </c>
      <c r="Q553">
        <v>0.696799142055839</v>
      </c>
      <c r="R553">
        <v>0.413948351863867</v>
      </c>
      <c r="S553" t="s">
        <v>2221</v>
      </c>
      <c r="T553" t="s">
        <v>3312</v>
      </c>
      <c r="U553" t="s">
        <v>3312</v>
      </c>
      <c r="V553" t="s">
        <v>3312</v>
      </c>
      <c r="W553" t="s">
        <v>3864</v>
      </c>
      <c r="X553">
        <v>4</v>
      </c>
      <c r="Y553" t="s">
        <v>5504</v>
      </c>
      <c r="Z553" t="s">
        <v>7146</v>
      </c>
      <c r="AA553">
        <v>0.9564346162749281</v>
      </c>
      <c r="AB553">
        <f>HYPERLINK("Melting_Curves/meltCurve_P0ABS1_dksA.pdf", "Melting_Curves/meltCurve_P0ABS1_dksA.pdf")</f>
        <v>0</v>
      </c>
    </row>
    <row r="554" spans="1:28">
      <c r="A554" t="s">
        <v>580</v>
      </c>
      <c r="B554">
        <v>0.999984544473304</v>
      </c>
      <c r="C554">
        <v>1.10115856556272</v>
      </c>
      <c r="D554">
        <v>0.576132067884348</v>
      </c>
      <c r="E554">
        <v>0.168672492479141</v>
      </c>
      <c r="F554">
        <v>0.07217715946509511</v>
      </c>
      <c r="G554">
        <v>0</v>
      </c>
      <c r="H554">
        <v>0.0437967012856753</v>
      </c>
      <c r="I554">
        <v>0.0329433640528171</v>
      </c>
      <c r="J554">
        <v>0</v>
      </c>
      <c r="K554">
        <v>0</v>
      </c>
      <c r="L554">
        <v>1579.2927463669</v>
      </c>
      <c r="M554">
        <v>36.3075477447312</v>
      </c>
      <c r="N554">
        <v>43.57329744009</v>
      </c>
      <c r="O554">
        <v>43.3663193944994</v>
      </c>
      <c r="P554">
        <v>-0.202914260152403</v>
      </c>
      <c r="Q554">
        <v>0.0305467228683438</v>
      </c>
      <c r="R554">
        <v>0.983462992683711</v>
      </c>
      <c r="S554" t="s">
        <v>2222</v>
      </c>
      <c r="T554" t="s">
        <v>3312</v>
      </c>
      <c r="U554" t="s">
        <v>3312</v>
      </c>
      <c r="V554" t="s">
        <v>3312</v>
      </c>
      <c r="W554" t="s">
        <v>3865</v>
      </c>
      <c r="X554">
        <v>1</v>
      </c>
      <c r="Y554" t="s">
        <v>5505</v>
      </c>
      <c r="Z554" t="s">
        <v>7147</v>
      </c>
      <c r="AA554">
        <v>0.2441096608933776</v>
      </c>
      <c r="AB554">
        <f>HYPERLINK("Melting_Curves/meltCurve_P0ABS5_dnaG.pdf", "Melting_Curves/meltCurve_P0ABS5_dnaG.pdf")</f>
        <v>0</v>
      </c>
    </row>
    <row r="555" spans="1:28">
      <c r="A555" t="s">
        <v>581</v>
      </c>
      <c r="B555">
        <v>0.999984544473304</v>
      </c>
      <c r="C555">
        <v>0.654325965855591</v>
      </c>
      <c r="D555">
        <v>0.918267576895554</v>
      </c>
      <c r="E555">
        <v>1.19893365800393</v>
      </c>
      <c r="F555">
        <v>2.54926115229871</v>
      </c>
      <c r="G555">
        <v>2.71970716652019</v>
      </c>
      <c r="H555">
        <v>3.89285305316012</v>
      </c>
      <c r="I555">
        <v>0.9371123378706</v>
      </c>
      <c r="J555">
        <v>0.64325653102615</v>
      </c>
      <c r="K555">
        <v>0.5615420940447819</v>
      </c>
      <c r="L555">
        <v>5355.12800762931</v>
      </c>
      <c r="M555">
        <v>85.2284614479675</v>
      </c>
      <c r="O555">
        <v>62.7980379228217</v>
      </c>
      <c r="P555">
        <v>-0.147263045707901</v>
      </c>
      <c r="Q555">
        <v>0.565974459832478</v>
      </c>
      <c r="R555">
        <v>-0.193672694378143</v>
      </c>
      <c r="S555" t="s">
        <v>2223</v>
      </c>
      <c r="T555" t="s">
        <v>3312</v>
      </c>
      <c r="U555" t="s">
        <v>3312</v>
      </c>
      <c r="V555" t="s">
        <v>3312</v>
      </c>
      <c r="W555" t="s">
        <v>3866</v>
      </c>
      <c r="X555">
        <v>11</v>
      </c>
      <c r="Y555" t="s">
        <v>5506</v>
      </c>
      <c r="Z555" t="s">
        <v>7148</v>
      </c>
      <c r="AA555">
        <v>0.9400590440667187</v>
      </c>
      <c r="AB555">
        <f>HYPERLINK("Melting_Curves/meltCurve_P0ABT2_dps.pdf", "Melting_Curves/meltCurve_P0ABT2_dps.pdf")</f>
        <v>0</v>
      </c>
    </row>
    <row r="556" spans="1:28">
      <c r="A556" t="s">
        <v>582</v>
      </c>
      <c r="B556">
        <v>0.999984544473304</v>
      </c>
      <c r="C556">
        <v>0.980014756319156</v>
      </c>
      <c r="D556">
        <v>1.32310638019993</v>
      </c>
      <c r="E556">
        <v>0.9150742268204</v>
      </c>
      <c r="F556">
        <v>0.380278570442682</v>
      </c>
      <c r="G556">
        <v>0.100510594716703</v>
      </c>
      <c r="H556">
        <v>0.0597004605225645</v>
      </c>
      <c r="I556">
        <v>0.0390390725209731</v>
      </c>
      <c r="J556">
        <v>0.0303640429869046</v>
      </c>
      <c r="K556">
        <v>0.0376266929156032</v>
      </c>
      <c r="L556">
        <v>2014.31895637329</v>
      </c>
      <c r="M556">
        <v>40.7286832673204</v>
      </c>
      <c r="N556">
        <v>49.5724461241867</v>
      </c>
      <c r="O556">
        <v>49.3382359781897</v>
      </c>
      <c r="P556">
        <v>-0.197038175292663</v>
      </c>
      <c r="Q556">
        <v>0.0452432603535704</v>
      </c>
      <c r="R556">
        <v>0.954245789830885</v>
      </c>
      <c r="S556" t="s">
        <v>2224</v>
      </c>
      <c r="T556" t="s">
        <v>3312</v>
      </c>
      <c r="U556" t="s">
        <v>3312</v>
      </c>
      <c r="V556" t="s">
        <v>3312</v>
      </c>
      <c r="W556" t="s">
        <v>3867</v>
      </c>
      <c r="X556">
        <v>7</v>
      </c>
      <c r="Y556" t="s">
        <v>5507</v>
      </c>
      <c r="Z556" t="s">
        <v>7149</v>
      </c>
      <c r="AA556">
        <v>0.4448368003205617</v>
      </c>
      <c r="AB556">
        <f>HYPERLINK("Melting_Curves/meltCurve_P0ABU0_menB.pdf", "Melting_Curves/meltCurve_P0ABU0_menB.pdf")</f>
        <v>0</v>
      </c>
    </row>
    <row r="557" spans="1:28">
      <c r="A557" t="s">
        <v>583</v>
      </c>
      <c r="B557">
        <v>0.999984544473304</v>
      </c>
      <c r="C557">
        <v>0.705438356079121</v>
      </c>
      <c r="D557">
        <v>0.356322301486485</v>
      </c>
      <c r="E557">
        <v>0.124872095902517</v>
      </c>
      <c r="F557">
        <v>0.0720070700976696</v>
      </c>
      <c r="G557">
        <v>0.0475000289535257</v>
      </c>
      <c r="H557">
        <v>0.039095004657831</v>
      </c>
      <c r="I557">
        <v>0.0342469412005159</v>
      </c>
      <c r="J557">
        <v>0.0257000710329343</v>
      </c>
      <c r="K557">
        <v>0.0297599839050783</v>
      </c>
      <c r="L557">
        <v>931.382740051061</v>
      </c>
      <c r="M557">
        <v>22.3916048854953</v>
      </c>
      <c r="N557">
        <v>41.7407849119686</v>
      </c>
      <c r="O557">
        <v>41.2676874389711</v>
      </c>
      <c r="P557">
        <v>-0.130555066735774</v>
      </c>
      <c r="Q557">
        <v>0.0375692277877573</v>
      </c>
      <c r="R557">
        <v>0.995851414060247</v>
      </c>
      <c r="S557" t="s">
        <v>2225</v>
      </c>
      <c r="T557" t="s">
        <v>3312</v>
      </c>
      <c r="U557" t="s">
        <v>3312</v>
      </c>
      <c r="V557" t="s">
        <v>3312</v>
      </c>
      <c r="W557" t="s">
        <v>3868</v>
      </c>
      <c r="X557">
        <v>9</v>
      </c>
      <c r="Y557" t="s">
        <v>5508</v>
      </c>
      <c r="Z557" t="s">
        <v>7150</v>
      </c>
      <c r="AA557">
        <v>0.1965945404270642</v>
      </c>
      <c r="AB557">
        <f>HYPERLINK("Melting_Curves/meltCurve_P0ABU2_ychF.pdf", "Melting_Curves/meltCurve_P0ABU2_ychF.pdf")</f>
        <v>0</v>
      </c>
    </row>
    <row r="558" spans="1:28">
      <c r="A558" t="s">
        <v>584</v>
      </c>
      <c r="B558">
        <v>0.999984544473304</v>
      </c>
      <c r="C558">
        <v>0.862177406938207</v>
      </c>
      <c r="D558">
        <v>0.937976470901273</v>
      </c>
      <c r="E558">
        <v>0.981931012433552</v>
      </c>
      <c r="F558">
        <v>1.10851543930195</v>
      </c>
      <c r="G558">
        <v>0.941247551455008</v>
      </c>
      <c r="H558">
        <v>0.9558235910135729</v>
      </c>
      <c r="I558">
        <v>0.859749451080182</v>
      </c>
      <c r="J558">
        <v>0.707359210770459</v>
      </c>
      <c r="K558">
        <v>0.71422469205195</v>
      </c>
      <c r="L558">
        <v>2016.19403778007</v>
      </c>
      <c r="M558">
        <v>33.047019142783</v>
      </c>
      <c r="O558">
        <v>60.7877779835631</v>
      </c>
      <c r="P558">
        <v>-0.0432430529441573</v>
      </c>
      <c r="Q558">
        <v>0.681830720403926</v>
      </c>
      <c r="R558">
        <v>0.7190500888782</v>
      </c>
      <c r="S558" t="s">
        <v>2226</v>
      </c>
      <c r="T558" t="s">
        <v>3312</v>
      </c>
      <c r="U558" t="s">
        <v>3312</v>
      </c>
      <c r="V558" t="s">
        <v>3312</v>
      </c>
      <c r="W558" t="s">
        <v>3869</v>
      </c>
      <c r="X558">
        <v>6</v>
      </c>
      <c r="Y558" t="s">
        <v>5509</v>
      </c>
      <c r="Z558" t="s">
        <v>7151</v>
      </c>
      <c r="AA558">
        <v>0.9371558820786442</v>
      </c>
      <c r="AB558">
        <f>HYPERLINK("Melting_Curves/meltCurve_P0ABU5_elbB.pdf", "Melting_Curves/meltCurve_P0ABU5_elbB.pdf")</f>
        <v>0</v>
      </c>
    </row>
    <row r="559" spans="1:28">
      <c r="A559" t="s">
        <v>585</v>
      </c>
      <c r="B559">
        <v>0.999984544473304</v>
      </c>
      <c r="C559">
        <v>0.9475626401589911</v>
      </c>
      <c r="D559">
        <v>1.12349167235775</v>
      </c>
      <c r="E559">
        <v>1.00288990758874</v>
      </c>
      <c r="F559">
        <v>0.903335061846044</v>
      </c>
      <c r="G559">
        <v>0.794060773513058</v>
      </c>
      <c r="H559">
        <v>0.7924543798496479</v>
      </c>
      <c r="I559">
        <v>0.788548437126118</v>
      </c>
      <c r="J559">
        <v>0.681648031748046</v>
      </c>
      <c r="K559">
        <v>0.533168299739447</v>
      </c>
      <c r="L559">
        <v>456.50124375255</v>
      </c>
      <c r="M559">
        <v>6.5111454752549</v>
      </c>
      <c r="O559">
        <v>64.37792057214629</v>
      </c>
      <c r="P559">
        <v>-0.0253458828146499</v>
      </c>
      <c r="Q559">
        <v>0</v>
      </c>
      <c r="R559">
        <v>0.860235881217801</v>
      </c>
      <c r="S559" t="s">
        <v>2227</v>
      </c>
      <c r="T559" t="s">
        <v>3312</v>
      </c>
      <c r="U559" t="s">
        <v>3312</v>
      </c>
      <c r="V559" t="s">
        <v>3312</v>
      </c>
      <c r="W559" t="s">
        <v>3870</v>
      </c>
      <c r="X559">
        <v>2</v>
      </c>
      <c r="Y559" t="s">
        <v>5510</v>
      </c>
      <c r="Z559" t="s">
        <v>7152</v>
      </c>
      <c r="AA559">
        <v>0.861432899242367</v>
      </c>
      <c r="AB559">
        <f>HYPERLINK("Melting_Curves/meltCurve_P0ABU7_exbB.pdf", "Melting_Curves/meltCurve_P0ABU7_exbB.pdf")</f>
        <v>0</v>
      </c>
    </row>
    <row r="560" spans="1:28">
      <c r="A560" t="s">
        <v>586</v>
      </c>
      <c r="B560">
        <v>0.999984544473304</v>
      </c>
      <c r="C560">
        <v>0.817087981749421</v>
      </c>
      <c r="D560">
        <v>0.844839904687369</v>
      </c>
      <c r="E560">
        <v>0.750794072231623</v>
      </c>
      <c r="F560">
        <v>0.66606243921599</v>
      </c>
      <c r="G560">
        <v>0.500169666226368</v>
      </c>
      <c r="H560">
        <v>0.441047674430091</v>
      </c>
      <c r="I560">
        <v>0.400271546784713</v>
      </c>
      <c r="J560">
        <v>0.347993869880371</v>
      </c>
      <c r="K560">
        <v>0.342759641423571</v>
      </c>
      <c r="L560">
        <v>353.186931507486</v>
      </c>
      <c r="M560">
        <v>6.87500892932975</v>
      </c>
      <c r="N560">
        <v>55.2563571281122</v>
      </c>
      <c r="O560">
        <v>47.5532647946842</v>
      </c>
      <c r="P560">
        <v>-0.029276338315056</v>
      </c>
      <c r="Q560">
        <v>0.191603145169871</v>
      </c>
      <c r="R560">
        <v>0.972891600127374</v>
      </c>
      <c r="S560" t="s">
        <v>2228</v>
      </c>
      <c r="T560" t="s">
        <v>3312</v>
      </c>
      <c r="U560" t="s">
        <v>3312</v>
      </c>
      <c r="V560" t="s">
        <v>3312</v>
      </c>
      <c r="W560" t="s">
        <v>3871</v>
      </c>
      <c r="X560">
        <v>3</v>
      </c>
      <c r="Y560" t="s">
        <v>5511</v>
      </c>
      <c r="Z560" t="s">
        <v>7153</v>
      </c>
      <c r="AA560">
        <v>0.6062956076098057</v>
      </c>
      <c r="AB560">
        <f>HYPERLINK("Melting_Curves/meltCurve_P0ABU9_tolQ.pdf", "Melting_Curves/meltCurve_P0ABU9_tolQ.pdf")</f>
        <v>0</v>
      </c>
    </row>
    <row r="561" spans="1:28">
      <c r="A561" t="s">
        <v>587</v>
      </c>
      <c r="B561">
        <v>0.999984544473304</v>
      </c>
      <c r="C561">
        <v>1.0276818589019</v>
      </c>
      <c r="D561">
        <v>0.639384036541855</v>
      </c>
      <c r="E561">
        <v>0.926213426755862</v>
      </c>
      <c r="F561">
        <v>0.825776615590928</v>
      </c>
      <c r="G561">
        <v>0.711909364818161</v>
      </c>
      <c r="H561">
        <v>0.620786824150818</v>
      </c>
      <c r="I561">
        <v>0.535364534950114</v>
      </c>
      <c r="J561">
        <v>0.4077199145469</v>
      </c>
      <c r="K561">
        <v>0.495223969879485</v>
      </c>
      <c r="L561">
        <v>288.282889066264</v>
      </c>
      <c r="M561">
        <v>4.54097990739375</v>
      </c>
      <c r="N561">
        <v>63.4847416059705</v>
      </c>
      <c r="O561">
        <v>54.0869818917239</v>
      </c>
      <c r="P561">
        <v>-0.0211673553258345</v>
      </c>
      <c r="Q561">
        <v>0</v>
      </c>
      <c r="R561">
        <v>0.771634517184579</v>
      </c>
      <c r="S561" t="s">
        <v>2229</v>
      </c>
      <c r="T561" t="s">
        <v>3312</v>
      </c>
      <c r="U561" t="s">
        <v>3312</v>
      </c>
      <c r="V561" t="s">
        <v>3312</v>
      </c>
      <c r="W561" t="s">
        <v>3872</v>
      </c>
      <c r="X561">
        <v>1</v>
      </c>
      <c r="Y561" t="s">
        <v>5512</v>
      </c>
      <c r="Z561" t="s">
        <v>7154</v>
      </c>
      <c r="AA561">
        <v>0.722009398392561</v>
      </c>
      <c r="AB561">
        <f>HYPERLINK("Melting_Curves/meltCurve_P0ABV2_exbD.pdf", "Melting_Curves/meltCurve_P0ABV2_exbD.pdf")</f>
        <v>0</v>
      </c>
    </row>
    <row r="562" spans="1:28">
      <c r="A562" t="s">
        <v>588</v>
      </c>
      <c r="B562">
        <v>0.999984544473304</v>
      </c>
      <c r="C562">
        <v>0.809904027301118</v>
      </c>
      <c r="D562">
        <v>0.804952870763157</v>
      </c>
      <c r="E562">
        <v>0.527071976581328</v>
      </c>
      <c r="F562">
        <v>0.645395745076126</v>
      </c>
      <c r="G562">
        <v>0.411589332224572</v>
      </c>
      <c r="H562">
        <v>0.292118269407808</v>
      </c>
      <c r="I562">
        <v>0.338595659857735</v>
      </c>
      <c r="J562">
        <v>0.261999341852498</v>
      </c>
      <c r="K562">
        <v>0.169732701120688</v>
      </c>
      <c r="L562">
        <v>336.271706509816</v>
      </c>
      <c r="M562">
        <v>6.706544339795</v>
      </c>
      <c r="N562">
        <v>51.1943359736631</v>
      </c>
      <c r="O562">
        <v>46.2470770072084</v>
      </c>
      <c r="P562">
        <v>-0.0339906500441355</v>
      </c>
      <c r="Q562">
        <v>0.06445549968992589</v>
      </c>
      <c r="R562">
        <v>0.933541822379669</v>
      </c>
      <c r="S562" t="s">
        <v>2230</v>
      </c>
      <c r="T562" t="s">
        <v>3312</v>
      </c>
      <c r="U562" t="s">
        <v>3312</v>
      </c>
      <c r="V562" t="s">
        <v>3312</v>
      </c>
      <c r="W562" t="s">
        <v>3873</v>
      </c>
      <c r="X562">
        <v>1</v>
      </c>
      <c r="Y562" t="s">
        <v>5513</v>
      </c>
      <c r="Z562" t="s">
        <v>7155</v>
      </c>
      <c r="AA562">
        <v>0.515686908722058</v>
      </c>
      <c r="AB562">
        <f>HYPERLINK("Melting_Curves/meltCurve_P0ABV6_tolR.pdf", "Melting_Curves/meltCurve_P0ABV6_tolR.pdf")</f>
        <v>0</v>
      </c>
    </row>
    <row r="563" spans="1:28">
      <c r="A563" t="s">
        <v>589</v>
      </c>
      <c r="B563">
        <v>0.999984544473304</v>
      </c>
      <c r="C563">
        <v>0.807334519896193</v>
      </c>
      <c r="D563">
        <v>1.05842165909194</v>
      </c>
      <c r="E563">
        <v>0.7088831859814561</v>
      </c>
      <c r="F563">
        <v>0.427126520422948</v>
      </c>
      <c r="G563">
        <v>0.244020561904774</v>
      </c>
      <c r="H563">
        <v>0.301110047433198</v>
      </c>
      <c r="I563">
        <v>0.197050504381833</v>
      </c>
      <c r="J563">
        <v>0.236418702155592</v>
      </c>
      <c r="K563">
        <v>0.19405841766687</v>
      </c>
      <c r="L563">
        <v>1213.88188138799</v>
      </c>
      <c r="M563">
        <v>25.3607640305838</v>
      </c>
      <c r="N563">
        <v>49.0151868960136</v>
      </c>
      <c r="O563">
        <v>47.5699328702775</v>
      </c>
      <c r="P563">
        <v>-0.103386406164613</v>
      </c>
      <c r="Q563">
        <v>0.224310144551356</v>
      </c>
      <c r="R563">
        <v>0.949526305312982</v>
      </c>
      <c r="S563" t="s">
        <v>2231</v>
      </c>
      <c r="T563" t="s">
        <v>3312</v>
      </c>
      <c r="U563" t="s">
        <v>3312</v>
      </c>
      <c r="V563" t="s">
        <v>3312</v>
      </c>
      <c r="W563" t="s">
        <v>3874</v>
      </c>
      <c r="X563">
        <v>1</v>
      </c>
      <c r="Y563" t="s">
        <v>5514</v>
      </c>
      <c r="Z563" t="s">
        <v>7156</v>
      </c>
      <c r="AA563">
        <v>0.5116400989483297</v>
      </c>
      <c r="AB563">
        <f>HYPERLINK("Melting_Curves/meltCurve_P0ABY4_fldB.pdf", "Melting_Curves/meltCurve_P0ABY4_fldB.pdf")</f>
        <v>0</v>
      </c>
    </row>
    <row r="564" spans="1:28">
      <c r="A564" t="s">
        <v>590</v>
      </c>
      <c r="B564">
        <v>0.999984544473304</v>
      </c>
      <c r="C564">
        <v>0.7679030035608519</v>
      </c>
      <c r="D564">
        <v>1.0207046809605</v>
      </c>
      <c r="E564">
        <v>0.7592130998589141</v>
      </c>
      <c r="F564">
        <v>0.812008960329181</v>
      </c>
      <c r="G564">
        <v>0.648733679859972</v>
      </c>
      <c r="H564">
        <v>0.536043263984249</v>
      </c>
      <c r="I564">
        <v>0.477353169265376</v>
      </c>
      <c r="J564">
        <v>0.354772472228261</v>
      </c>
      <c r="K564">
        <v>0.300769465179206</v>
      </c>
      <c r="L564">
        <v>363.487923554164</v>
      </c>
      <c r="M564">
        <v>6.16594678581845</v>
      </c>
      <c r="N564">
        <v>58.9508523489885</v>
      </c>
      <c r="O564">
        <v>53.6552590821099</v>
      </c>
      <c r="P564">
        <v>-0.028813846371307</v>
      </c>
      <c r="Q564">
        <v>0</v>
      </c>
      <c r="R564">
        <v>0.894939452396776</v>
      </c>
      <c r="S564" t="s">
        <v>2232</v>
      </c>
      <c r="T564" t="s">
        <v>3312</v>
      </c>
      <c r="U564" t="s">
        <v>3312</v>
      </c>
      <c r="V564" t="s">
        <v>3312</v>
      </c>
      <c r="W564" t="s">
        <v>3875</v>
      </c>
      <c r="X564">
        <v>7</v>
      </c>
      <c r="Y564" t="s">
        <v>5515</v>
      </c>
      <c r="Z564" t="s">
        <v>7157</v>
      </c>
      <c r="AA564">
        <v>0.6794676166671153</v>
      </c>
      <c r="AB564">
        <f>HYPERLINK("Melting_Curves/meltCurve_P0ABZ1_fliG.pdf", "Melting_Curves/meltCurve_P0ABZ1_fliG.pdf")</f>
        <v>0</v>
      </c>
    </row>
    <row r="565" spans="1:28">
      <c r="A565" t="s">
        <v>591</v>
      </c>
      <c r="B565">
        <v>0.999984544473304</v>
      </c>
      <c r="C565">
        <v>0.544251054129758</v>
      </c>
      <c r="D565">
        <v>1.36009043175326</v>
      </c>
      <c r="E565">
        <v>0.854035600024672</v>
      </c>
      <c r="F565">
        <v>1.41904849969768</v>
      </c>
      <c r="G565">
        <v>1.00951962013281</v>
      </c>
      <c r="H565">
        <v>1.42693579618829</v>
      </c>
      <c r="I565">
        <v>1.01161255813893</v>
      </c>
      <c r="J565">
        <v>0.879884659123008</v>
      </c>
      <c r="K565">
        <v>0.731075432700151</v>
      </c>
      <c r="L565">
        <v>15000</v>
      </c>
      <c r="M565">
        <v>233.79505408193</v>
      </c>
      <c r="O565">
        <v>64.1540491407433</v>
      </c>
      <c r="P565">
        <v>-0.245020943122723</v>
      </c>
      <c r="Q565">
        <v>0.731062081395657</v>
      </c>
      <c r="R565">
        <v>0.101709518259684</v>
      </c>
      <c r="S565" t="s">
        <v>2233</v>
      </c>
      <c r="T565" t="s">
        <v>3312</v>
      </c>
      <c r="U565" t="s">
        <v>3312</v>
      </c>
      <c r="V565" t="s">
        <v>3312</v>
      </c>
      <c r="W565" t="s">
        <v>3876</v>
      </c>
      <c r="X565">
        <v>1</v>
      </c>
      <c r="Y565" t="s">
        <v>5516</v>
      </c>
      <c r="Z565" t="s">
        <v>7158</v>
      </c>
      <c r="AA565">
        <v>0.9745638906002569</v>
      </c>
      <c r="AB565">
        <f>HYPERLINK("Melting_Curves/meltCurve_P0ABZ4_kdsC.pdf", "Melting_Curves/meltCurve_P0ABZ4_kdsC.pdf")</f>
        <v>0</v>
      </c>
    </row>
    <row r="566" spans="1:28">
      <c r="A566" t="s">
        <v>592</v>
      </c>
      <c r="B566">
        <v>0.999984544473304</v>
      </c>
      <c r="C566">
        <v>0.976612290747621</v>
      </c>
      <c r="D566">
        <v>0.974479779426731</v>
      </c>
      <c r="E566">
        <v>0.947266808228804</v>
      </c>
      <c r="F566">
        <v>1.02196759171363</v>
      </c>
      <c r="G566">
        <v>0.868766697344723</v>
      </c>
      <c r="H566">
        <v>0.843961853574265</v>
      </c>
      <c r="I566">
        <v>0.583541997598547</v>
      </c>
      <c r="J566">
        <v>0.329843633774849</v>
      </c>
      <c r="K566">
        <v>0.160816198706559</v>
      </c>
      <c r="L566">
        <v>1223.34208327408</v>
      </c>
      <c r="M566">
        <v>19.7806633312248</v>
      </c>
      <c r="N566">
        <v>61.8453556357576</v>
      </c>
      <c r="O566">
        <v>61.2236542480711</v>
      </c>
      <c r="P566">
        <v>-0.08077486690787861</v>
      </c>
      <c r="Q566">
        <v>0</v>
      </c>
      <c r="R566">
        <v>0.9851348926203271</v>
      </c>
      <c r="S566" t="s">
        <v>2234</v>
      </c>
      <c r="T566" t="s">
        <v>3312</v>
      </c>
      <c r="U566" t="s">
        <v>3312</v>
      </c>
      <c r="V566" t="s">
        <v>3312</v>
      </c>
      <c r="W566" t="s">
        <v>3877</v>
      </c>
      <c r="X566">
        <v>14</v>
      </c>
      <c r="Y566" t="s">
        <v>5517</v>
      </c>
      <c r="Z566" t="s">
        <v>7159</v>
      </c>
      <c r="AA566">
        <v>0.8186327070082177</v>
      </c>
      <c r="AB566">
        <f>HYPERLINK("Melting_Curves/meltCurve_P0ABZ6_surA.pdf", "Melting_Curves/meltCurve_P0ABZ6_surA.pdf")</f>
        <v>0</v>
      </c>
    </row>
    <row r="567" spans="1:28">
      <c r="A567" t="s">
        <v>593</v>
      </c>
      <c r="B567">
        <v>0.999984544473304</v>
      </c>
      <c r="C567">
        <v>0.944832870197394</v>
      </c>
      <c r="D567">
        <v>0.870263987368756</v>
      </c>
      <c r="E567">
        <v>0.73675284604392</v>
      </c>
      <c r="F567">
        <v>0.338414054202707</v>
      </c>
      <c r="G567">
        <v>0.0924247451355138</v>
      </c>
      <c r="H567">
        <v>0.0507134811215974</v>
      </c>
      <c r="I567">
        <v>0.0347241380760319</v>
      </c>
      <c r="J567">
        <v>0.0269737633507393</v>
      </c>
      <c r="K567">
        <v>0.0343617484728634</v>
      </c>
      <c r="L567">
        <v>1007.45089006078</v>
      </c>
      <c r="M567">
        <v>20.7912162969453</v>
      </c>
      <c r="N567">
        <v>48.5307555219626</v>
      </c>
      <c r="O567">
        <v>48.0140226814516</v>
      </c>
      <c r="P567">
        <v>-0.1065439487686</v>
      </c>
      <c r="Q567">
        <v>0.0158420417906618</v>
      </c>
      <c r="R567">
        <v>0.99455985338369</v>
      </c>
      <c r="S567" t="s">
        <v>2235</v>
      </c>
      <c r="T567" t="s">
        <v>3312</v>
      </c>
      <c r="U567" t="s">
        <v>3312</v>
      </c>
      <c r="V567" t="s">
        <v>3312</v>
      </c>
      <c r="W567" t="s">
        <v>3878</v>
      </c>
      <c r="X567">
        <v>4</v>
      </c>
      <c r="Y567" t="s">
        <v>5518</v>
      </c>
      <c r="Z567" t="s">
        <v>7160</v>
      </c>
      <c r="AA567">
        <v>0.4036884629373168</v>
      </c>
      <c r="AB567">
        <f>HYPERLINK("Melting_Curves/meltCurve_P0AC02_bamD.pdf", "Melting_Curves/meltCurve_P0AC02_bamD.pdf")</f>
        <v>0</v>
      </c>
    </row>
    <row r="568" spans="1:28">
      <c r="A568" t="s">
        <v>594</v>
      </c>
      <c r="B568">
        <v>0.999984544473304</v>
      </c>
      <c r="C568">
        <v>0.807998532513828</v>
      </c>
      <c r="D568">
        <v>0.891886215201271</v>
      </c>
      <c r="E568">
        <v>0.451983668548934</v>
      </c>
      <c r="F568">
        <v>0.223012904016701</v>
      </c>
      <c r="G568">
        <v>0.0810691567547632</v>
      </c>
      <c r="H568">
        <v>0.0600193126227383</v>
      </c>
      <c r="I568">
        <v>0.0561164854529664</v>
      </c>
      <c r="J568">
        <v>0.0259418692674111</v>
      </c>
      <c r="K568">
        <v>0.0441258687514977</v>
      </c>
      <c r="L568">
        <v>857.818013948507</v>
      </c>
      <c r="M568">
        <v>18.5531086729695</v>
      </c>
      <c r="N568">
        <v>46.4000109166256</v>
      </c>
      <c r="O568">
        <v>45.7086831076592</v>
      </c>
      <c r="P568">
        <v>-0.09825480666985251</v>
      </c>
      <c r="Q568">
        <v>0.0317734230397869</v>
      </c>
      <c r="R568">
        <v>0.978869947979609</v>
      </c>
      <c r="S568" t="s">
        <v>2236</v>
      </c>
      <c r="T568" t="s">
        <v>3312</v>
      </c>
      <c r="U568" t="s">
        <v>3312</v>
      </c>
      <c r="V568" t="s">
        <v>3312</v>
      </c>
      <c r="W568" t="s">
        <v>3879</v>
      </c>
      <c r="X568">
        <v>4</v>
      </c>
      <c r="Y568" t="s">
        <v>5519</v>
      </c>
      <c r="Z568" t="s">
        <v>7161</v>
      </c>
      <c r="AA568">
        <v>0.3445601458538929</v>
      </c>
      <c r="AB568">
        <f>HYPERLINK("Melting_Curves/meltCurve_P0AC13_folP.pdf", "Melting_Curves/meltCurve_P0AC13_folP.pdf")</f>
        <v>0</v>
      </c>
    </row>
    <row r="569" spans="1:28">
      <c r="A569" t="s">
        <v>595</v>
      </c>
      <c r="B569">
        <v>0.999984544473304</v>
      </c>
      <c r="C569">
        <v>1.24171057101091</v>
      </c>
      <c r="D569">
        <v>0.647877793522605</v>
      </c>
      <c r="E569">
        <v>1.03894307776269</v>
      </c>
      <c r="F569">
        <v>0.62069435984776</v>
      </c>
      <c r="G569">
        <v>0.425770838783882</v>
      </c>
      <c r="H569">
        <v>0.350140032888201</v>
      </c>
      <c r="I569">
        <v>0.315609560042269</v>
      </c>
      <c r="J569">
        <v>0.316414391195221</v>
      </c>
      <c r="K569">
        <v>0.357332931678073</v>
      </c>
      <c r="L569">
        <v>2292.98842265166</v>
      </c>
      <c r="M569">
        <v>45.9028193380613</v>
      </c>
      <c r="N569">
        <v>51.2699179734495</v>
      </c>
      <c r="O569">
        <v>49.8585764398883</v>
      </c>
      <c r="P569">
        <v>-0.150482496307221</v>
      </c>
      <c r="Q569">
        <v>0.346198416963597</v>
      </c>
      <c r="R569">
        <v>0.821222365496205</v>
      </c>
      <c r="S569" t="s">
        <v>2237</v>
      </c>
      <c r="T569" t="s">
        <v>3312</v>
      </c>
      <c r="U569" t="s">
        <v>3312</v>
      </c>
      <c r="V569" t="s">
        <v>3312</v>
      </c>
      <c r="W569" t="s">
        <v>3880</v>
      </c>
      <c r="X569">
        <v>2</v>
      </c>
      <c r="Y569" t="s">
        <v>5520</v>
      </c>
      <c r="Z569" t="s">
        <v>7162</v>
      </c>
      <c r="AA569">
        <v>0.630201158521165</v>
      </c>
      <c r="AB569">
        <f>HYPERLINK("Melting_Curves/meltCurve_P0AC16_folB.pdf", "Melting_Curves/meltCurve_P0AC16_folB.pdf")</f>
        <v>0</v>
      </c>
    </row>
    <row r="570" spans="1:28">
      <c r="A570" t="s">
        <v>596</v>
      </c>
      <c r="B570">
        <v>0.999984544473304</v>
      </c>
      <c r="C570">
        <v>0.982764402698008</v>
      </c>
      <c r="D570">
        <v>1.160750097024</v>
      </c>
      <c r="E570">
        <v>1.0647842037109</v>
      </c>
      <c r="F570">
        <v>1.04452098679685</v>
      </c>
      <c r="G570">
        <v>1.03798864921898</v>
      </c>
      <c r="H570">
        <v>0.883047931644278</v>
      </c>
      <c r="I570">
        <v>0.868728775925888</v>
      </c>
      <c r="J570">
        <v>0.822038516027781</v>
      </c>
      <c r="K570">
        <v>0.657537956779753</v>
      </c>
      <c r="L570">
        <v>893.469802078278</v>
      </c>
      <c r="M570">
        <v>12.6297886437797</v>
      </c>
      <c r="Q570">
        <v>0</v>
      </c>
      <c r="R570">
        <v>0.778404926746783</v>
      </c>
      <c r="S570" t="s">
        <v>2238</v>
      </c>
      <c r="T570" t="s">
        <v>3312</v>
      </c>
      <c r="U570" t="s">
        <v>3312</v>
      </c>
      <c r="V570" t="s">
        <v>3312</v>
      </c>
      <c r="W570" t="s">
        <v>3881</v>
      </c>
      <c r="X570">
        <v>2</v>
      </c>
      <c r="Y570" t="s">
        <v>5521</v>
      </c>
      <c r="Z570" t="s">
        <v>7163</v>
      </c>
      <c r="AA570">
        <v>0.9418819224221918</v>
      </c>
      <c r="AB570">
        <f>HYPERLINK("Melting_Curves/meltCurve_P0AC19_folX.pdf", "Melting_Curves/meltCurve_P0AC19_folX.pdf")</f>
        <v>0</v>
      </c>
    </row>
    <row r="571" spans="1:28">
      <c r="A571" t="s">
        <v>597</v>
      </c>
      <c r="B571">
        <v>0.999984544473304</v>
      </c>
      <c r="C571">
        <v>1.35427179350367</v>
      </c>
      <c r="D571">
        <v>0.965150280810998</v>
      </c>
      <c r="E571">
        <v>1.13774619095157</v>
      </c>
      <c r="F571">
        <v>0.886683732647722</v>
      </c>
      <c r="G571">
        <v>0.538588498310172</v>
      </c>
      <c r="H571">
        <v>0.215268529966837</v>
      </c>
      <c r="I571">
        <v>0.0654246617975007</v>
      </c>
      <c r="J571">
        <v>0.0259513993027426</v>
      </c>
      <c r="K571">
        <v>0.0204263464669976</v>
      </c>
      <c r="L571">
        <v>1481.5985412331</v>
      </c>
      <c r="M571">
        <v>27.359353899716</v>
      </c>
      <c r="N571">
        <v>54.2366839490799</v>
      </c>
      <c r="O571">
        <v>53.8664564736052</v>
      </c>
      <c r="P571">
        <v>-0.124363597652775</v>
      </c>
      <c r="Q571">
        <v>0.0205965542843111</v>
      </c>
      <c r="R571">
        <v>0.935694229761326</v>
      </c>
      <c r="S571" t="s">
        <v>2239</v>
      </c>
      <c r="T571" t="s">
        <v>3312</v>
      </c>
      <c r="U571" t="s">
        <v>3312</v>
      </c>
      <c r="V571" t="s">
        <v>3312</v>
      </c>
      <c r="W571" t="s">
        <v>3882</v>
      </c>
      <c r="X571">
        <v>2</v>
      </c>
      <c r="Y571" t="s">
        <v>5522</v>
      </c>
      <c r="Z571" t="s">
        <v>7164</v>
      </c>
      <c r="AA571">
        <v>0.5879411187828576</v>
      </c>
      <c r="AB571">
        <f>HYPERLINK("Melting_Curves/meltCurve_P0AC23_focA.pdf", "Melting_Curves/meltCurve_P0AC23_focA.pdf")</f>
        <v>0</v>
      </c>
    </row>
    <row r="572" spans="1:28">
      <c r="A572" t="s">
        <v>598</v>
      </c>
      <c r="B572">
        <v>0.999984544473304</v>
      </c>
      <c r="C572">
        <v>0.693053477075823</v>
      </c>
      <c r="D572">
        <v>1.06316715349945</v>
      </c>
      <c r="E572">
        <v>0.676082647841476</v>
      </c>
      <c r="F572">
        <v>0.393044003405216</v>
      </c>
      <c r="G572">
        <v>0.168769345770317</v>
      </c>
      <c r="H572">
        <v>0.0862334541618375</v>
      </c>
      <c r="I572">
        <v>0.06851455986555161</v>
      </c>
      <c r="J572">
        <v>0.0748925858601151</v>
      </c>
      <c r="K572">
        <v>0.0205536424978686</v>
      </c>
      <c r="L572">
        <v>916.037156293158</v>
      </c>
      <c r="M572">
        <v>18.8307678972173</v>
      </c>
      <c r="N572">
        <v>48.8607527999684</v>
      </c>
      <c r="O572">
        <v>48.1071225749221</v>
      </c>
      <c r="P572">
        <v>-0.0939718046996267</v>
      </c>
      <c r="Q572">
        <v>0.0397573814454365</v>
      </c>
      <c r="R572">
        <v>0.927374489531779</v>
      </c>
      <c r="S572" t="s">
        <v>2240</v>
      </c>
      <c r="T572" t="s">
        <v>3312</v>
      </c>
      <c r="U572" t="s">
        <v>3312</v>
      </c>
      <c r="V572" t="s">
        <v>3312</v>
      </c>
      <c r="W572" t="s">
        <v>3883</v>
      </c>
      <c r="X572">
        <v>3</v>
      </c>
      <c r="Y572" t="s">
        <v>5523</v>
      </c>
      <c r="Z572" t="s">
        <v>7165</v>
      </c>
      <c r="AA572">
        <v>0.4266293647052685</v>
      </c>
      <c r="AB572">
        <f>HYPERLINK("Melting_Curves/meltCurve_P0AC30_ftsX.pdf", "Melting_Curves/meltCurve_P0AC30_ftsX.pdf")</f>
        <v>0</v>
      </c>
    </row>
    <row r="573" spans="1:28">
      <c r="A573" t="s">
        <v>599</v>
      </c>
      <c r="B573">
        <v>0.999984544473304</v>
      </c>
      <c r="C573">
        <v>1.22361167459704</v>
      </c>
      <c r="D573">
        <v>0.976257613520618</v>
      </c>
      <c r="E573">
        <v>0.492750639753121</v>
      </c>
      <c r="F573">
        <v>0.297698772945367</v>
      </c>
      <c r="G573">
        <v>0.131540545235414</v>
      </c>
      <c r="H573">
        <v>0.0679288779131382</v>
      </c>
      <c r="I573">
        <v>0.0346889114333981</v>
      </c>
      <c r="J573">
        <v>0.0266339703076882</v>
      </c>
      <c r="K573">
        <v>0.0237568404529626</v>
      </c>
      <c r="L573">
        <v>1130.34963864623</v>
      </c>
      <c r="M573">
        <v>24.0259639477427</v>
      </c>
      <c r="N573">
        <v>47.2564667797637</v>
      </c>
      <c r="O573">
        <v>46.7247099231774</v>
      </c>
      <c r="P573">
        <v>-0.122059490414929</v>
      </c>
      <c r="Q573">
        <v>0.0505097532356865</v>
      </c>
      <c r="R573">
        <v>0.961307757799702</v>
      </c>
      <c r="S573" t="s">
        <v>2241</v>
      </c>
      <c r="T573" t="s">
        <v>3312</v>
      </c>
      <c r="U573" t="s">
        <v>3312</v>
      </c>
      <c r="V573" t="s">
        <v>3312</v>
      </c>
      <c r="W573" t="s">
        <v>3884</v>
      </c>
      <c r="X573">
        <v>15</v>
      </c>
      <c r="Y573" t="s">
        <v>5524</v>
      </c>
      <c r="Z573" t="s">
        <v>7166</v>
      </c>
      <c r="AA573">
        <v>0.3771362172495073</v>
      </c>
      <c r="AB573">
        <f>HYPERLINK("Melting_Curves/meltCurve_P0AC33_fumA.pdf", "Melting_Curves/meltCurve_P0AC33_fumA.pdf")</f>
        <v>0</v>
      </c>
    </row>
    <row r="574" spans="1:28">
      <c r="A574" t="s">
        <v>600</v>
      </c>
      <c r="B574">
        <v>0.999984544473304</v>
      </c>
      <c r="C574">
        <v>1.21202679988897</v>
      </c>
      <c r="D574">
        <v>1.41255090057183</v>
      </c>
      <c r="E574">
        <v>1.20419971469042</v>
      </c>
      <c r="F574">
        <v>1.09316496667655</v>
      </c>
      <c r="G574">
        <v>0.202030115269394</v>
      </c>
      <c r="H574">
        <v>0.0727190038603529</v>
      </c>
      <c r="I574">
        <v>0.0274793997344402</v>
      </c>
      <c r="J574">
        <v>0.012471722182872</v>
      </c>
      <c r="K574">
        <v>0.0117591743739182</v>
      </c>
      <c r="L574">
        <v>13367.1018217174</v>
      </c>
      <c r="M574">
        <v>250</v>
      </c>
      <c r="N574">
        <v>53.4821447720026</v>
      </c>
      <c r="O574">
        <v>53.4649858070921</v>
      </c>
      <c r="P574">
        <v>-1.13262526147704</v>
      </c>
      <c r="Q574">
        <v>0.0311073072646603</v>
      </c>
      <c r="R574">
        <v>0.9175977609343789</v>
      </c>
      <c r="S574" t="s">
        <v>2242</v>
      </c>
      <c r="T574" t="s">
        <v>3312</v>
      </c>
      <c r="U574" t="s">
        <v>3312</v>
      </c>
      <c r="V574" t="s">
        <v>3312</v>
      </c>
      <c r="W574" t="s">
        <v>3885</v>
      </c>
      <c r="X574">
        <v>20</v>
      </c>
      <c r="Y574" t="s">
        <v>5525</v>
      </c>
      <c r="Z574" t="s">
        <v>7167</v>
      </c>
      <c r="AA574">
        <v>0.5630688738696767</v>
      </c>
      <c r="AB574">
        <f>HYPERLINK("Melting_Curves/meltCurve_P0AC38_aspA.pdf", "Melting_Curves/meltCurve_P0AC38_aspA.pdf")</f>
        <v>0</v>
      </c>
    </row>
    <row r="575" spans="1:28">
      <c r="A575" t="s">
        <v>601</v>
      </c>
      <c r="B575">
        <v>0.999984544473304</v>
      </c>
      <c r="C575">
        <v>1.20627502565072</v>
      </c>
      <c r="D575">
        <v>1.04408079698775</v>
      </c>
      <c r="E575">
        <v>1.14310672711499</v>
      </c>
      <c r="F575">
        <v>0.681703420825187</v>
      </c>
      <c r="G575">
        <v>0.104999530010676</v>
      </c>
      <c r="H575">
        <v>0.0627026977967222</v>
      </c>
      <c r="I575">
        <v>0.0400480618469383</v>
      </c>
      <c r="J575">
        <v>0.0231888601713829</v>
      </c>
      <c r="K575">
        <v>0.0199800131945429</v>
      </c>
      <c r="L575">
        <v>2867.3921845526</v>
      </c>
      <c r="M575">
        <v>56.380436861166</v>
      </c>
      <c r="N575">
        <v>50.9350035903053</v>
      </c>
      <c r="O575">
        <v>50.7940646074553</v>
      </c>
      <c r="P575">
        <v>-0.26614886663188</v>
      </c>
      <c r="Q575">
        <v>0.0408889117169324</v>
      </c>
      <c r="R575">
        <v>0.972649457902009</v>
      </c>
      <c r="S575" t="s">
        <v>2243</v>
      </c>
      <c r="T575" t="s">
        <v>3312</v>
      </c>
      <c r="U575" t="s">
        <v>3312</v>
      </c>
      <c r="V575" t="s">
        <v>3312</v>
      </c>
      <c r="W575" t="s">
        <v>3886</v>
      </c>
      <c r="X575">
        <v>19</v>
      </c>
      <c r="Y575" t="s">
        <v>5526</v>
      </c>
      <c r="Z575" t="s">
        <v>7168</v>
      </c>
      <c r="AA575">
        <v>0.4856220879032915</v>
      </c>
      <c r="AB575">
        <f>HYPERLINK("Melting_Curves/meltCurve_P0AC41_sdhA.pdf", "Melting_Curves/meltCurve_P0AC41_sdhA.pdf")</f>
        <v>0</v>
      </c>
    </row>
    <row r="576" spans="1:28">
      <c r="A576" t="s">
        <v>602</v>
      </c>
      <c r="B576">
        <v>0.999984544473304</v>
      </c>
      <c r="C576">
        <v>1.16491729217329</v>
      </c>
      <c r="D576">
        <v>1.01789427493314</v>
      </c>
      <c r="E576">
        <v>1.22864849383995</v>
      </c>
      <c r="F576">
        <v>1.00362603179795</v>
      </c>
      <c r="G576">
        <v>0.872731309136111</v>
      </c>
      <c r="H576">
        <v>0.836540435728402</v>
      </c>
      <c r="I576">
        <v>0.821360252227665</v>
      </c>
      <c r="J576">
        <v>0.706146835010416</v>
      </c>
      <c r="K576">
        <v>0.764303527944928</v>
      </c>
      <c r="L576">
        <v>1472.36325212648</v>
      </c>
      <c r="M576">
        <v>26.8097198870168</v>
      </c>
      <c r="O576">
        <v>54.6161839233136</v>
      </c>
      <c r="P576">
        <v>-0.0297568345108069</v>
      </c>
      <c r="Q576">
        <v>0.757522547089809</v>
      </c>
      <c r="R576">
        <v>0.662048690169739</v>
      </c>
      <c r="S576" t="s">
        <v>2244</v>
      </c>
      <c r="T576" t="s">
        <v>3312</v>
      </c>
      <c r="U576" t="s">
        <v>3312</v>
      </c>
      <c r="V576" t="s">
        <v>3312</v>
      </c>
      <c r="W576" t="s">
        <v>3887</v>
      </c>
      <c r="X576">
        <v>3</v>
      </c>
      <c r="Y576" t="s">
        <v>5527</v>
      </c>
      <c r="Z576" t="s">
        <v>7169</v>
      </c>
      <c r="AA576">
        <v>0.904211024647735</v>
      </c>
      <c r="AB576">
        <f>HYPERLINK("Melting_Curves/meltCurve_P0AC44_sdhD.pdf", "Melting_Curves/meltCurve_P0AC44_sdhD.pdf")</f>
        <v>0</v>
      </c>
    </row>
    <row r="577" spans="1:28">
      <c r="A577" t="s">
        <v>603</v>
      </c>
      <c r="B577">
        <v>0.999984544473304</v>
      </c>
      <c r="C577">
        <v>0.766697087668918</v>
      </c>
      <c r="D577">
        <v>0.974096012422964</v>
      </c>
      <c r="E577">
        <v>0.870762878576911</v>
      </c>
      <c r="F577">
        <v>0.924852955131793</v>
      </c>
      <c r="G577">
        <v>0.76076337183527</v>
      </c>
      <c r="H577">
        <v>0.664588452353758</v>
      </c>
      <c r="I577">
        <v>0.446394401753503</v>
      </c>
      <c r="J577">
        <v>0.275747540666081</v>
      </c>
      <c r="K577">
        <v>0.170459982572256</v>
      </c>
      <c r="L577">
        <v>722.330559660789</v>
      </c>
      <c r="M577">
        <v>12.1280667076716</v>
      </c>
      <c r="N577">
        <v>59.5585906205609</v>
      </c>
      <c r="O577">
        <v>58.0086975875626</v>
      </c>
      <c r="P577">
        <v>-0.0522803853157064</v>
      </c>
      <c r="Q577">
        <v>0</v>
      </c>
      <c r="R577">
        <v>0.911729150953122</v>
      </c>
      <c r="S577" t="s">
        <v>2245</v>
      </c>
      <c r="T577" t="s">
        <v>3312</v>
      </c>
      <c r="U577" t="s">
        <v>3312</v>
      </c>
      <c r="V577" t="s">
        <v>3312</v>
      </c>
      <c r="W577" t="s">
        <v>3888</v>
      </c>
      <c r="X577">
        <v>7</v>
      </c>
      <c r="Y577" t="s">
        <v>5528</v>
      </c>
      <c r="Z577" t="s">
        <v>7170</v>
      </c>
      <c r="AA577">
        <v>0.7398345211171315</v>
      </c>
      <c r="AB577">
        <f>HYPERLINK("Melting_Curves/meltCurve_P0AC47_frdB.pdf", "Melting_Curves/meltCurve_P0AC47_frdB.pdf")</f>
        <v>0</v>
      </c>
    </row>
    <row r="578" spans="1:28">
      <c r="A578" t="s">
        <v>604</v>
      </c>
      <c r="B578">
        <v>0.999984544473304</v>
      </c>
      <c r="C578">
        <v>0.821271465161873</v>
      </c>
      <c r="D578">
        <v>1.08483281237664</v>
      </c>
      <c r="E578">
        <v>0.919883820296148</v>
      </c>
      <c r="F578">
        <v>1.26746029185486</v>
      </c>
      <c r="G578">
        <v>1.02235728990394</v>
      </c>
      <c r="H578">
        <v>0.977007229732528</v>
      </c>
      <c r="I578">
        <v>0.830118370385506</v>
      </c>
      <c r="J578">
        <v>0.6198828638339861</v>
      </c>
      <c r="K578">
        <v>0.511272454050468</v>
      </c>
      <c r="L578">
        <v>2218.22704209985</v>
      </c>
      <c r="M578">
        <v>35.5886206056778</v>
      </c>
      <c r="O578">
        <v>62.1338527444373</v>
      </c>
      <c r="P578">
        <v>-0.0755403285619957</v>
      </c>
      <c r="Q578">
        <v>0.472461016589018</v>
      </c>
      <c r="R578">
        <v>0.73287057080826</v>
      </c>
      <c r="S578" t="s">
        <v>2246</v>
      </c>
      <c r="T578" t="s">
        <v>3312</v>
      </c>
      <c r="U578" t="s">
        <v>3312</v>
      </c>
      <c r="V578" t="s">
        <v>3312</v>
      </c>
      <c r="W578" t="s">
        <v>3889</v>
      </c>
      <c r="X578">
        <v>2</v>
      </c>
      <c r="Y578" t="s">
        <v>5529</v>
      </c>
      <c r="Z578" t="s">
        <v>7171</v>
      </c>
      <c r="AA578">
        <v>0.917698346287488</v>
      </c>
      <c r="AB578">
        <f>HYPERLINK("Melting_Curves/meltCurve_P0AC51_zur.pdf", "Melting_Curves/meltCurve_P0AC51_zur.pdf")</f>
        <v>0</v>
      </c>
    </row>
    <row r="579" spans="1:28">
      <c r="A579" t="s">
        <v>605</v>
      </c>
      <c r="B579">
        <v>0.999984544473304</v>
      </c>
      <c r="C579">
        <v>1.19704085316439</v>
      </c>
      <c r="D579">
        <v>1.21995446719232</v>
      </c>
      <c r="E579">
        <v>0.58892656776562</v>
      </c>
      <c r="F579">
        <v>0.142590991431806</v>
      </c>
      <c r="G579">
        <v>0.06308988122188609</v>
      </c>
      <c r="H579">
        <v>0.0502161910616496</v>
      </c>
      <c r="I579">
        <v>0.0384081268297969</v>
      </c>
      <c r="J579">
        <v>0.0239112000674768</v>
      </c>
      <c r="K579">
        <v>0.0286391181419399</v>
      </c>
      <c r="L579">
        <v>2804.1987871011</v>
      </c>
      <c r="M579">
        <v>59.8719679726798</v>
      </c>
      <c r="N579">
        <v>46.9265699129914</v>
      </c>
      <c r="O579">
        <v>46.7844218249859</v>
      </c>
      <c r="P579">
        <v>-0.302585854867181</v>
      </c>
      <c r="Q579">
        <v>0.0542285975462799</v>
      </c>
      <c r="R579">
        <v>0.959909568695661</v>
      </c>
      <c r="S579" t="s">
        <v>2247</v>
      </c>
      <c r="T579" t="s">
        <v>3312</v>
      </c>
      <c r="U579" t="s">
        <v>3312</v>
      </c>
      <c r="V579" t="s">
        <v>3312</v>
      </c>
      <c r="W579" t="s">
        <v>3890</v>
      </c>
      <c r="X579">
        <v>17</v>
      </c>
      <c r="Y579" t="s">
        <v>5530</v>
      </c>
      <c r="Z579" t="s">
        <v>7172</v>
      </c>
      <c r="AA579">
        <v>0.3656945022355408</v>
      </c>
      <c r="AB579">
        <f>HYPERLINK("Melting_Curves/meltCurve_P0AC53_zwf.pdf", "Melting_Curves/meltCurve_P0AC53_zwf.pdf")</f>
        <v>0</v>
      </c>
    </row>
    <row r="580" spans="1:28">
      <c r="A580" t="s">
        <v>606</v>
      </c>
      <c r="B580">
        <v>0.999984544473304</v>
      </c>
      <c r="C580">
        <v>0.889693779740288</v>
      </c>
      <c r="D580">
        <v>0.946576911563634</v>
      </c>
      <c r="E580">
        <v>0.790283237189759</v>
      </c>
      <c r="F580">
        <v>0.412455937251837</v>
      </c>
      <c r="G580">
        <v>0.175435573257758</v>
      </c>
      <c r="H580">
        <v>0.051647038208441</v>
      </c>
      <c r="I580">
        <v>0.0364091081636366</v>
      </c>
      <c r="J580">
        <v>0.0252718228026285</v>
      </c>
      <c r="K580">
        <v>0.0233914425702498</v>
      </c>
      <c r="L580">
        <v>1005.27096116142</v>
      </c>
      <c r="M580">
        <v>20.3703048958369</v>
      </c>
      <c r="N580">
        <v>49.4163700084103</v>
      </c>
      <c r="O580">
        <v>48.8816091300002</v>
      </c>
      <c r="P580">
        <v>-0.102775899127954</v>
      </c>
      <c r="Q580">
        <v>0.0135249756640697</v>
      </c>
      <c r="R580">
        <v>0.993031795374279</v>
      </c>
      <c r="S580" t="s">
        <v>2248</v>
      </c>
      <c r="T580" t="s">
        <v>3312</v>
      </c>
      <c r="U580" t="s">
        <v>3312</v>
      </c>
      <c r="V580" t="s">
        <v>3312</v>
      </c>
      <c r="W580" t="s">
        <v>3891</v>
      </c>
      <c r="X580">
        <v>10</v>
      </c>
      <c r="Y580" t="s">
        <v>5531</v>
      </c>
      <c r="Z580" t="s">
        <v>7173</v>
      </c>
      <c r="AA580">
        <v>0.4321950801254538</v>
      </c>
      <c r="AB580">
        <f>HYPERLINK("Melting_Curves/meltCurve_P0AC59_grxB.pdf", "Melting_Curves/meltCurve_P0AC59_grxB.pdf")</f>
        <v>0</v>
      </c>
    </row>
    <row r="581" spans="1:28">
      <c r="A581" t="s">
        <v>607</v>
      </c>
      <c r="B581">
        <v>0.999984544473304</v>
      </c>
      <c r="C581">
        <v>1.15736607233682</v>
      </c>
      <c r="D581">
        <v>0.79517732361175</v>
      </c>
      <c r="E581">
        <v>0.937561117585556</v>
      </c>
      <c r="F581">
        <v>1.0196703347425</v>
      </c>
      <c r="G581">
        <v>0.844092774861579</v>
      </c>
      <c r="H581">
        <v>0.6750786025594691</v>
      </c>
      <c r="I581">
        <v>0.661276054182341</v>
      </c>
      <c r="J581">
        <v>0.514419974088185</v>
      </c>
      <c r="K581">
        <v>0.678420381551633</v>
      </c>
      <c r="L581">
        <v>1988.42476803127</v>
      </c>
      <c r="M581">
        <v>36.4657007158678</v>
      </c>
      <c r="O581">
        <v>54.3654298141431</v>
      </c>
      <c r="P581">
        <v>-0.0644747595408507</v>
      </c>
      <c r="Q581">
        <v>0.615508604459194</v>
      </c>
      <c r="R581">
        <v>0.756095632100241</v>
      </c>
      <c r="S581" t="s">
        <v>2249</v>
      </c>
      <c r="T581" t="s">
        <v>3312</v>
      </c>
      <c r="U581" t="s">
        <v>3312</v>
      </c>
      <c r="V581" t="s">
        <v>3312</v>
      </c>
      <c r="W581" t="s">
        <v>3892</v>
      </c>
      <c r="X581">
        <v>4</v>
      </c>
      <c r="Y581" t="s">
        <v>5532</v>
      </c>
      <c r="Z581" t="s">
        <v>7174</v>
      </c>
      <c r="AA581">
        <v>0.8418745709058668</v>
      </c>
      <c r="AB581">
        <f>HYPERLINK("Melting_Curves/meltCurve_P0AC62_grxC.pdf", "Melting_Curves/meltCurve_P0AC62_grxC.pdf")</f>
        <v>0</v>
      </c>
    </row>
    <row r="582" spans="1:28">
      <c r="A582" t="s">
        <v>608</v>
      </c>
      <c r="B582">
        <v>0.999984544473304</v>
      </c>
      <c r="C582">
        <v>0.915182064913711</v>
      </c>
      <c r="D582">
        <v>1.1239529873987</v>
      </c>
      <c r="E582">
        <v>0.992947164914338</v>
      </c>
      <c r="F582">
        <v>1.1270122530634</v>
      </c>
      <c r="G582">
        <v>0.85532689844842</v>
      </c>
      <c r="H582">
        <v>0.687476710386178</v>
      </c>
      <c r="I582">
        <v>0.563460644362088</v>
      </c>
      <c r="J582">
        <v>0.352246710077575</v>
      </c>
      <c r="K582">
        <v>0.442377199962138</v>
      </c>
      <c r="L582">
        <v>1425.54423262171</v>
      </c>
      <c r="M582">
        <v>24.8256083897638</v>
      </c>
      <c r="N582">
        <v>61.1388611533167</v>
      </c>
      <c r="O582">
        <v>57.0536296943039</v>
      </c>
      <c r="P582">
        <v>-0.0664181582924941</v>
      </c>
      <c r="Q582">
        <v>0.389445882198491</v>
      </c>
      <c r="R582">
        <v>0.919141942769598</v>
      </c>
      <c r="S582" t="s">
        <v>2250</v>
      </c>
      <c r="T582" t="s">
        <v>3312</v>
      </c>
      <c r="U582" t="s">
        <v>3312</v>
      </c>
      <c r="V582" t="s">
        <v>3312</v>
      </c>
      <c r="W582" t="s">
        <v>3893</v>
      </c>
      <c r="X582">
        <v>3</v>
      </c>
      <c r="Y582" t="s">
        <v>5533</v>
      </c>
      <c r="Z582" t="s">
        <v>7175</v>
      </c>
      <c r="AA582">
        <v>0.8094435579032297</v>
      </c>
      <c r="AB582">
        <f>HYPERLINK("Melting_Curves/meltCurve_P0AC69_grxD.pdf", "Melting_Curves/meltCurve_P0AC69_grxD.pdf")</f>
        <v>0</v>
      </c>
    </row>
    <row r="583" spans="1:28">
      <c r="A583" t="s">
        <v>609</v>
      </c>
      <c r="B583">
        <v>0.999984544473304</v>
      </c>
      <c r="C583">
        <v>0.913577780210552</v>
      </c>
      <c r="D583">
        <v>0.928109955868117</v>
      </c>
      <c r="E583">
        <v>0.885660312130951</v>
      </c>
      <c r="F583">
        <v>0.594063496810866</v>
      </c>
      <c r="G583">
        <v>0.324737182462344</v>
      </c>
      <c r="H583">
        <v>0.194209160200927</v>
      </c>
      <c r="I583">
        <v>0.126912628991807</v>
      </c>
      <c r="J583">
        <v>0.078456579277445</v>
      </c>
      <c r="K583">
        <v>0.0875172694335624</v>
      </c>
      <c r="L583">
        <v>892.672510230811</v>
      </c>
      <c r="M583">
        <v>17.4964811386555</v>
      </c>
      <c r="N583">
        <v>51.4493602671053</v>
      </c>
      <c r="O583">
        <v>50.3676267629888</v>
      </c>
      <c r="P583">
        <v>-0.0809510570545838</v>
      </c>
      <c r="Q583">
        <v>0.067906824802697</v>
      </c>
      <c r="R583">
        <v>0.993067267565879</v>
      </c>
      <c r="S583" t="s">
        <v>2251</v>
      </c>
      <c r="T583" t="s">
        <v>3312</v>
      </c>
      <c r="U583" t="s">
        <v>3312</v>
      </c>
      <c r="V583" t="s">
        <v>3312</v>
      </c>
      <c r="W583" t="s">
        <v>3894</v>
      </c>
      <c r="X583">
        <v>3</v>
      </c>
      <c r="Y583" t="s">
        <v>5534</v>
      </c>
      <c r="Z583" t="s">
        <v>7176</v>
      </c>
      <c r="AA583">
        <v>0.5185986869413312</v>
      </c>
      <c r="AB583">
        <f>HYPERLINK("Melting_Curves/meltCurve_P0AC81_gloA.pdf", "Melting_Curves/meltCurve_P0AC81_gloA.pdf")</f>
        <v>0</v>
      </c>
    </row>
    <row r="584" spans="1:28">
      <c r="A584" t="s">
        <v>610</v>
      </c>
      <c r="B584">
        <v>0.999984544473304</v>
      </c>
      <c r="C584">
        <v>0.809876936876634</v>
      </c>
      <c r="D584">
        <v>0.999076906949941</v>
      </c>
      <c r="E584">
        <v>0.869832526872192</v>
      </c>
      <c r="F584">
        <v>0.98737803384942</v>
      </c>
      <c r="G584">
        <v>0.807949399028571</v>
      </c>
      <c r="H584">
        <v>0.768569933917264</v>
      </c>
      <c r="I584">
        <v>0.6014526504115431</v>
      </c>
      <c r="J584">
        <v>0.341320698285579</v>
      </c>
      <c r="K584">
        <v>0.100979967277809</v>
      </c>
      <c r="L584">
        <v>1031.95133221486</v>
      </c>
      <c r="M584">
        <v>16.8186161967022</v>
      </c>
      <c r="N584">
        <v>61.357684148427</v>
      </c>
      <c r="O584">
        <v>60.5099202867789</v>
      </c>
      <c r="P584">
        <v>-0.06949148192898839</v>
      </c>
      <c r="Q584">
        <v>0</v>
      </c>
      <c r="R584">
        <v>0.903271170952971</v>
      </c>
      <c r="S584" t="s">
        <v>2252</v>
      </c>
      <c r="T584" t="s">
        <v>3312</v>
      </c>
      <c r="U584" t="s">
        <v>3312</v>
      </c>
      <c r="V584" t="s">
        <v>3312</v>
      </c>
      <c r="W584" t="s">
        <v>3895</v>
      </c>
      <c r="X584">
        <v>6</v>
      </c>
      <c r="Y584" t="s">
        <v>5535</v>
      </c>
      <c r="Z584" t="s">
        <v>7177</v>
      </c>
      <c r="AA584">
        <v>0.8000023696573761</v>
      </c>
      <c r="AB584">
        <f>HYPERLINK("Melting_Curves/meltCurve_P0AC84_gloB.pdf", "Melting_Curves/meltCurve_P0AC84_gloB.pdf")</f>
        <v>0</v>
      </c>
    </row>
    <row r="585" spans="1:28">
      <c r="A585" t="s">
        <v>611</v>
      </c>
      <c r="B585">
        <v>0.999984544473304</v>
      </c>
      <c r="C585">
        <v>0.8412687779714439</v>
      </c>
      <c r="D585">
        <v>0.290046647635718</v>
      </c>
      <c r="E585">
        <v>0.130604219283023</v>
      </c>
      <c r="F585">
        <v>0.0417224792953747</v>
      </c>
      <c r="G585">
        <v>0.026804469564381</v>
      </c>
      <c r="H585">
        <v>0.031326710936806</v>
      </c>
      <c r="I585">
        <v>0.028577525616046</v>
      </c>
      <c r="J585">
        <v>0</v>
      </c>
      <c r="K585">
        <v>0</v>
      </c>
      <c r="L585">
        <v>1344.64227995041</v>
      </c>
      <c r="M585">
        <v>32.1622716807749</v>
      </c>
      <c r="N585">
        <v>41.8863746353486</v>
      </c>
      <c r="O585">
        <v>41.6474361750655</v>
      </c>
      <c r="P585">
        <v>-0.187431478124889</v>
      </c>
      <c r="Q585">
        <v>0.0291729921376347</v>
      </c>
      <c r="R585">
        <v>0.994257401932846</v>
      </c>
      <c r="S585" t="s">
        <v>2253</v>
      </c>
      <c r="T585" t="s">
        <v>3312</v>
      </c>
      <c r="U585" t="s">
        <v>3312</v>
      </c>
      <c r="V585" t="s">
        <v>3312</v>
      </c>
      <c r="W585" t="s">
        <v>3896</v>
      </c>
      <c r="X585">
        <v>1</v>
      </c>
      <c r="Y585" t="s">
        <v>5536</v>
      </c>
      <c r="Z585" t="s">
        <v>7178</v>
      </c>
      <c r="AA585">
        <v>0.1896027551738665</v>
      </c>
      <c r="AB585">
        <f>HYPERLINK("Melting_Curves/meltCurve_P0AC86_glgP.pdf", "Melting_Curves/meltCurve_P0AC86_glgP.pdf")</f>
        <v>0</v>
      </c>
    </row>
    <row r="586" spans="1:28">
      <c r="A586" t="s">
        <v>612</v>
      </c>
      <c r="B586">
        <v>0.999984544473304</v>
      </c>
      <c r="C586">
        <v>0.9208745085354491</v>
      </c>
      <c r="D586">
        <v>0.7702504972636121</v>
      </c>
      <c r="E586">
        <v>0.961070723225544</v>
      </c>
      <c r="F586">
        <v>0.956221295194667</v>
      </c>
      <c r="G586">
        <v>0.7740524768357669</v>
      </c>
      <c r="H586">
        <v>0.667832394234143</v>
      </c>
      <c r="I586">
        <v>0.576396915453838</v>
      </c>
      <c r="J586">
        <v>0.385484612598848</v>
      </c>
      <c r="K586">
        <v>0.494761988699828</v>
      </c>
      <c r="L586">
        <v>411.806563198027</v>
      </c>
      <c r="M586">
        <v>6.45689737640099</v>
      </c>
      <c r="N586">
        <v>63.7777773159689</v>
      </c>
      <c r="O586">
        <v>58.4864602797389</v>
      </c>
      <c r="P586">
        <v>-0.0276686293012179</v>
      </c>
      <c r="Q586">
        <v>0</v>
      </c>
      <c r="R586">
        <v>0.835390350425706</v>
      </c>
      <c r="S586" t="s">
        <v>2254</v>
      </c>
      <c r="T586" t="s">
        <v>3312</v>
      </c>
      <c r="U586" t="s">
        <v>3312</v>
      </c>
      <c r="V586" t="s">
        <v>3312</v>
      </c>
      <c r="W586" t="s">
        <v>3897</v>
      </c>
      <c r="X586">
        <v>4</v>
      </c>
      <c r="Y586" t="s">
        <v>5537</v>
      </c>
      <c r="Z586" t="s">
        <v>7179</v>
      </c>
      <c r="AA586">
        <v>0.7719162231009707</v>
      </c>
      <c r="AB586">
        <f>HYPERLINK("Melting_Curves/meltCurve_P0AC92_gnsA.pdf", "Melting_Curves/meltCurve_P0AC92_gnsA.pdf")</f>
        <v>0</v>
      </c>
    </row>
    <row r="587" spans="1:28">
      <c r="A587" t="s">
        <v>613</v>
      </c>
      <c r="B587">
        <v>0.999984544473304</v>
      </c>
      <c r="C587">
        <v>0.701184069013059</v>
      </c>
      <c r="D587">
        <v>0.749463047199415</v>
      </c>
      <c r="E587">
        <v>0.467421649471586</v>
      </c>
      <c r="F587">
        <v>0.295491044913933</v>
      </c>
      <c r="G587">
        <v>0.121336352516801</v>
      </c>
      <c r="H587">
        <v>0.077187205429847</v>
      </c>
      <c r="I587">
        <v>0.0497307267846754</v>
      </c>
      <c r="J587">
        <v>0.0338326412839491</v>
      </c>
      <c r="K587">
        <v>0.0247156119745224</v>
      </c>
      <c r="L587">
        <v>515.128253030115</v>
      </c>
      <c r="M587">
        <v>11.2318936839523</v>
      </c>
      <c r="N587">
        <v>45.8629981022238</v>
      </c>
      <c r="O587">
        <v>44.4812707616535</v>
      </c>
      <c r="P587">
        <v>-0.0631467477267831</v>
      </c>
      <c r="Q587">
        <v>0</v>
      </c>
      <c r="R587">
        <v>0.9724279366030329</v>
      </c>
      <c r="S587" t="s">
        <v>2255</v>
      </c>
      <c r="T587" t="s">
        <v>3312</v>
      </c>
      <c r="U587" t="s">
        <v>3312</v>
      </c>
      <c r="V587" t="s">
        <v>3312</v>
      </c>
      <c r="W587" t="s">
        <v>3898</v>
      </c>
      <c r="X587">
        <v>4</v>
      </c>
      <c r="Y587" t="s">
        <v>5538</v>
      </c>
      <c r="Z587" t="s">
        <v>7180</v>
      </c>
      <c r="AA587">
        <v>0.3342609250535059</v>
      </c>
      <c r="AB587">
        <f>HYPERLINK("Melting_Curves/meltCurve_P0ACA1_yibF.pdf", "Melting_Curves/meltCurve_P0ACA1_yibF.pdf")</f>
        <v>0</v>
      </c>
    </row>
    <row r="588" spans="1:28">
      <c r="A588" t="s">
        <v>614</v>
      </c>
      <c r="B588">
        <v>0.999984544473304</v>
      </c>
      <c r="C588">
        <v>0.856313615074088</v>
      </c>
      <c r="D588">
        <v>1.25372066704344</v>
      </c>
      <c r="E588">
        <v>0.856671174000703</v>
      </c>
      <c r="F588">
        <v>0.734369373614723</v>
      </c>
      <c r="G588">
        <v>0.09446658258041871</v>
      </c>
      <c r="H588">
        <v>0.0485102630139141</v>
      </c>
      <c r="I588">
        <v>0.0177287952375328</v>
      </c>
      <c r="J588">
        <v>0.0165380322893598</v>
      </c>
      <c r="K588">
        <v>0.008719728412518781</v>
      </c>
      <c r="L588">
        <v>2336.21895214307</v>
      </c>
      <c r="M588">
        <v>45.6210914411941</v>
      </c>
      <c r="N588">
        <v>51.2478334712363</v>
      </c>
      <c r="O588">
        <v>51.1110816023305</v>
      </c>
      <c r="P588">
        <v>-0.219373773389698</v>
      </c>
      <c r="Q588">
        <v>0.0169093529561924</v>
      </c>
      <c r="R588">
        <v>0.952755858977639</v>
      </c>
      <c r="S588" t="s">
        <v>2256</v>
      </c>
      <c r="T588" t="s">
        <v>3312</v>
      </c>
      <c r="U588" t="s">
        <v>3312</v>
      </c>
      <c r="V588" t="s">
        <v>3312</v>
      </c>
      <c r="W588" t="s">
        <v>3899</v>
      </c>
      <c r="X588">
        <v>4</v>
      </c>
      <c r="Y588" t="s">
        <v>5539</v>
      </c>
      <c r="Z588" t="s">
        <v>7181</v>
      </c>
      <c r="AA588">
        <v>0.4852089676314829</v>
      </c>
      <c r="AB588">
        <f>HYPERLINK("Melting_Curves/meltCurve_P0ACA3_sspA.pdf", "Melting_Curves/meltCurve_P0ACA3_sspA.pdf")</f>
        <v>0</v>
      </c>
    </row>
    <row r="589" spans="1:28">
      <c r="A589" t="s">
        <v>615</v>
      </c>
      <c r="B589">
        <v>0.999984544473304</v>
      </c>
      <c r="C589">
        <v>0.680372041107872</v>
      </c>
      <c r="D589">
        <v>0.603905003625746</v>
      </c>
      <c r="E589">
        <v>0.462843966528423</v>
      </c>
      <c r="F589">
        <v>0.348547261112635</v>
      </c>
      <c r="G589">
        <v>0.195668970490538</v>
      </c>
      <c r="H589">
        <v>0.08967638075603469</v>
      </c>
      <c r="I589">
        <v>0.0368119756926005</v>
      </c>
      <c r="J589">
        <v>0.0222326383920089</v>
      </c>
      <c r="K589">
        <v>0.0246514190632919</v>
      </c>
      <c r="L589">
        <v>432.220156083</v>
      </c>
      <c r="M589">
        <v>9.53568552779327</v>
      </c>
      <c r="N589">
        <v>45.3265956103624</v>
      </c>
      <c r="O589">
        <v>43.4675290282213</v>
      </c>
      <c r="P589">
        <v>-0.0548757089058078</v>
      </c>
      <c r="Q589">
        <v>0</v>
      </c>
      <c r="R589">
        <v>0.968481188211739</v>
      </c>
      <c r="S589" t="s">
        <v>2257</v>
      </c>
      <c r="T589" t="s">
        <v>3312</v>
      </c>
      <c r="U589" t="s">
        <v>3312</v>
      </c>
      <c r="V589" t="s">
        <v>3312</v>
      </c>
      <c r="W589" t="s">
        <v>3900</v>
      </c>
      <c r="X589">
        <v>5</v>
      </c>
      <c r="Y589" t="s">
        <v>5540</v>
      </c>
      <c r="Z589" t="s">
        <v>7182</v>
      </c>
      <c r="AA589">
        <v>0.3296896463408008</v>
      </c>
      <c r="AB589">
        <f>HYPERLINK("Melting_Curves/meltCurve_P0ACA7_gstB.pdf", "Melting_Curves/meltCurve_P0ACA7_gstB.pdf")</f>
        <v>0</v>
      </c>
    </row>
    <row r="590" spans="1:28">
      <c r="A590" t="s">
        <v>616</v>
      </c>
      <c r="B590">
        <v>0.999984544473304</v>
      </c>
      <c r="C590">
        <v>0.7347914057789749</v>
      </c>
      <c r="D590">
        <v>0.661038658834289</v>
      </c>
      <c r="E590">
        <v>0.275771666472968</v>
      </c>
      <c r="F590">
        <v>0.208657570222631</v>
      </c>
      <c r="G590">
        <v>0.0768966724517911</v>
      </c>
      <c r="H590">
        <v>0.0445035252745439</v>
      </c>
      <c r="I590">
        <v>0.0742648377624041</v>
      </c>
      <c r="J590">
        <v>0.0312489943617544</v>
      </c>
      <c r="K590">
        <v>0.0427993226658159</v>
      </c>
      <c r="L590">
        <v>635.081385971872</v>
      </c>
      <c r="M590">
        <v>14.4495149970518</v>
      </c>
      <c r="N590">
        <v>44.1496143472303</v>
      </c>
      <c r="O590">
        <v>43.1356454562491</v>
      </c>
      <c r="P590">
        <v>-0.0811284071555467</v>
      </c>
      <c r="Q590">
        <v>0.0313538032824697</v>
      </c>
      <c r="R590">
        <v>0.981197157115413</v>
      </c>
      <c r="S590" t="s">
        <v>2258</v>
      </c>
      <c r="T590" t="s">
        <v>3312</v>
      </c>
      <c r="U590" t="s">
        <v>3312</v>
      </c>
      <c r="V590" t="s">
        <v>3312</v>
      </c>
      <c r="W590" t="s">
        <v>3901</v>
      </c>
      <c r="X590">
        <v>1</v>
      </c>
      <c r="Y590" t="s">
        <v>5541</v>
      </c>
      <c r="Z590" t="s">
        <v>7183</v>
      </c>
      <c r="AA590">
        <v>0.2818704071560903</v>
      </c>
      <c r="AB590">
        <f>HYPERLINK("Melting_Curves/meltCurve_P0ACB0_dnaB.pdf", "Melting_Curves/meltCurve_P0ACB0_dnaB.pdf")</f>
        <v>0</v>
      </c>
    </row>
    <row r="591" spans="1:28">
      <c r="A591" t="s">
        <v>617</v>
      </c>
      <c r="B591">
        <v>0.999984544473304</v>
      </c>
      <c r="C591">
        <v>1.2986095184112</v>
      </c>
      <c r="D591">
        <v>1.21874822957248</v>
      </c>
      <c r="E591">
        <v>1.20363469725909</v>
      </c>
      <c r="F591">
        <v>1.00849060737192</v>
      </c>
      <c r="G591">
        <v>1.13885314925776</v>
      </c>
      <c r="H591">
        <v>0.518384210635392</v>
      </c>
      <c r="I591">
        <v>0.197076918498134</v>
      </c>
      <c r="J591">
        <v>0.0771191954266158</v>
      </c>
      <c r="K591">
        <v>0.0410967841442894</v>
      </c>
      <c r="L591">
        <v>6176.15764422747</v>
      </c>
      <c r="M591">
        <v>107.745366983282</v>
      </c>
      <c r="N591">
        <v>57.4467380416329</v>
      </c>
      <c r="O591">
        <v>57.3020565007158</v>
      </c>
      <c r="P591">
        <v>-0.420974731600138</v>
      </c>
      <c r="Q591">
        <v>0.104454643282577</v>
      </c>
      <c r="R591">
        <v>0.908894003852048</v>
      </c>
      <c r="S591" t="s">
        <v>2259</v>
      </c>
      <c r="T591" t="s">
        <v>3312</v>
      </c>
      <c r="U591" t="s">
        <v>3312</v>
      </c>
      <c r="V591" t="s">
        <v>3312</v>
      </c>
      <c r="W591" t="s">
        <v>3902</v>
      </c>
      <c r="X591">
        <v>9</v>
      </c>
      <c r="Y591" t="s">
        <v>5542</v>
      </c>
      <c r="Z591" t="s">
        <v>7184</v>
      </c>
      <c r="AA591">
        <v>0.7115763863909663</v>
      </c>
      <c r="AB591">
        <f>HYPERLINK("Melting_Curves/meltCurve_P0ACB2_hemB.pdf", "Melting_Curves/meltCurve_P0ACB2_hemB.pdf")</f>
        <v>0</v>
      </c>
    </row>
    <row r="592" spans="1:28">
      <c r="A592" t="s">
        <v>618</v>
      </c>
      <c r="B592">
        <v>0.999984544473304</v>
      </c>
      <c r="C592">
        <v>0.905033551968616</v>
      </c>
      <c r="D592">
        <v>1.00739408020452</v>
      </c>
      <c r="E592">
        <v>1.01315825558748</v>
      </c>
      <c r="F592">
        <v>0.970535676396457</v>
      </c>
      <c r="G592">
        <v>0.654290422058613</v>
      </c>
      <c r="H592">
        <v>0.286974142846132</v>
      </c>
      <c r="I592">
        <v>0.141661030674481</v>
      </c>
      <c r="J592">
        <v>0.0962078946149344</v>
      </c>
      <c r="K592">
        <v>0.09734690534855001</v>
      </c>
      <c r="L592">
        <v>1652.59376624594</v>
      </c>
      <c r="M592">
        <v>30.1698887778965</v>
      </c>
      <c r="N592">
        <v>55.1612810196101</v>
      </c>
      <c r="O592">
        <v>54.5372989021805</v>
      </c>
      <c r="P592">
        <v>-0.125169518655059</v>
      </c>
      <c r="Q592">
        <v>0.0949434936374188</v>
      </c>
      <c r="R592">
        <v>0.993220951076518</v>
      </c>
      <c r="S592" t="s">
        <v>2260</v>
      </c>
      <c r="T592" t="s">
        <v>3312</v>
      </c>
      <c r="U592" t="s">
        <v>3312</v>
      </c>
      <c r="V592" t="s">
        <v>3312</v>
      </c>
      <c r="W592" t="s">
        <v>3903</v>
      </c>
      <c r="X592">
        <v>6</v>
      </c>
      <c r="Y592" t="s">
        <v>5543</v>
      </c>
      <c r="Z592" t="s">
        <v>7185</v>
      </c>
      <c r="AA592">
        <v>0.6369306240635279</v>
      </c>
      <c r="AB592">
        <f>HYPERLINK("Melting_Curves/meltCurve_P0ACB7_hemY.pdf", "Melting_Curves/meltCurve_P0ACB7_hemY.pdf")</f>
        <v>0</v>
      </c>
    </row>
    <row r="593" spans="1:28">
      <c r="A593" t="s">
        <v>619</v>
      </c>
      <c r="B593">
        <v>0.999984544473304</v>
      </c>
      <c r="C593">
        <v>1.16138565418749</v>
      </c>
      <c r="D593">
        <v>0.725595200538782</v>
      </c>
      <c r="E593">
        <v>1.16967785814259</v>
      </c>
      <c r="F593">
        <v>0.598871572028439</v>
      </c>
      <c r="G593">
        <v>0.599742668437948</v>
      </c>
      <c r="H593">
        <v>0.47658354701832</v>
      </c>
      <c r="I593">
        <v>0.459419316493778</v>
      </c>
      <c r="J593">
        <v>0.27378932004624</v>
      </c>
      <c r="K593">
        <v>0.58085480121434</v>
      </c>
      <c r="L593">
        <v>12489.7500778761</v>
      </c>
      <c r="M593">
        <v>250</v>
      </c>
      <c r="N593">
        <v>50.591825230463</v>
      </c>
      <c r="O593">
        <v>49.9558032887117</v>
      </c>
      <c r="P593">
        <v>-0.652979788138349</v>
      </c>
      <c r="Q593">
        <v>0.47807792327621</v>
      </c>
      <c r="R593">
        <v>0.766954610862529</v>
      </c>
      <c r="S593" t="s">
        <v>2261</v>
      </c>
      <c r="T593" t="s">
        <v>3312</v>
      </c>
      <c r="U593" t="s">
        <v>3312</v>
      </c>
      <c r="V593" t="s">
        <v>3312</v>
      </c>
      <c r="W593" t="s">
        <v>3904</v>
      </c>
      <c r="X593">
        <v>2</v>
      </c>
      <c r="Y593" t="s">
        <v>5544</v>
      </c>
      <c r="Z593" t="s">
        <v>7186</v>
      </c>
      <c r="AA593">
        <v>0.7035766291395011</v>
      </c>
      <c r="AB593">
        <f>HYPERLINK("Melting_Curves/meltCurve_P0ACC3_erpA.pdf", "Melting_Curves/meltCurve_P0ACC3_erpA.pdf")</f>
        <v>0</v>
      </c>
    </row>
    <row r="594" spans="1:28">
      <c r="A594" t="s">
        <v>620</v>
      </c>
      <c r="B594">
        <v>0.999984544473304</v>
      </c>
      <c r="C594">
        <v>1.13667391608202</v>
      </c>
      <c r="D594">
        <v>1.21948222007477</v>
      </c>
      <c r="E594">
        <v>1.14385607988247</v>
      </c>
      <c r="F594">
        <v>1.13802083379845</v>
      </c>
      <c r="G594">
        <v>1.18970315944919</v>
      </c>
      <c r="H594">
        <v>0.911481043966933</v>
      </c>
      <c r="I594">
        <v>0.0714160334713427</v>
      </c>
      <c r="J594">
        <v>0.0324251601832013</v>
      </c>
      <c r="K594">
        <v>0.0340525917717665</v>
      </c>
      <c r="L594">
        <v>5384.33979701106</v>
      </c>
      <c r="M594">
        <v>91.4977969431024</v>
      </c>
      <c r="N594">
        <v>58.8912866230551</v>
      </c>
      <c r="O594">
        <v>58.818566277215</v>
      </c>
      <c r="P594">
        <v>-0.375873863456996</v>
      </c>
      <c r="Q594">
        <v>0.0334910401991367</v>
      </c>
      <c r="R594">
        <v>0.941323857887688</v>
      </c>
      <c r="S594" t="s">
        <v>2262</v>
      </c>
      <c r="T594" t="s">
        <v>3312</v>
      </c>
      <c r="U594" t="s">
        <v>3312</v>
      </c>
      <c r="V594" t="s">
        <v>3312</v>
      </c>
      <c r="W594" t="s">
        <v>3905</v>
      </c>
      <c r="X594">
        <v>14</v>
      </c>
      <c r="Y594" t="s">
        <v>5545</v>
      </c>
      <c r="Z594" t="s">
        <v>7187</v>
      </c>
      <c r="AA594">
        <v>0.7380699900098333</v>
      </c>
      <c r="AB594">
        <f>HYPERLINK("Melting_Curves/meltCurve_P0ACC7_glmU.pdf", "Melting_Curves/meltCurve_P0ACC7_glmU.pdf")</f>
        <v>0</v>
      </c>
    </row>
    <row r="595" spans="1:28">
      <c r="A595" t="s">
        <v>621</v>
      </c>
      <c r="B595">
        <v>0.999984544473304</v>
      </c>
      <c r="C595">
        <v>1.00918437684133</v>
      </c>
      <c r="D595">
        <v>0.776235689163618</v>
      </c>
      <c r="E595">
        <v>0.963749171845802</v>
      </c>
      <c r="F595">
        <v>1.31106932654979</v>
      </c>
      <c r="G595">
        <v>0.920073167448571</v>
      </c>
      <c r="H595">
        <v>0.965054841079093</v>
      </c>
      <c r="I595">
        <v>0.897361519473923</v>
      </c>
      <c r="J595">
        <v>0.645178475890174</v>
      </c>
      <c r="K595">
        <v>0.776190396596422</v>
      </c>
      <c r="L595">
        <v>15000</v>
      </c>
      <c r="M595">
        <v>245.303521921548</v>
      </c>
      <c r="O595">
        <v>61.1446704255038</v>
      </c>
      <c r="P595">
        <v>-0.290173750257237</v>
      </c>
      <c r="Q595">
        <v>0.710683676175821</v>
      </c>
      <c r="R595">
        <v>0.429492943429293</v>
      </c>
      <c r="S595" t="s">
        <v>2263</v>
      </c>
      <c r="T595" t="s">
        <v>3312</v>
      </c>
      <c r="U595" t="s">
        <v>3312</v>
      </c>
      <c r="V595" t="s">
        <v>3312</v>
      </c>
      <c r="W595" t="s">
        <v>3906</v>
      </c>
      <c r="X595">
        <v>4</v>
      </c>
      <c r="Y595" t="s">
        <v>5546</v>
      </c>
      <c r="Z595" t="s">
        <v>7188</v>
      </c>
      <c r="AA595">
        <v>0.9436033636491744</v>
      </c>
      <c r="AB595">
        <f>HYPERLINK("Melting_Curves/meltCurve_P0ACD4_iscU.pdf", "Melting_Curves/meltCurve_P0ACD4_iscU.pdf")</f>
        <v>0</v>
      </c>
    </row>
    <row r="596" spans="1:28">
      <c r="A596" t="s">
        <v>622</v>
      </c>
      <c r="B596">
        <v>0.999984544473304</v>
      </c>
      <c r="C596">
        <v>1.08342494767639</v>
      </c>
      <c r="D596">
        <v>0.907494674111868</v>
      </c>
      <c r="E596">
        <v>0.915903484336718</v>
      </c>
      <c r="F596">
        <v>0.746207611040934</v>
      </c>
      <c r="G596">
        <v>0.6916562585303691</v>
      </c>
      <c r="H596">
        <v>0.456708708859223</v>
      </c>
      <c r="I596">
        <v>0.419002442645344</v>
      </c>
      <c r="J596">
        <v>0.374252842928509</v>
      </c>
      <c r="K596">
        <v>0.399564617153275</v>
      </c>
      <c r="L596">
        <v>709.6209931759</v>
      </c>
      <c r="M596">
        <v>13.4410351281927</v>
      </c>
      <c r="N596">
        <v>57.4869818562991</v>
      </c>
      <c r="O596">
        <v>51.6675786081707</v>
      </c>
      <c r="P596">
        <v>-0.0433815799686815</v>
      </c>
      <c r="Q596">
        <v>0.333065356530533</v>
      </c>
      <c r="R596">
        <v>0.967907202200319</v>
      </c>
      <c r="S596" t="s">
        <v>2264</v>
      </c>
      <c r="T596" t="s">
        <v>3312</v>
      </c>
      <c r="U596" t="s">
        <v>3312</v>
      </c>
      <c r="V596" t="s">
        <v>3312</v>
      </c>
      <c r="W596" t="s">
        <v>3907</v>
      </c>
      <c r="X596">
        <v>10</v>
      </c>
      <c r="Y596" t="s">
        <v>5547</v>
      </c>
      <c r="Z596" t="s">
        <v>7189</v>
      </c>
      <c r="AA596">
        <v>0.6975665652562226</v>
      </c>
      <c r="AB596">
        <f>HYPERLINK("Melting_Curves/meltCurve_P0ACD8_hyaB.pdf", "Melting_Curves/meltCurve_P0ACD8_hyaB.pdf")</f>
        <v>0</v>
      </c>
    </row>
    <row r="597" spans="1:28">
      <c r="A597" t="s">
        <v>623</v>
      </c>
      <c r="B597">
        <v>0.999984544473304</v>
      </c>
      <c r="C597">
        <v>1.10583357015921</v>
      </c>
      <c r="D597">
        <v>1.04293925982564</v>
      </c>
      <c r="E597">
        <v>0.734032380471198</v>
      </c>
      <c r="F597">
        <v>0.67209241457864</v>
      </c>
      <c r="G597">
        <v>0.454587230489827</v>
      </c>
      <c r="H597">
        <v>0.32317004642744</v>
      </c>
      <c r="I597">
        <v>0.26705689177601</v>
      </c>
      <c r="J597">
        <v>0.227717720432574</v>
      </c>
      <c r="K597">
        <v>0.152710915704657</v>
      </c>
      <c r="L597">
        <v>710.033742206693</v>
      </c>
      <c r="M597">
        <v>13.8168786897458</v>
      </c>
      <c r="N597">
        <v>52.8597351384148</v>
      </c>
      <c r="O597">
        <v>50.3482817611054</v>
      </c>
      <c r="P597">
        <v>-0.0576654114689782</v>
      </c>
      <c r="Q597">
        <v>0.159593122913419</v>
      </c>
      <c r="R597">
        <v>0.968424776480813</v>
      </c>
      <c r="S597" t="s">
        <v>2265</v>
      </c>
      <c r="T597" t="s">
        <v>3312</v>
      </c>
      <c r="U597" t="s">
        <v>3312</v>
      </c>
      <c r="V597" t="s">
        <v>3312</v>
      </c>
      <c r="W597" t="s">
        <v>3908</v>
      </c>
      <c r="X597">
        <v>13</v>
      </c>
      <c r="Y597" t="s">
        <v>5548</v>
      </c>
      <c r="Z597" t="s">
        <v>7190</v>
      </c>
      <c r="AA597">
        <v>0.5810028998529955</v>
      </c>
      <c r="AB597">
        <f>HYPERLINK("Melting_Curves/meltCurve_P0ACE0_hybC.pdf", "Melting_Curves/meltCurve_P0ACE0_hybC.pdf")</f>
        <v>0</v>
      </c>
    </row>
    <row r="598" spans="1:28">
      <c r="A598" t="s">
        <v>624</v>
      </c>
      <c r="B598">
        <v>0.999984544473304</v>
      </c>
      <c r="C598">
        <v>1.10931791936802</v>
      </c>
      <c r="D598">
        <v>0.855607508775454</v>
      </c>
      <c r="E598">
        <v>1.05538325525986</v>
      </c>
      <c r="F598">
        <v>0.790486316666799</v>
      </c>
      <c r="G598">
        <v>0.7064498133016039</v>
      </c>
      <c r="H598">
        <v>0.524283060880201</v>
      </c>
      <c r="I598">
        <v>0.53959738276895</v>
      </c>
      <c r="J598">
        <v>0.297614311305045</v>
      </c>
      <c r="K598">
        <v>0.495291061703961</v>
      </c>
      <c r="L598">
        <v>910.325841168026</v>
      </c>
      <c r="M598">
        <v>17.0587483575403</v>
      </c>
      <c r="N598">
        <v>59.0340554199756</v>
      </c>
      <c r="O598">
        <v>52.6470112973896</v>
      </c>
      <c r="P598">
        <v>-0.0483749368040706</v>
      </c>
      <c r="Q598">
        <v>0.402854058485705</v>
      </c>
      <c r="R598">
        <v>0.886762535336802</v>
      </c>
      <c r="S598" t="s">
        <v>2266</v>
      </c>
      <c r="T598" t="s">
        <v>3312</v>
      </c>
      <c r="U598" t="s">
        <v>3312</v>
      </c>
      <c r="V598" t="s">
        <v>3312</v>
      </c>
      <c r="W598" t="s">
        <v>3909</v>
      </c>
      <c r="X598">
        <v>3</v>
      </c>
      <c r="Y598" t="s">
        <v>5549</v>
      </c>
      <c r="Z598" t="s">
        <v>7191</v>
      </c>
      <c r="AA598">
        <v>0.7376562634725993</v>
      </c>
      <c r="AB598">
        <f>HYPERLINK("Melting_Curves/meltCurve_P0ACE7_hinT.pdf", "Melting_Curves/meltCurve_P0ACE7_hinT.pdf")</f>
        <v>0</v>
      </c>
    </row>
    <row r="599" spans="1:28">
      <c r="A599" t="s">
        <v>625</v>
      </c>
      <c r="B599">
        <v>0.999984544473304</v>
      </c>
      <c r="C599">
        <v>1.39779839449041</v>
      </c>
      <c r="D599">
        <v>1.29613080718475</v>
      </c>
      <c r="E599">
        <v>1.26672346313299</v>
      </c>
      <c r="F599">
        <v>1.42984362448059</v>
      </c>
      <c r="G599">
        <v>0.9734832925985391</v>
      </c>
      <c r="H599">
        <v>1.03674151937938</v>
      </c>
      <c r="I599">
        <v>0.555229702463257</v>
      </c>
      <c r="J599">
        <v>0.658485979847713</v>
      </c>
      <c r="K599">
        <v>0.526354499471322</v>
      </c>
      <c r="L599">
        <v>10034.5933682239</v>
      </c>
      <c r="M599">
        <v>169.468976034373</v>
      </c>
      <c r="O599">
        <v>59.2037352806637</v>
      </c>
      <c r="P599">
        <v>-0.30114774473499</v>
      </c>
      <c r="Q599">
        <v>0.579177944099606</v>
      </c>
      <c r="R599">
        <v>0.506251012149067</v>
      </c>
      <c r="S599" t="s">
        <v>2267</v>
      </c>
      <c r="T599" t="s">
        <v>3312</v>
      </c>
      <c r="U599" t="s">
        <v>3312</v>
      </c>
      <c r="V599" t="s">
        <v>3312</v>
      </c>
      <c r="W599" t="s">
        <v>3910</v>
      </c>
      <c r="X599">
        <v>5</v>
      </c>
      <c r="Y599" t="s">
        <v>5550</v>
      </c>
      <c r="Z599" t="s">
        <v>7192</v>
      </c>
      <c r="AA599">
        <v>0.8908494835070714</v>
      </c>
      <c r="AB599">
        <f>HYPERLINK("Melting_Curves/meltCurve_P0ACF0_hupA.pdf", "Melting_Curves/meltCurve_P0ACF0_hupA.pdf")</f>
        <v>0</v>
      </c>
    </row>
    <row r="600" spans="1:28">
      <c r="A600" t="s">
        <v>626</v>
      </c>
      <c r="B600">
        <v>0.999984544473304</v>
      </c>
      <c r="C600">
        <v>1.29513641912995</v>
      </c>
      <c r="D600">
        <v>1.06454251235319</v>
      </c>
      <c r="E600">
        <v>1.15000468846844</v>
      </c>
      <c r="F600">
        <v>1.13367193857665</v>
      </c>
      <c r="G600">
        <v>0.983172387447473</v>
      </c>
      <c r="H600">
        <v>0.871311933869837</v>
      </c>
      <c r="I600">
        <v>0.745648522374419</v>
      </c>
      <c r="J600">
        <v>0.669254660310096</v>
      </c>
      <c r="K600">
        <v>0.8135320173449661</v>
      </c>
      <c r="L600">
        <v>3648.60916050195</v>
      </c>
      <c r="M600">
        <v>63.568406496537</v>
      </c>
      <c r="O600">
        <v>57.3398595388431</v>
      </c>
      <c r="P600">
        <v>-0.07181611331043609</v>
      </c>
      <c r="Q600">
        <v>0.740882322103754</v>
      </c>
      <c r="R600">
        <v>0.59331737603805</v>
      </c>
      <c r="S600" t="s">
        <v>2268</v>
      </c>
      <c r="T600" t="s">
        <v>3312</v>
      </c>
      <c r="U600" t="s">
        <v>3312</v>
      </c>
      <c r="V600" t="s">
        <v>3312</v>
      </c>
      <c r="W600" t="s">
        <v>3911</v>
      </c>
      <c r="X600">
        <v>3</v>
      </c>
      <c r="Y600" t="s">
        <v>5551</v>
      </c>
      <c r="Z600" t="s">
        <v>7193</v>
      </c>
      <c r="AA600">
        <v>0.9174565862804572</v>
      </c>
      <c r="AB600">
        <f>HYPERLINK("Melting_Curves/meltCurve_P0ACF4_hupB.pdf", "Melting_Curves/meltCurve_P0ACF4_hupB.pdf")</f>
        <v>0</v>
      </c>
    </row>
    <row r="601" spans="1:28">
      <c r="A601" t="s">
        <v>627</v>
      </c>
      <c r="B601">
        <v>0.999984544473304</v>
      </c>
      <c r="C601">
        <v>1.33243089925393</v>
      </c>
      <c r="D601">
        <v>0.998053435499307</v>
      </c>
      <c r="E601">
        <v>1.04140844071115</v>
      </c>
      <c r="F601">
        <v>0.908219087423744</v>
      </c>
      <c r="G601">
        <v>0.736589427283374</v>
      </c>
      <c r="H601">
        <v>0.742927984538522</v>
      </c>
      <c r="I601">
        <v>0.631161796270165</v>
      </c>
      <c r="J601">
        <v>0.442909051373967</v>
      </c>
      <c r="K601">
        <v>0.533139787868491</v>
      </c>
      <c r="L601">
        <v>818.185485680349</v>
      </c>
      <c r="M601">
        <v>14.5522901862637</v>
      </c>
      <c r="N601">
        <v>66.99972648319461</v>
      </c>
      <c r="O601">
        <v>55.1941114385518</v>
      </c>
      <c r="P601">
        <v>-0.0361342090800216</v>
      </c>
      <c r="Q601">
        <v>0.451861203370003</v>
      </c>
      <c r="R601">
        <v>0.79178354696403</v>
      </c>
      <c r="S601" t="s">
        <v>2269</v>
      </c>
      <c r="T601" t="s">
        <v>3312</v>
      </c>
      <c r="U601" t="s">
        <v>3312</v>
      </c>
      <c r="V601" t="s">
        <v>3312</v>
      </c>
      <c r="W601" t="s">
        <v>3912</v>
      </c>
      <c r="X601">
        <v>5</v>
      </c>
      <c r="Y601" t="s">
        <v>5552</v>
      </c>
      <c r="Z601" t="s">
        <v>7194</v>
      </c>
      <c r="AA601">
        <v>0.808958907176495</v>
      </c>
      <c r="AB601">
        <f>HYPERLINK("Melting_Curves/meltCurve_P0ACF8_hns.pdf", "Melting_Curves/meltCurve_P0ACF8_hns.pdf")</f>
        <v>0</v>
      </c>
    </row>
    <row r="602" spans="1:28">
      <c r="A602" t="s">
        <v>628</v>
      </c>
      <c r="B602">
        <v>0.999984544473304</v>
      </c>
      <c r="C602">
        <v>1.75366976095695</v>
      </c>
      <c r="D602">
        <v>1.1584157373831</v>
      </c>
      <c r="E602">
        <v>1.3168288565075</v>
      </c>
      <c r="F602">
        <v>0.786374957667227</v>
      </c>
      <c r="G602">
        <v>0.7015953567751581</v>
      </c>
      <c r="H602">
        <v>0.658469111992528</v>
      </c>
      <c r="I602">
        <v>0.538122574197902</v>
      </c>
      <c r="J602">
        <v>0.328962320087033</v>
      </c>
      <c r="K602">
        <v>0.400060172838653</v>
      </c>
      <c r="L602">
        <v>976.123094723854</v>
      </c>
      <c r="M602">
        <v>17.5529268869414</v>
      </c>
      <c r="N602">
        <v>59.9080021670363</v>
      </c>
      <c r="O602">
        <v>54.9035743092533</v>
      </c>
      <c r="P602">
        <v>-0.0513103646841399</v>
      </c>
      <c r="Q602">
        <v>0.35806310528616</v>
      </c>
      <c r="R602">
        <v>0.581124909867716</v>
      </c>
      <c r="S602" t="s">
        <v>2270</v>
      </c>
      <c r="T602" t="s">
        <v>3312</v>
      </c>
      <c r="U602" t="s">
        <v>3312</v>
      </c>
      <c r="V602" t="s">
        <v>3312</v>
      </c>
      <c r="W602" t="s">
        <v>3913</v>
      </c>
      <c r="X602">
        <v>5</v>
      </c>
      <c r="Y602" t="s">
        <v>5553</v>
      </c>
      <c r="Z602" t="s">
        <v>7195</v>
      </c>
      <c r="AA602">
        <v>0.7639020398560814</v>
      </c>
      <c r="AB602">
        <f>HYPERLINK("Melting_Curves/meltCurve_P0ACG1_stpA.pdf", "Melting_Curves/meltCurve_P0ACG1_stpA.pdf")</f>
        <v>0</v>
      </c>
    </row>
    <row r="603" spans="1:28">
      <c r="A603" t="s">
        <v>629</v>
      </c>
      <c r="B603">
        <v>0.999984544473304</v>
      </c>
      <c r="C603">
        <v>0.982709728801399</v>
      </c>
      <c r="D603">
        <v>1.12977765706156</v>
      </c>
      <c r="E603">
        <v>0.467372898168006</v>
      </c>
      <c r="F603">
        <v>0.122858397377526</v>
      </c>
      <c r="G603">
        <v>0.044521230347661</v>
      </c>
      <c r="H603">
        <v>0.0306713846250632</v>
      </c>
      <c r="I603">
        <v>0.0233326940307529</v>
      </c>
      <c r="J603">
        <v>0.0179395866186281</v>
      </c>
      <c r="K603">
        <v>0.0211431871308764</v>
      </c>
      <c r="L603">
        <v>4308.15236181613</v>
      </c>
      <c r="M603">
        <v>92.6746276269147</v>
      </c>
      <c r="N603">
        <v>46.5322117206678</v>
      </c>
      <c r="O603">
        <v>46.465243184518</v>
      </c>
      <c r="P603">
        <v>-0.477091573722346</v>
      </c>
      <c r="Q603">
        <v>0.0431829512878712</v>
      </c>
      <c r="R603">
        <v>0.987461168109047</v>
      </c>
      <c r="S603" t="s">
        <v>2271</v>
      </c>
      <c r="T603" t="s">
        <v>3312</v>
      </c>
      <c r="U603" t="s">
        <v>3312</v>
      </c>
      <c r="V603" t="s">
        <v>3312</v>
      </c>
      <c r="W603" t="s">
        <v>3914</v>
      </c>
      <c r="X603">
        <v>7</v>
      </c>
      <c r="Y603" t="s">
        <v>5554</v>
      </c>
      <c r="Z603" t="s">
        <v>7196</v>
      </c>
      <c r="AA603">
        <v>0.3463247507470069</v>
      </c>
      <c r="AB603">
        <f>HYPERLINK("Melting_Curves/meltCurve_P0ACI0_rob.pdf", "Melting_Curves/meltCurve_P0ACI0_rob.pdf")</f>
        <v>0</v>
      </c>
    </row>
    <row r="604" spans="1:28">
      <c r="A604" t="s">
        <v>630</v>
      </c>
      <c r="B604">
        <v>0.999984544473304</v>
      </c>
      <c r="C604">
        <v>1.19783490324502</v>
      </c>
      <c r="D604">
        <v>1.0318934143836</v>
      </c>
      <c r="E604">
        <v>0.8323819168566819</v>
      </c>
      <c r="F604">
        <v>0.547247137584121</v>
      </c>
      <c r="G604">
        <v>0.0688757813536147</v>
      </c>
      <c r="H604">
        <v>0.043013776267428</v>
      </c>
      <c r="I604">
        <v>0.030657328436572</v>
      </c>
      <c r="J604">
        <v>0.0256746615382509</v>
      </c>
      <c r="K604">
        <v>0.0259279051474416</v>
      </c>
      <c r="L604">
        <v>1473.24384273461</v>
      </c>
      <c r="M604">
        <v>29.3845132984979</v>
      </c>
      <c r="N604">
        <v>50.1864175668921</v>
      </c>
      <c r="O604">
        <v>49.9062598750227</v>
      </c>
      <c r="P604">
        <v>-0.145089821373282</v>
      </c>
      <c r="Q604">
        <v>0.0143326170378098</v>
      </c>
      <c r="R604">
        <v>0.975924049602819</v>
      </c>
      <c r="S604" t="s">
        <v>2272</v>
      </c>
      <c r="T604" t="s">
        <v>3312</v>
      </c>
      <c r="U604" t="s">
        <v>3312</v>
      </c>
      <c r="V604" t="s">
        <v>3312</v>
      </c>
      <c r="W604" t="s">
        <v>3915</v>
      </c>
      <c r="X604">
        <v>9</v>
      </c>
      <c r="Y604" t="s">
        <v>5555</v>
      </c>
      <c r="Z604" t="s">
        <v>7197</v>
      </c>
      <c r="AA604">
        <v>0.4522615494903222</v>
      </c>
      <c r="AB604">
        <f>HYPERLINK("Melting_Curves/meltCurve_P0ACJ0_lrp.pdf", "Melting_Curves/meltCurve_P0ACJ0_lrp.pdf")</f>
        <v>0</v>
      </c>
    </row>
    <row r="605" spans="1:28">
      <c r="A605" t="s">
        <v>631</v>
      </c>
      <c r="B605">
        <v>0.999984544473304</v>
      </c>
      <c r="C605">
        <v>0.678745067839632</v>
      </c>
      <c r="D605">
        <v>0.759545305298856</v>
      </c>
      <c r="E605">
        <v>0.228388494433103</v>
      </c>
      <c r="F605">
        <v>0.0456728050217463</v>
      </c>
      <c r="G605">
        <v>0.0190718131550533</v>
      </c>
      <c r="H605">
        <v>0.0122634082641185</v>
      </c>
      <c r="I605">
        <v>0.009212797251487159</v>
      </c>
      <c r="J605">
        <v>0.00811897847153792</v>
      </c>
      <c r="K605">
        <v>0.00587319898893236</v>
      </c>
      <c r="L605">
        <v>793.471345773697</v>
      </c>
      <c r="M605">
        <v>18.0033752266399</v>
      </c>
      <c r="N605">
        <v>44.0734524602625</v>
      </c>
      <c r="O605">
        <v>43.5404929720271</v>
      </c>
      <c r="P605">
        <v>-0.103376544662057</v>
      </c>
      <c r="Q605">
        <v>0</v>
      </c>
      <c r="R605">
        <v>0.951500455395891</v>
      </c>
      <c r="S605" t="s">
        <v>2273</v>
      </c>
      <c r="T605" t="s">
        <v>3312</v>
      </c>
      <c r="U605" t="s">
        <v>3312</v>
      </c>
      <c r="V605" t="s">
        <v>3312</v>
      </c>
      <c r="W605" t="s">
        <v>3916</v>
      </c>
      <c r="X605">
        <v>9</v>
      </c>
      <c r="Y605" t="s">
        <v>5556</v>
      </c>
      <c r="Z605" t="s">
        <v>7198</v>
      </c>
      <c r="AA605">
        <v>0.2525757622898248</v>
      </c>
      <c r="AB605">
        <f>HYPERLINK("Melting_Curves/meltCurve_P0ACJ8_crp.pdf", "Melting_Curves/meltCurve_P0ACJ8_crp.pdf")</f>
        <v>0</v>
      </c>
    </row>
    <row r="606" spans="1:28">
      <c r="A606" t="s">
        <v>632</v>
      </c>
      <c r="B606">
        <v>0.999984544473304</v>
      </c>
      <c r="C606">
        <v>0.999855090864765</v>
      </c>
      <c r="D606">
        <v>0.995889028180142</v>
      </c>
      <c r="E606">
        <v>0.947013968073917</v>
      </c>
      <c r="F606">
        <v>0.906766533619435</v>
      </c>
      <c r="G606">
        <v>0.750156645840644</v>
      </c>
      <c r="H606">
        <v>0.534139735139745</v>
      </c>
      <c r="I606">
        <v>0.430408833359248</v>
      </c>
      <c r="J606">
        <v>0.198456244691414</v>
      </c>
      <c r="K606">
        <v>0.131274500914036</v>
      </c>
      <c r="L606">
        <v>779.064316183405</v>
      </c>
      <c r="M606">
        <v>13.3417868756783</v>
      </c>
      <c r="N606">
        <v>58.3928018301889</v>
      </c>
      <c r="O606">
        <v>57.1277653341087</v>
      </c>
      <c r="P606">
        <v>-0.0583950813920633</v>
      </c>
      <c r="Q606">
        <v>0</v>
      </c>
      <c r="R606">
        <v>0.992769254931509</v>
      </c>
      <c r="S606" t="s">
        <v>2274</v>
      </c>
      <c r="T606" t="s">
        <v>3312</v>
      </c>
      <c r="U606" t="s">
        <v>3312</v>
      </c>
      <c r="V606" t="s">
        <v>3312</v>
      </c>
      <c r="W606" t="s">
        <v>3917</v>
      </c>
      <c r="X606">
        <v>2</v>
      </c>
      <c r="Y606" t="s">
        <v>5557</v>
      </c>
      <c r="Z606" t="s">
        <v>7199</v>
      </c>
      <c r="AA606">
        <v>0.7125697599361409</v>
      </c>
      <c r="AB606">
        <f>HYPERLINK("Melting_Curves/meltCurve_P0ACK2_agaR.pdf", "Melting_Curves/meltCurve_P0ACK2_agaR.pdf")</f>
        <v>0</v>
      </c>
    </row>
    <row r="607" spans="1:28">
      <c r="A607" t="s">
        <v>633</v>
      </c>
      <c r="B607">
        <v>0.999984544473304</v>
      </c>
      <c r="C607">
        <v>0.887487967989916</v>
      </c>
      <c r="D607">
        <v>0.621882259690019</v>
      </c>
      <c r="E607">
        <v>0.5141773860391829</v>
      </c>
      <c r="F607">
        <v>0.270177743471246</v>
      </c>
      <c r="G607">
        <v>0.0938744008768964</v>
      </c>
      <c r="H607">
        <v>0.069567360764515</v>
      </c>
      <c r="I607">
        <v>0.0509340277196291</v>
      </c>
      <c r="J607">
        <v>0.0358718171372017</v>
      </c>
      <c r="K607">
        <v>0.0469716175391426</v>
      </c>
      <c r="L607">
        <v>580.781985070068</v>
      </c>
      <c r="M607">
        <v>12.6708890165567</v>
      </c>
      <c r="N607">
        <v>45.8960505279273</v>
      </c>
      <c r="O607">
        <v>44.7392274241634</v>
      </c>
      <c r="P607">
        <v>-0.070234891683485</v>
      </c>
      <c r="Q607">
        <v>0.00823325168716856</v>
      </c>
      <c r="R607">
        <v>0.987756712210423</v>
      </c>
      <c r="S607" t="s">
        <v>2275</v>
      </c>
      <c r="T607" t="s">
        <v>3312</v>
      </c>
      <c r="U607" t="s">
        <v>3312</v>
      </c>
      <c r="V607" t="s">
        <v>3312</v>
      </c>
      <c r="W607" t="s">
        <v>3918</v>
      </c>
      <c r="X607">
        <v>3</v>
      </c>
      <c r="Y607" t="s">
        <v>5558</v>
      </c>
      <c r="Z607" t="s">
        <v>7200</v>
      </c>
      <c r="AA607">
        <v>0.3317093851033371</v>
      </c>
      <c r="AB607">
        <f>HYPERLINK("Melting_Curves/meltCurve_P0ACL2_exuR.pdf", "Melting_Curves/meltCurve_P0ACL2_exuR.pdf")</f>
        <v>0</v>
      </c>
    </row>
    <row r="608" spans="1:28">
      <c r="A608" t="s">
        <v>634</v>
      </c>
      <c r="B608">
        <v>0.999984544473304</v>
      </c>
      <c r="C608">
        <v>0.78451030413246</v>
      </c>
      <c r="D608">
        <v>0.852198737399978</v>
      </c>
      <c r="E608">
        <v>0.557789748133544</v>
      </c>
      <c r="F608">
        <v>0.318356055851527</v>
      </c>
      <c r="G608">
        <v>0.183995618554818</v>
      </c>
      <c r="H608">
        <v>0.16703767147114</v>
      </c>
      <c r="I608">
        <v>0.112336527003335</v>
      </c>
      <c r="J608">
        <v>0.0711492728825673</v>
      </c>
      <c r="K608">
        <v>0.0454539368571472</v>
      </c>
      <c r="L608">
        <v>574.733165534989</v>
      </c>
      <c r="M608">
        <v>12.1956238550969</v>
      </c>
      <c r="N608">
        <v>47.4218891011287</v>
      </c>
      <c r="O608">
        <v>45.9128069985129</v>
      </c>
      <c r="P608">
        <v>-0.0639894981150096</v>
      </c>
      <c r="Q608">
        <v>0.036614296203571</v>
      </c>
      <c r="R608">
        <v>0.9782659705304509</v>
      </c>
      <c r="S608" t="s">
        <v>2276</v>
      </c>
      <c r="T608" t="s">
        <v>3312</v>
      </c>
      <c r="U608" t="s">
        <v>3312</v>
      </c>
      <c r="V608" t="s">
        <v>3312</v>
      </c>
      <c r="W608" t="s">
        <v>3919</v>
      </c>
      <c r="X608">
        <v>1</v>
      </c>
      <c r="Y608" t="s">
        <v>5559</v>
      </c>
      <c r="Z608" t="s">
        <v>7201</v>
      </c>
      <c r="AA608">
        <v>0.3924654735959754</v>
      </c>
      <c r="AB608">
        <f>HYPERLINK("Melting_Curves/meltCurve_P0ACM5_yegW.pdf", "Melting_Curves/meltCurve_P0ACM5_yegW.pdf")</f>
        <v>0</v>
      </c>
    </row>
    <row r="609" spans="1:28">
      <c r="A609" t="s">
        <v>635</v>
      </c>
      <c r="B609">
        <v>0.999984544473304</v>
      </c>
      <c r="C609">
        <v>1.05205294918649</v>
      </c>
      <c r="D609">
        <v>0.897681469054063</v>
      </c>
      <c r="E609">
        <v>1.01249674478622</v>
      </c>
      <c r="F609">
        <v>0.749763810971885</v>
      </c>
      <c r="G609">
        <v>0.591329160434076</v>
      </c>
      <c r="H609">
        <v>0.413052776984391</v>
      </c>
      <c r="I609">
        <v>0.252618354422548</v>
      </c>
      <c r="J609">
        <v>0.184692010036873</v>
      </c>
      <c r="K609">
        <v>0.166034054475053</v>
      </c>
      <c r="L609">
        <v>785.057955404842</v>
      </c>
      <c r="M609">
        <v>14.419626121476</v>
      </c>
      <c r="N609">
        <v>55.3313898398654</v>
      </c>
      <c r="O609">
        <v>53.4287300367808</v>
      </c>
      <c r="P609">
        <v>-0.0605111133538249</v>
      </c>
      <c r="Q609">
        <v>0.103263629175602</v>
      </c>
      <c r="R609">
        <v>0.98249700983902</v>
      </c>
      <c r="S609" t="s">
        <v>2277</v>
      </c>
      <c r="T609" t="s">
        <v>3312</v>
      </c>
      <c r="U609" t="s">
        <v>3312</v>
      </c>
      <c r="V609" t="s">
        <v>3312</v>
      </c>
      <c r="W609" t="s">
        <v>3920</v>
      </c>
      <c r="X609">
        <v>5</v>
      </c>
      <c r="Y609" t="s">
        <v>5560</v>
      </c>
      <c r="Z609" t="s">
        <v>7202</v>
      </c>
      <c r="AA609">
        <v>0.6387161143764577</v>
      </c>
      <c r="AB609">
        <f>HYPERLINK("Melting_Curves/meltCurve_P0ACN4_allR.pdf", "Melting_Curves/meltCurve_P0ACN4_allR.pdf")</f>
        <v>0</v>
      </c>
    </row>
    <row r="610" spans="1:28">
      <c r="A610" t="s">
        <v>636</v>
      </c>
      <c r="B610">
        <v>0.999984544473304</v>
      </c>
      <c r="C610">
        <v>0.826908328376364</v>
      </c>
      <c r="D610">
        <v>0.888594837556555</v>
      </c>
      <c r="E610">
        <v>0.664293507397025</v>
      </c>
      <c r="F610">
        <v>0.6018162390453951</v>
      </c>
      <c r="G610">
        <v>0.617513691600189</v>
      </c>
      <c r="H610">
        <v>0.306351912263918</v>
      </c>
      <c r="I610">
        <v>0.0729656300152795</v>
      </c>
      <c r="J610">
        <v>0.0562871405333577</v>
      </c>
      <c r="K610">
        <v>0.0564192826256432</v>
      </c>
      <c r="L610">
        <v>509.721242646875</v>
      </c>
      <c r="M610">
        <v>9.791279426981299</v>
      </c>
      <c r="N610">
        <v>52.0586963357055</v>
      </c>
      <c r="O610">
        <v>50.0265191906446</v>
      </c>
      <c r="P610">
        <v>-0.0489562405513443</v>
      </c>
      <c r="Q610">
        <v>0</v>
      </c>
      <c r="R610">
        <v>0.926035206005578</v>
      </c>
      <c r="S610" t="s">
        <v>2278</v>
      </c>
      <c r="T610" t="s">
        <v>3312</v>
      </c>
      <c r="U610" t="s">
        <v>3312</v>
      </c>
      <c r="V610" t="s">
        <v>3312</v>
      </c>
      <c r="W610" t="s">
        <v>3921</v>
      </c>
      <c r="X610">
        <v>1</v>
      </c>
      <c r="Y610" t="s">
        <v>5561</v>
      </c>
      <c r="Z610" t="s">
        <v>7203</v>
      </c>
      <c r="AA610">
        <v>0.5286312762953822</v>
      </c>
      <c r="AB610">
        <f>HYPERLINK("Melting_Curves/meltCurve_P0ACN7_cytR.pdf", "Melting_Curves/meltCurve_P0ACN7_cytR.pdf")</f>
        <v>0</v>
      </c>
    </row>
    <row r="611" spans="1:28">
      <c r="A611" t="s">
        <v>637</v>
      </c>
      <c r="B611">
        <v>0.999984544473304</v>
      </c>
      <c r="C611">
        <v>1.02194882461024</v>
      </c>
      <c r="D611">
        <v>1.07797867158907</v>
      </c>
      <c r="E611">
        <v>0.98477751645137</v>
      </c>
      <c r="F611">
        <v>0.836934918917256</v>
      </c>
      <c r="G611">
        <v>0.650960075922788</v>
      </c>
      <c r="H611">
        <v>0.369991831785779</v>
      </c>
      <c r="I611">
        <v>0.154455368656449</v>
      </c>
      <c r="J611">
        <v>0.087672967486735</v>
      </c>
      <c r="K611">
        <v>0.0677221429799942</v>
      </c>
      <c r="L611">
        <v>1005.35370197497</v>
      </c>
      <c r="M611">
        <v>18.1366613518818</v>
      </c>
      <c r="N611">
        <v>55.5216908865288</v>
      </c>
      <c r="O611">
        <v>54.7714037609101</v>
      </c>
      <c r="P611">
        <v>-0.0815939397110983</v>
      </c>
      <c r="Q611">
        <v>0.0144160461603658</v>
      </c>
      <c r="R611">
        <v>0.993884332168271</v>
      </c>
      <c r="S611" t="s">
        <v>2279</v>
      </c>
      <c r="T611" t="s">
        <v>3312</v>
      </c>
      <c r="U611" t="s">
        <v>3312</v>
      </c>
      <c r="V611" t="s">
        <v>3312</v>
      </c>
      <c r="W611" t="s">
        <v>3922</v>
      </c>
      <c r="X611">
        <v>2</v>
      </c>
      <c r="Y611" t="s">
        <v>5562</v>
      </c>
      <c r="Z611" t="s">
        <v>7204</v>
      </c>
      <c r="AA611">
        <v>0.6316818596291517</v>
      </c>
      <c r="AB611">
        <f>HYPERLINK("Melting_Curves/meltCurve_P0ACP5_gntR.pdf", "Melting_Curves/meltCurve_P0ACP5_gntR.pdf")</f>
        <v>0</v>
      </c>
    </row>
    <row r="612" spans="1:28">
      <c r="A612" t="s">
        <v>638</v>
      </c>
      <c r="B612">
        <v>0.999984544473304</v>
      </c>
      <c r="C612">
        <v>0.894562950671123</v>
      </c>
      <c r="D612">
        <v>0.540252444119327</v>
      </c>
      <c r="E612">
        <v>0.62609432289633</v>
      </c>
      <c r="F612">
        <v>0.502126562941262</v>
      </c>
      <c r="G612">
        <v>0.308410315396216</v>
      </c>
      <c r="H612">
        <v>0.224019110970613</v>
      </c>
      <c r="I612">
        <v>0.13731247950446</v>
      </c>
      <c r="J612">
        <v>0.119980952442305</v>
      </c>
      <c r="K612">
        <v>0.169401997287842</v>
      </c>
      <c r="L612">
        <v>384.090106491335</v>
      </c>
      <c r="M612">
        <v>8.01448763201565</v>
      </c>
      <c r="N612">
        <v>48.329889255688</v>
      </c>
      <c r="O612">
        <v>45.2169165817316</v>
      </c>
      <c r="P612">
        <v>-0.0429190035026627</v>
      </c>
      <c r="Q612">
        <v>0.032508397538364</v>
      </c>
      <c r="R612">
        <v>0.936661460746033</v>
      </c>
      <c r="S612" t="s">
        <v>2280</v>
      </c>
      <c r="T612" t="s">
        <v>3312</v>
      </c>
      <c r="U612" t="s">
        <v>3312</v>
      </c>
      <c r="V612" t="s">
        <v>3312</v>
      </c>
      <c r="W612" t="s">
        <v>3923</v>
      </c>
      <c r="X612">
        <v>3</v>
      </c>
      <c r="Y612" t="s">
        <v>5563</v>
      </c>
      <c r="Z612" t="s">
        <v>7205</v>
      </c>
      <c r="AA612">
        <v>0.4353391031013392</v>
      </c>
      <c r="AB612">
        <f>HYPERLINK("Melting_Curves/meltCurve_P0ACP7_purR.pdf", "Melting_Curves/meltCurve_P0ACP7_purR.pdf")</f>
        <v>0</v>
      </c>
    </row>
    <row r="613" spans="1:28">
      <c r="A613" t="s">
        <v>639</v>
      </c>
      <c r="B613">
        <v>0.999984544473304</v>
      </c>
      <c r="C613">
        <v>1.1666929565515</v>
      </c>
      <c r="D613">
        <v>1.0421270704837</v>
      </c>
      <c r="E613">
        <v>0.974172491055563</v>
      </c>
      <c r="F613">
        <v>0.766092481875765</v>
      </c>
      <c r="G613">
        <v>0.615869725535826</v>
      </c>
      <c r="H613">
        <v>0.32086742440874</v>
      </c>
      <c r="I613">
        <v>0.212992800992052</v>
      </c>
      <c r="J613">
        <v>0.11849400005989</v>
      </c>
      <c r="K613">
        <v>0.139339911460001</v>
      </c>
      <c r="L613">
        <v>953.943601015452</v>
      </c>
      <c r="M613">
        <v>17.5943439877978</v>
      </c>
      <c r="N613">
        <v>54.8304839780456</v>
      </c>
      <c r="O613">
        <v>53.53289852258</v>
      </c>
      <c r="P613">
        <v>-0.0748479330090388</v>
      </c>
      <c r="Q613">
        <v>0.0891139651211402</v>
      </c>
      <c r="R613">
        <v>0.9749369702866481</v>
      </c>
      <c r="S613" t="s">
        <v>2281</v>
      </c>
      <c r="T613" t="s">
        <v>3312</v>
      </c>
      <c r="U613" t="s">
        <v>3312</v>
      </c>
      <c r="V613" t="s">
        <v>3312</v>
      </c>
      <c r="W613" t="s">
        <v>3924</v>
      </c>
      <c r="X613">
        <v>3</v>
      </c>
      <c r="Y613" t="s">
        <v>5564</v>
      </c>
      <c r="Z613" t="s">
        <v>7206</v>
      </c>
      <c r="AA613">
        <v>0.6245070591955756</v>
      </c>
      <c r="AB613">
        <f>HYPERLINK("Melting_Curves/meltCurve_P0ACQ4_oxyR.pdf", "Melting_Curves/meltCurve_P0ACQ4_oxyR.pdf")</f>
        <v>0</v>
      </c>
    </row>
    <row r="614" spans="1:28">
      <c r="A614" t="s">
        <v>640</v>
      </c>
      <c r="B614">
        <v>0.999984544473304</v>
      </c>
      <c r="C614">
        <v>0.807893177779644</v>
      </c>
      <c r="D614">
        <v>0.694479237143438</v>
      </c>
      <c r="E614">
        <v>0.51485477337483</v>
      </c>
      <c r="F614">
        <v>0.407325187610559</v>
      </c>
      <c r="G614">
        <v>0.167901618497922</v>
      </c>
      <c r="H614">
        <v>0.130363206019489</v>
      </c>
      <c r="I614">
        <v>0.0566205702924518</v>
      </c>
      <c r="J614">
        <v>0.0401391065853622</v>
      </c>
      <c r="K614">
        <v>0.0513602255941925</v>
      </c>
      <c r="L614">
        <v>481.819432143053</v>
      </c>
      <c r="M614">
        <v>10.2851973296378</v>
      </c>
      <c r="N614">
        <v>46.8459103598363</v>
      </c>
      <c r="O614">
        <v>45.1786642291325</v>
      </c>
      <c r="P614">
        <v>-0.0569388785668562</v>
      </c>
      <c r="Q614">
        <v>0</v>
      </c>
      <c r="R614">
        <v>0.986872144645571</v>
      </c>
      <c r="S614" t="s">
        <v>2282</v>
      </c>
      <c r="T614" t="s">
        <v>3312</v>
      </c>
      <c r="U614" t="s">
        <v>3312</v>
      </c>
      <c r="V614" t="s">
        <v>3312</v>
      </c>
      <c r="W614" t="s">
        <v>3925</v>
      </c>
      <c r="X614">
        <v>1</v>
      </c>
      <c r="Y614" t="s">
        <v>5565</v>
      </c>
      <c r="Z614" t="s">
        <v>7207</v>
      </c>
      <c r="AA614">
        <v>0.3700974806987191</v>
      </c>
      <c r="AB614">
        <f>HYPERLINK("Melting_Curves/meltCurve_P0ACR4_yeiE.pdf", "Melting_Curves/meltCurve_P0ACR4_yeiE.pdf")</f>
        <v>0</v>
      </c>
    </row>
    <row r="615" spans="1:28">
      <c r="A615" t="s">
        <v>641</v>
      </c>
      <c r="B615">
        <v>0.999984544473304</v>
      </c>
      <c r="C615">
        <v>1.11202824927348</v>
      </c>
      <c r="D615">
        <v>0.7962231761979049</v>
      </c>
      <c r="E615">
        <v>0.969228902006812</v>
      </c>
      <c r="F615">
        <v>0.789502290969834</v>
      </c>
      <c r="G615">
        <v>0.60541279738562</v>
      </c>
      <c r="H615">
        <v>0.47682831462112</v>
      </c>
      <c r="I615">
        <v>0.353226340668893</v>
      </c>
      <c r="J615">
        <v>0.229046280478575</v>
      </c>
      <c r="K615">
        <v>0.306840036084978</v>
      </c>
      <c r="L615">
        <v>688.371012330235</v>
      </c>
      <c r="M615">
        <v>12.6932020612376</v>
      </c>
      <c r="N615">
        <v>56.3839445941927</v>
      </c>
      <c r="O615">
        <v>52.9382705622734</v>
      </c>
      <c r="P615">
        <v>-0.0484425859979575</v>
      </c>
      <c r="Q615">
        <v>0.19201802514476</v>
      </c>
      <c r="R615">
        <v>0.937674488096385</v>
      </c>
      <c r="S615" t="s">
        <v>2283</v>
      </c>
      <c r="T615" t="s">
        <v>3312</v>
      </c>
      <c r="U615" t="s">
        <v>3312</v>
      </c>
      <c r="V615" t="s">
        <v>3312</v>
      </c>
      <c r="W615" t="s">
        <v>3926</v>
      </c>
      <c r="X615">
        <v>1</v>
      </c>
      <c r="Y615" t="s">
        <v>5566</v>
      </c>
      <c r="Z615" t="s">
        <v>7208</v>
      </c>
      <c r="AA615">
        <v>0.6698184204360125</v>
      </c>
      <c r="AB615">
        <f>HYPERLINK("Melting_Curves/meltCurve_P0ACR9_mprA.pdf", "Melting_Curves/meltCurve_P0ACR9_mprA.pdf")</f>
        <v>0</v>
      </c>
    </row>
    <row r="616" spans="1:28">
      <c r="A616" t="s">
        <v>642</v>
      </c>
      <c r="B616">
        <v>0.999984544473304</v>
      </c>
      <c r="C616">
        <v>0.889174133577167</v>
      </c>
      <c r="D616">
        <v>1.35752984146037</v>
      </c>
      <c r="E616">
        <v>0.621392428524813</v>
      </c>
      <c r="F616">
        <v>0.376648066052209</v>
      </c>
      <c r="G616">
        <v>0.0456648907564061</v>
      </c>
      <c r="H616">
        <v>0.038502578485306</v>
      </c>
      <c r="I616">
        <v>0.0282763163279566</v>
      </c>
      <c r="J616">
        <v>0.0218592488766892</v>
      </c>
      <c r="K616">
        <v>0.0166755758526522</v>
      </c>
      <c r="L616">
        <v>1326.4419207205</v>
      </c>
      <c r="M616">
        <v>27.3676140768532</v>
      </c>
      <c r="N616">
        <v>48.5470130136622</v>
      </c>
      <c r="O616">
        <v>48.2110084227538</v>
      </c>
      <c r="P616">
        <v>-0.138809628375012</v>
      </c>
      <c r="Q616">
        <v>0.021896466655373</v>
      </c>
      <c r="R616">
        <v>0.916249278465731</v>
      </c>
      <c r="S616" t="s">
        <v>2284</v>
      </c>
      <c r="T616" t="s">
        <v>3312</v>
      </c>
      <c r="U616" t="s">
        <v>3312</v>
      </c>
      <c r="V616" t="s">
        <v>3312</v>
      </c>
      <c r="W616" t="s">
        <v>3927</v>
      </c>
      <c r="X616">
        <v>2</v>
      </c>
      <c r="Y616" t="s">
        <v>5567</v>
      </c>
      <c r="Z616" t="s">
        <v>7209</v>
      </c>
      <c r="AA616">
        <v>0.4027966965062158</v>
      </c>
      <c r="AB616">
        <f>HYPERLINK("Melting_Curves/meltCurve_P0ACS7_rpiR.pdf", "Melting_Curves/meltCurve_P0ACS7_rpiR.pdf")</f>
        <v>0</v>
      </c>
    </row>
    <row r="617" spans="1:28">
      <c r="A617" t="s">
        <v>643</v>
      </c>
      <c r="B617">
        <v>0.999984544473304</v>
      </c>
      <c r="C617">
        <v>0.870963250502556</v>
      </c>
      <c r="D617">
        <v>1.12246645614411</v>
      </c>
      <c r="E617">
        <v>1.50403773350195</v>
      </c>
      <c r="F617">
        <v>1.51112491617176</v>
      </c>
      <c r="G617">
        <v>1.35726102091843</v>
      </c>
      <c r="H617">
        <v>1.15429880654559</v>
      </c>
      <c r="I617">
        <v>1.11056791296713</v>
      </c>
      <c r="J617">
        <v>0.7158955583051519</v>
      </c>
      <c r="K617">
        <v>0.868893273856311</v>
      </c>
      <c r="L617">
        <v>5331.85785924186</v>
      </c>
      <c r="M617">
        <v>85.1099696115007</v>
      </c>
      <c r="O617">
        <v>62.6121261228837</v>
      </c>
      <c r="P617">
        <v>-0.0710219356722424</v>
      </c>
      <c r="Q617">
        <v>0.791007606606395</v>
      </c>
      <c r="R617">
        <v>-0.107014262655202</v>
      </c>
      <c r="S617" t="s">
        <v>2285</v>
      </c>
      <c r="T617" t="s">
        <v>3312</v>
      </c>
      <c r="U617" t="s">
        <v>3312</v>
      </c>
      <c r="V617" t="s">
        <v>3312</v>
      </c>
      <c r="W617" t="s">
        <v>3928</v>
      </c>
      <c r="X617">
        <v>6</v>
      </c>
      <c r="Y617" t="s">
        <v>5568</v>
      </c>
      <c r="Z617" t="s">
        <v>7210</v>
      </c>
      <c r="AA617">
        <v>0.969847809345012</v>
      </c>
      <c r="AB617">
        <f>HYPERLINK("Melting_Curves/meltCurve_P0ACU7_yjdC.pdf", "Melting_Curves/meltCurve_P0ACU7_yjdC.pdf")</f>
        <v>0</v>
      </c>
    </row>
    <row r="618" spans="1:28">
      <c r="A618" t="s">
        <v>644</v>
      </c>
      <c r="B618">
        <v>0.999984544473304</v>
      </c>
      <c r="C618">
        <v>1.07649663553914</v>
      </c>
      <c r="D618">
        <v>0.532352266412653</v>
      </c>
      <c r="E618">
        <v>0.943033364428483</v>
      </c>
      <c r="F618">
        <v>0.895171566214702</v>
      </c>
      <c r="G618">
        <v>0.76332225843097</v>
      </c>
      <c r="H618">
        <v>0.654034206797137</v>
      </c>
      <c r="I618">
        <v>0.481995622245657</v>
      </c>
      <c r="J618">
        <v>0.394355472221689</v>
      </c>
      <c r="K618">
        <v>0.384558946543763</v>
      </c>
      <c r="L618">
        <v>369.852877521392</v>
      </c>
      <c r="M618">
        <v>5.984699884947</v>
      </c>
      <c r="N618">
        <v>61.7997367531266</v>
      </c>
      <c r="O618">
        <v>55.9581793056977</v>
      </c>
      <c r="P618">
        <v>-0.0268247545624171</v>
      </c>
      <c r="Q618">
        <v>0</v>
      </c>
      <c r="R618">
        <v>0.675824187552703</v>
      </c>
      <c r="S618" t="s">
        <v>2286</v>
      </c>
      <c r="T618" t="s">
        <v>3312</v>
      </c>
      <c r="U618" t="s">
        <v>3312</v>
      </c>
      <c r="V618" t="s">
        <v>3312</v>
      </c>
      <c r="W618" t="s">
        <v>3929</v>
      </c>
      <c r="X618">
        <v>1</v>
      </c>
      <c r="Y618" t="s">
        <v>5569</v>
      </c>
      <c r="Z618" t="s">
        <v>7211</v>
      </c>
      <c r="AA618">
        <v>0.7293663797933871</v>
      </c>
      <c r="AB618">
        <f>HYPERLINK("Melting_Curves/meltCurve_P0ACV4_lapA.pdf", "Melting_Curves/meltCurve_P0ACV4_lapA.pdf")</f>
        <v>0</v>
      </c>
    </row>
    <row r="619" spans="1:28">
      <c r="A619" t="s">
        <v>645</v>
      </c>
      <c r="B619">
        <v>0.999984544473304</v>
      </c>
      <c r="C619">
        <v>0.947243498755112</v>
      </c>
      <c r="D619">
        <v>0.937693578601086</v>
      </c>
      <c r="E619">
        <v>0.940388957642035</v>
      </c>
      <c r="F619">
        <v>1.00259722183072</v>
      </c>
      <c r="G619">
        <v>0.906178554081722</v>
      </c>
      <c r="H619">
        <v>0.766377841881583</v>
      </c>
      <c r="I619">
        <v>0.594874276671657</v>
      </c>
      <c r="J619">
        <v>0.273228019109605</v>
      </c>
      <c r="K619">
        <v>0.164825655544835</v>
      </c>
      <c r="L619">
        <v>1163.78267342199</v>
      </c>
      <c r="M619">
        <v>18.9436317250144</v>
      </c>
      <c r="N619">
        <v>61.4339791301411</v>
      </c>
      <c r="O619">
        <v>60.7616722265616</v>
      </c>
      <c r="P619">
        <v>-0.07794550582727421</v>
      </c>
      <c r="Q619">
        <v>0</v>
      </c>
      <c r="R619">
        <v>0.980063915597958</v>
      </c>
      <c r="S619" t="s">
        <v>2287</v>
      </c>
      <c r="T619" t="s">
        <v>3312</v>
      </c>
      <c r="U619" t="s">
        <v>3312</v>
      </c>
      <c r="V619" t="s">
        <v>3312</v>
      </c>
      <c r="W619" t="s">
        <v>3930</v>
      </c>
      <c r="X619">
        <v>3</v>
      </c>
      <c r="Y619" t="s">
        <v>5570</v>
      </c>
      <c r="Z619" t="s">
        <v>7212</v>
      </c>
      <c r="AA619">
        <v>0.8062033841915256</v>
      </c>
      <c r="AB619">
        <f>HYPERLINK("Melting_Curves/meltCurve_P0ACV6_mpaA.pdf", "Melting_Curves/meltCurve_P0ACV6_mpaA.pdf")</f>
        <v>0</v>
      </c>
    </row>
    <row r="620" spans="1:28">
      <c r="A620" t="s">
        <v>646</v>
      </c>
      <c r="B620">
        <v>0.999984544473304</v>
      </c>
      <c r="C620">
        <v>0.974636970558163</v>
      </c>
      <c r="D620">
        <v>0.683911866452671</v>
      </c>
      <c r="E620">
        <v>0.8693978448480441</v>
      </c>
      <c r="F620">
        <v>0.8425144419688499</v>
      </c>
      <c r="G620">
        <v>0.726045449814123</v>
      </c>
      <c r="H620">
        <v>0.657017440266251</v>
      </c>
      <c r="I620">
        <v>0.684572827507605</v>
      </c>
      <c r="J620">
        <v>0.586201717272371</v>
      </c>
      <c r="K620">
        <v>0.6988030269577979</v>
      </c>
      <c r="L620">
        <v>311.113736144622</v>
      </c>
      <c r="M620">
        <v>6.47482371164217</v>
      </c>
      <c r="O620">
        <v>44.0824555062075</v>
      </c>
      <c r="P620">
        <v>-0.0151609325075194</v>
      </c>
      <c r="Q620">
        <v>0.588134539490308</v>
      </c>
      <c r="R620">
        <v>0.669313934736539</v>
      </c>
      <c r="S620" t="s">
        <v>2288</v>
      </c>
      <c r="T620" t="s">
        <v>3312</v>
      </c>
      <c r="U620" t="s">
        <v>3312</v>
      </c>
      <c r="V620" t="s">
        <v>3312</v>
      </c>
      <c r="W620" t="s">
        <v>3931</v>
      </c>
      <c r="X620">
        <v>6</v>
      </c>
      <c r="Y620" t="s">
        <v>5571</v>
      </c>
      <c r="Z620" t="s">
        <v>7213</v>
      </c>
      <c r="AA620">
        <v>0.7656893201624527</v>
      </c>
      <c r="AB620">
        <f>HYPERLINK("Melting_Curves/meltCurve_P0ACW6_ydcH.pdf", "Melting_Curves/meltCurve_P0ACW6_ydcH.pdf")</f>
        <v>0</v>
      </c>
    </row>
    <row r="621" spans="1:28">
      <c r="A621" t="s">
        <v>647</v>
      </c>
      <c r="B621">
        <v>0.999984544473304</v>
      </c>
      <c r="C621">
        <v>1.04883091672348</v>
      </c>
      <c r="D621">
        <v>0.894453143446902</v>
      </c>
      <c r="E621">
        <v>1.03743996678199</v>
      </c>
      <c r="F621">
        <v>1.14771864575067</v>
      </c>
      <c r="G621">
        <v>0.936496696149565</v>
      </c>
      <c r="H621">
        <v>0.976880569193753</v>
      </c>
      <c r="I621">
        <v>0.9200950396073569</v>
      </c>
      <c r="J621">
        <v>0.604309642786926</v>
      </c>
      <c r="K621">
        <v>0.59689212444309</v>
      </c>
      <c r="L621">
        <v>6634.09802125365</v>
      </c>
      <c r="M621">
        <v>107.358173436652</v>
      </c>
      <c r="O621">
        <v>61.7726326157489</v>
      </c>
      <c r="P621">
        <v>-0.175356534573194</v>
      </c>
      <c r="Q621">
        <v>0.5964076512608339</v>
      </c>
      <c r="R621">
        <v>0.860781914536803</v>
      </c>
      <c r="S621" t="s">
        <v>2289</v>
      </c>
      <c r="T621" t="s">
        <v>3312</v>
      </c>
      <c r="U621" t="s">
        <v>3312</v>
      </c>
      <c r="V621" t="s">
        <v>3312</v>
      </c>
      <c r="W621" t="s">
        <v>3932</v>
      </c>
      <c r="X621">
        <v>5</v>
      </c>
      <c r="Y621" t="s">
        <v>5572</v>
      </c>
      <c r="Z621" t="s">
        <v>7214</v>
      </c>
      <c r="AA621">
        <v>0.9301995172006684</v>
      </c>
      <c r="AB621">
        <f>HYPERLINK("Melting_Curves/meltCurve_P0ACX3_ydhR.pdf", "Melting_Curves/meltCurve_P0ACX3_ydhR.pdf")</f>
        <v>0</v>
      </c>
    </row>
    <row r="622" spans="1:28">
      <c r="A622" t="s">
        <v>648</v>
      </c>
      <c r="B622">
        <v>0.999984544473304</v>
      </c>
      <c r="C622">
        <v>0.959484429241205</v>
      </c>
      <c r="D622">
        <v>0.717353192712897</v>
      </c>
      <c r="E622">
        <v>0.49052282621644</v>
      </c>
      <c r="F622">
        <v>0.218037741295918</v>
      </c>
      <c r="G622">
        <v>0.0997197092545847</v>
      </c>
      <c r="H622">
        <v>0.070370063537448</v>
      </c>
      <c r="I622">
        <v>0.0557753880130304</v>
      </c>
      <c r="J622">
        <v>0.0374587085138743</v>
      </c>
      <c r="K622">
        <v>0.0393954458458347</v>
      </c>
      <c r="L622">
        <v>749.995718069717</v>
      </c>
      <c r="M622">
        <v>16.3228392669462</v>
      </c>
      <c r="N622">
        <v>46.1303855931562</v>
      </c>
      <c r="O622">
        <v>45.2745873852128</v>
      </c>
      <c r="P622">
        <v>-0.087316681720445</v>
      </c>
      <c r="Q622">
        <v>0.0313105942057875</v>
      </c>
      <c r="R622">
        <v>0.9965957497478251</v>
      </c>
      <c r="S622" t="s">
        <v>2290</v>
      </c>
      <c r="T622" t="s">
        <v>3312</v>
      </c>
      <c r="U622" t="s">
        <v>3312</v>
      </c>
      <c r="V622" t="s">
        <v>3312</v>
      </c>
      <c r="W622" t="s">
        <v>3933</v>
      </c>
      <c r="X622">
        <v>1</v>
      </c>
      <c r="Y622" t="s">
        <v>5573</v>
      </c>
      <c r="Z622" t="s">
        <v>7215</v>
      </c>
      <c r="AA622">
        <v>0.3392339628328701</v>
      </c>
      <c r="AB622">
        <f>HYPERLINK("Melting_Curves/meltCurve_P0ACX5_ydhZ.pdf", "Melting_Curves/meltCurve_P0ACX5_ydhZ.pdf")</f>
        <v>0</v>
      </c>
    </row>
    <row r="623" spans="1:28">
      <c r="A623" t="s">
        <v>649</v>
      </c>
      <c r="B623">
        <v>0.999984544473304</v>
      </c>
      <c r="C623">
        <v>0.926724653947131</v>
      </c>
      <c r="D623">
        <v>0.821635134015153</v>
      </c>
      <c r="E623">
        <v>0.6546058489482099</v>
      </c>
      <c r="F623">
        <v>0.133786544810148</v>
      </c>
      <c r="G623">
        <v>0.0641225465682262</v>
      </c>
      <c r="H623">
        <v>0.0296776006152476</v>
      </c>
      <c r="I623">
        <v>0.0160735010839041</v>
      </c>
      <c r="J623">
        <v>0.0129983871963374</v>
      </c>
      <c r="K623">
        <v>0.009986590215853771</v>
      </c>
      <c r="L623">
        <v>1091.16151519238</v>
      </c>
      <c r="M623">
        <v>23.1125462609783</v>
      </c>
      <c r="N623">
        <v>47.226906599364</v>
      </c>
      <c r="O623">
        <v>46.8616231097693</v>
      </c>
      <c r="P623">
        <v>-0.122819946425033</v>
      </c>
      <c r="Q623">
        <v>0.00392861952754587</v>
      </c>
      <c r="R623">
        <v>0.986608712381457</v>
      </c>
      <c r="S623" t="s">
        <v>2291</v>
      </c>
      <c r="T623" t="s">
        <v>3312</v>
      </c>
      <c r="U623" t="s">
        <v>3312</v>
      </c>
      <c r="V623" t="s">
        <v>3312</v>
      </c>
      <c r="W623" t="s">
        <v>3934</v>
      </c>
      <c r="X623">
        <v>6</v>
      </c>
      <c r="Y623" t="s">
        <v>5574</v>
      </c>
      <c r="Z623" t="s">
        <v>7216</v>
      </c>
      <c r="AA623">
        <v>0.352766412360512</v>
      </c>
      <c r="AB623">
        <f>HYPERLINK("Melting_Curves/meltCurve_P0ACY1_ydjA.pdf", "Melting_Curves/meltCurve_P0ACY1_ydjA.pdf")</f>
        <v>0</v>
      </c>
    </row>
    <row r="624" spans="1:28">
      <c r="A624" t="s">
        <v>650</v>
      </c>
      <c r="B624">
        <v>0.999984544473304</v>
      </c>
      <c r="C624">
        <v>1.07079774392605</v>
      </c>
      <c r="D624">
        <v>0.7071462070004521</v>
      </c>
      <c r="E624">
        <v>0.237321712223022</v>
      </c>
      <c r="F624">
        <v>0.129200334379417</v>
      </c>
      <c r="G624">
        <v>0.0703173894731777</v>
      </c>
      <c r="H624">
        <v>0.0481317547975846</v>
      </c>
      <c r="I624">
        <v>0.0421728152147446</v>
      </c>
      <c r="J624">
        <v>0.0270362102053781</v>
      </c>
      <c r="K624">
        <v>0.0242541081231972</v>
      </c>
      <c r="L624">
        <v>1323.70102941526</v>
      </c>
      <c r="M624">
        <v>29.8369183435705</v>
      </c>
      <c r="N624">
        <v>44.5234826795706</v>
      </c>
      <c r="O624">
        <v>44.166690479534</v>
      </c>
      <c r="P624">
        <v>-0.160357023631255</v>
      </c>
      <c r="Q624">
        <v>0.0505199093695191</v>
      </c>
      <c r="R624">
        <v>0.990332122269357</v>
      </c>
      <c r="S624" t="s">
        <v>2292</v>
      </c>
      <c r="T624" t="s">
        <v>3312</v>
      </c>
      <c r="U624" t="s">
        <v>3312</v>
      </c>
      <c r="V624" t="s">
        <v>3312</v>
      </c>
      <c r="W624" t="s">
        <v>3935</v>
      </c>
      <c r="X624">
        <v>14</v>
      </c>
      <c r="Y624" t="s">
        <v>5575</v>
      </c>
      <c r="Z624" t="s">
        <v>7217</v>
      </c>
      <c r="AA624">
        <v>0.2889516374890159</v>
      </c>
      <c r="AB624">
        <f>HYPERLINK("Melting_Curves/meltCurve_P0ACY3_yeaG.pdf", "Melting_Curves/meltCurve_P0ACY3_yeaG.pdf")</f>
        <v>0</v>
      </c>
    </row>
    <row r="625" spans="1:28">
      <c r="A625" t="s">
        <v>651</v>
      </c>
      <c r="B625">
        <v>0.999984544473304</v>
      </c>
      <c r="C625">
        <v>0.722589423866055</v>
      </c>
      <c r="D625">
        <v>1.0493135742908</v>
      </c>
      <c r="E625">
        <v>0.650191693359221</v>
      </c>
      <c r="F625">
        <v>0.347816355983746</v>
      </c>
      <c r="G625">
        <v>0.159125042434473</v>
      </c>
      <c r="H625">
        <v>0.144467794521716</v>
      </c>
      <c r="I625">
        <v>0.089968293726467</v>
      </c>
      <c r="J625">
        <v>0.086498738932811</v>
      </c>
      <c r="K625">
        <v>0.0888976039493006</v>
      </c>
      <c r="L625">
        <v>1041.85371673454</v>
      </c>
      <c r="M625">
        <v>21.7418903985499</v>
      </c>
      <c r="N625">
        <v>48.3668246995734</v>
      </c>
      <c r="O625">
        <v>47.5193177617159</v>
      </c>
      <c r="P625">
        <v>-0.103962500730375</v>
      </c>
      <c r="Q625">
        <v>0.0911346393421107</v>
      </c>
      <c r="R625">
        <v>0.935650046120896</v>
      </c>
      <c r="S625" t="s">
        <v>2293</v>
      </c>
      <c r="T625" t="s">
        <v>3312</v>
      </c>
      <c r="U625" t="s">
        <v>3312</v>
      </c>
      <c r="V625" t="s">
        <v>3312</v>
      </c>
      <c r="W625" t="s">
        <v>3936</v>
      </c>
      <c r="X625">
        <v>2</v>
      </c>
      <c r="Y625" t="s">
        <v>5576</v>
      </c>
      <c r="Z625" t="s">
        <v>7218</v>
      </c>
      <c r="AA625">
        <v>0.4321087134731904</v>
      </c>
      <c r="AB625">
        <f>HYPERLINK("Melting_Curves/meltCurve_P0ACZ4_evgA.pdf", "Melting_Curves/meltCurve_P0ACZ4_evgA.pdf")</f>
        <v>0</v>
      </c>
    </row>
    <row r="626" spans="1:28">
      <c r="A626" t="s">
        <v>652</v>
      </c>
      <c r="B626">
        <v>0.999984544473304</v>
      </c>
      <c r="C626">
        <v>0.897373328072032</v>
      </c>
      <c r="D626">
        <v>0.829172358034151</v>
      </c>
      <c r="E626">
        <v>0.772353972011752</v>
      </c>
      <c r="F626">
        <v>0.819365508436265</v>
      </c>
      <c r="G626">
        <v>0.656055171952121</v>
      </c>
      <c r="H626">
        <v>0.668293048697876</v>
      </c>
      <c r="I626">
        <v>0.733238133644569</v>
      </c>
      <c r="J626">
        <v>0.600263548029105</v>
      </c>
      <c r="K626">
        <v>0.504807840160461</v>
      </c>
      <c r="L626">
        <v>199.001158706467</v>
      </c>
      <c r="M626">
        <v>2.84559624175004</v>
      </c>
      <c r="O626">
        <v>50.2743608675651</v>
      </c>
      <c r="P626">
        <v>-0.0137075480441949</v>
      </c>
      <c r="Q626">
        <v>0.0648683580601838</v>
      </c>
      <c r="R626">
        <v>0.849969410513112</v>
      </c>
      <c r="S626" t="s">
        <v>2294</v>
      </c>
      <c r="T626" t="s">
        <v>3312</v>
      </c>
      <c r="U626" t="s">
        <v>3312</v>
      </c>
      <c r="V626" t="s">
        <v>3312</v>
      </c>
      <c r="W626" t="s">
        <v>3937</v>
      </c>
      <c r="X626">
        <v>2</v>
      </c>
      <c r="Y626" t="s">
        <v>5577</v>
      </c>
      <c r="Z626" t="s">
        <v>7219</v>
      </c>
      <c r="AA626">
        <v>0.7462755625285743</v>
      </c>
      <c r="AB626">
        <f>HYPERLINK("Melting_Curves/meltCurve_P0AD05_yecA.pdf", "Melting_Curves/meltCurve_P0AD05_yecA.pdf")</f>
        <v>0</v>
      </c>
    </row>
    <row r="627" spans="1:28">
      <c r="A627" t="s">
        <v>653</v>
      </c>
      <c r="B627">
        <v>0.999984544473304</v>
      </c>
      <c r="C627">
        <v>1.04451916076698</v>
      </c>
      <c r="D627">
        <v>0.66853166742404</v>
      </c>
      <c r="E627">
        <v>0.907373846829846</v>
      </c>
      <c r="F627">
        <v>0.792376933545012</v>
      </c>
      <c r="G627">
        <v>0.571442459546242</v>
      </c>
      <c r="H627">
        <v>0.511682492105809</v>
      </c>
      <c r="I627">
        <v>0.394970866701999</v>
      </c>
      <c r="J627">
        <v>0.30977038150208</v>
      </c>
      <c r="K627">
        <v>0.326841232162182</v>
      </c>
      <c r="L627">
        <v>369.625827710319</v>
      </c>
      <c r="M627">
        <v>6.41735167249039</v>
      </c>
      <c r="N627">
        <v>57.616722592853</v>
      </c>
      <c r="O627">
        <v>52.768128336964</v>
      </c>
      <c r="P627">
        <v>-0.030448928187173</v>
      </c>
      <c r="Q627">
        <v>0.00104844746237336</v>
      </c>
      <c r="R627">
        <v>0.880477179502098</v>
      </c>
      <c r="S627" t="s">
        <v>2295</v>
      </c>
      <c r="T627" t="s">
        <v>3312</v>
      </c>
      <c r="U627" t="s">
        <v>3312</v>
      </c>
      <c r="V627" t="s">
        <v>3312</v>
      </c>
      <c r="W627" t="s">
        <v>3938</v>
      </c>
      <c r="X627">
        <v>2</v>
      </c>
      <c r="Y627" t="s">
        <v>5578</v>
      </c>
      <c r="Z627" t="s">
        <v>7220</v>
      </c>
      <c r="AA627">
        <v>0.6555230807857665</v>
      </c>
      <c r="AB627">
        <f>HYPERLINK("Melting_Curves/meltCurve_P0AD10_yecJ.pdf", "Melting_Curves/meltCurve_P0AD10_yecJ.pdf")</f>
        <v>0</v>
      </c>
    </row>
    <row r="628" spans="1:28">
      <c r="A628" t="s">
        <v>654</v>
      </c>
      <c r="B628">
        <v>0.999984544473304</v>
      </c>
      <c r="C628">
        <v>0.818078253204898</v>
      </c>
      <c r="D628">
        <v>0.4668830707629</v>
      </c>
      <c r="E628">
        <v>0.145454873328619</v>
      </c>
      <c r="F628">
        <v>0.0605703075309019</v>
      </c>
      <c r="G628">
        <v>0.0378826785271716</v>
      </c>
      <c r="H628">
        <v>0.0322913166284549</v>
      </c>
      <c r="I628">
        <v>0.025948674206963</v>
      </c>
      <c r="J628">
        <v>0.0197478851028027</v>
      </c>
      <c r="K628">
        <v>0.018819394511369</v>
      </c>
      <c r="L628">
        <v>969.675333896537</v>
      </c>
      <c r="M628">
        <v>22.7513290187498</v>
      </c>
      <c r="N628">
        <v>42.7173017854571</v>
      </c>
      <c r="O628">
        <v>42.2954161862001</v>
      </c>
      <c r="P628">
        <v>-0.131106574762463</v>
      </c>
      <c r="Q628">
        <v>0.0250943177494196</v>
      </c>
      <c r="R628">
        <v>0.999045340542593</v>
      </c>
      <c r="S628" t="s">
        <v>2296</v>
      </c>
      <c r="T628" t="s">
        <v>3312</v>
      </c>
      <c r="U628" t="s">
        <v>3312</v>
      </c>
      <c r="V628" t="s">
        <v>3312</v>
      </c>
      <c r="W628" t="s">
        <v>3939</v>
      </c>
      <c r="X628">
        <v>7</v>
      </c>
      <c r="Y628" t="s">
        <v>5579</v>
      </c>
      <c r="Z628" t="s">
        <v>7221</v>
      </c>
      <c r="AA628">
        <v>0.2180817212143344</v>
      </c>
      <c r="AB628">
        <f>HYPERLINK("Melting_Curves/meltCurve_P0AD12_yeeZ.pdf", "Melting_Curves/meltCurve_P0AD12_yeeZ.pdf")</f>
        <v>0</v>
      </c>
    </row>
    <row r="629" spans="1:28">
      <c r="A629" t="s">
        <v>655</v>
      </c>
      <c r="B629">
        <v>0.999984544473304</v>
      </c>
      <c r="C629">
        <v>0.719789410999314</v>
      </c>
      <c r="D629">
        <v>1.14733930161565</v>
      </c>
      <c r="E629">
        <v>1.00729898527573</v>
      </c>
      <c r="F629">
        <v>1.3091202048946</v>
      </c>
      <c r="G629">
        <v>1.01297451223477</v>
      </c>
      <c r="H629">
        <v>0.901701035804875</v>
      </c>
      <c r="I629">
        <v>0.739842371564743</v>
      </c>
      <c r="J629">
        <v>0.45303028323635</v>
      </c>
      <c r="K629">
        <v>0.549289214849242</v>
      </c>
      <c r="L629">
        <v>2451.29591541287</v>
      </c>
      <c r="M629">
        <v>40.5186087807053</v>
      </c>
      <c r="N629">
        <v>66.2086362937263</v>
      </c>
      <c r="O629">
        <v>60.3512253830701</v>
      </c>
      <c r="P629">
        <v>-0.0864701306517367</v>
      </c>
      <c r="Q629">
        <v>0.484822581796233</v>
      </c>
      <c r="R629">
        <v>0.673645776998372</v>
      </c>
      <c r="S629" t="s">
        <v>2297</v>
      </c>
      <c r="T629" t="s">
        <v>3312</v>
      </c>
      <c r="U629" t="s">
        <v>3312</v>
      </c>
      <c r="V629" t="s">
        <v>3312</v>
      </c>
      <c r="W629" t="s">
        <v>3940</v>
      </c>
      <c r="X629">
        <v>1</v>
      </c>
      <c r="Y629" t="s">
        <v>5580</v>
      </c>
      <c r="Z629" t="s">
        <v>7222</v>
      </c>
      <c r="AA629">
        <v>0.8897969274724218</v>
      </c>
      <c r="AB629">
        <f>HYPERLINK("Melting_Curves/meltCurve_P0AD33_yfcZ.pdf", "Melting_Curves/meltCurve_P0AD33_yfcZ.pdf")</f>
        <v>0</v>
      </c>
    </row>
    <row r="630" spans="1:28">
      <c r="A630" t="s">
        <v>656</v>
      </c>
      <c r="B630">
        <v>0.999984544473304</v>
      </c>
      <c r="C630">
        <v>1.1747475836818</v>
      </c>
      <c r="D630">
        <v>1.30362034490661</v>
      </c>
      <c r="E630">
        <v>1.61237719830784</v>
      </c>
      <c r="F630">
        <v>1.68548200853581</v>
      </c>
      <c r="G630">
        <v>1.36286929578572</v>
      </c>
      <c r="H630">
        <v>1.55459065752137</v>
      </c>
      <c r="I630">
        <v>1.37427488035969</v>
      </c>
      <c r="J630">
        <v>1.19136245866163</v>
      </c>
      <c r="K630">
        <v>0.794423966906367</v>
      </c>
      <c r="L630">
        <v>1213.55656347279</v>
      </c>
      <c r="M630">
        <v>12.0772683687574</v>
      </c>
      <c r="Q630">
        <v>2.22183743944574e-13</v>
      </c>
      <c r="R630">
        <v>-1.34490978791713</v>
      </c>
      <c r="S630" t="s">
        <v>2298</v>
      </c>
      <c r="T630" t="s">
        <v>3312</v>
      </c>
      <c r="U630" t="s">
        <v>3312</v>
      </c>
      <c r="V630" t="s">
        <v>3312</v>
      </c>
      <c r="W630" t="s">
        <v>3941</v>
      </c>
      <c r="X630">
        <v>1</v>
      </c>
      <c r="Y630" t="s">
        <v>5581</v>
      </c>
      <c r="Z630" t="s">
        <v>7223</v>
      </c>
      <c r="AA630">
        <v>0.9997334824837402</v>
      </c>
      <c r="AB630">
        <f>HYPERLINK("Melting_Curves/meltCurve_P0AD44_yfhG.pdf", "Melting_Curves/meltCurve_P0AD44_yfhG.pdf")</f>
        <v>0</v>
      </c>
    </row>
    <row r="631" spans="1:28">
      <c r="A631" t="s">
        <v>657</v>
      </c>
      <c r="B631">
        <v>0.999984544473304</v>
      </c>
      <c r="C631">
        <v>1.27250424211155</v>
      </c>
      <c r="D631">
        <v>1.38318565029015</v>
      </c>
      <c r="E631">
        <v>1.28690883921712</v>
      </c>
      <c r="F631">
        <v>1.78705795989321</v>
      </c>
      <c r="G631">
        <v>1.41689359884481</v>
      </c>
      <c r="H631">
        <v>1.77733172570062</v>
      </c>
      <c r="I631">
        <v>1.77232604483967</v>
      </c>
      <c r="J631">
        <v>0.8431771552559389</v>
      </c>
      <c r="K631">
        <v>0.211414040679787</v>
      </c>
      <c r="L631">
        <v>15000</v>
      </c>
      <c r="M631">
        <v>232.615695895738</v>
      </c>
      <c r="N631">
        <v>64.6366392610023</v>
      </c>
      <c r="O631">
        <v>64.4792750558114</v>
      </c>
      <c r="P631">
        <v>-0.711341156915275</v>
      </c>
      <c r="Q631">
        <v>0.211286901530279</v>
      </c>
      <c r="R631">
        <v>-0.0503945912169681</v>
      </c>
      <c r="S631" t="s">
        <v>2299</v>
      </c>
      <c r="T631" t="s">
        <v>3312</v>
      </c>
      <c r="U631" t="s">
        <v>3312</v>
      </c>
      <c r="V631" t="s">
        <v>3312</v>
      </c>
      <c r="W631" t="s">
        <v>3942</v>
      </c>
      <c r="X631">
        <v>1</v>
      </c>
      <c r="Y631" t="s">
        <v>5582</v>
      </c>
      <c r="Z631" t="s">
        <v>7224</v>
      </c>
      <c r="AA631">
        <v>0.9339561551524096</v>
      </c>
      <c r="AB631">
        <f>HYPERLINK("Melting_Curves/meltCurve_P0AD47_yphA.pdf", "Melting_Curves/meltCurve_P0AD47_yphA.pdf")</f>
        <v>0</v>
      </c>
    </row>
    <row r="632" spans="1:28">
      <c r="A632" t="s">
        <v>658</v>
      </c>
      <c r="B632">
        <v>0.999984544473304</v>
      </c>
      <c r="C632">
        <v>1.12504301210785</v>
      </c>
      <c r="D632">
        <v>0.783322325050704</v>
      </c>
      <c r="E632">
        <v>0.883622247157309</v>
      </c>
      <c r="F632">
        <v>1.07808277476972</v>
      </c>
      <c r="G632">
        <v>0.858300171708005</v>
      </c>
      <c r="H632">
        <v>0.60913679630405</v>
      </c>
      <c r="I632">
        <v>0.607120343178721</v>
      </c>
      <c r="J632">
        <v>0.540474916632931</v>
      </c>
      <c r="K632">
        <v>0.696448509826058</v>
      </c>
      <c r="L632">
        <v>13479.4591527778</v>
      </c>
      <c r="M632">
        <v>250</v>
      </c>
      <c r="O632">
        <v>53.9143862610135</v>
      </c>
      <c r="P632">
        <v>-0.44828582720223</v>
      </c>
      <c r="Q632">
        <v>0.613295116805917</v>
      </c>
      <c r="R632">
        <v>0.7526599899665189</v>
      </c>
      <c r="S632" t="s">
        <v>2300</v>
      </c>
      <c r="T632" t="s">
        <v>3312</v>
      </c>
      <c r="U632" t="s">
        <v>3312</v>
      </c>
      <c r="V632" t="s">
        <v>3312</v>
      </c>
      <c r="W632" t="s">
        <v>3943</v>
      </c>
      <c r="X632">
        <v>3</v>
      </c>
      <c r="Y632" t="s">
        <v>5583</v>
      </c>
      <c r="Z632" t="s">
        <v>7225</v>
      </c>
      <c r="AA632">
        <v>0.8314053764281533</v>
      </c>
      <c r="AB632">
        <f>HYPERLINK("Melting_Curves/meltCurve_P0AD49_raiA.pdf", "Melting_Curves/meltCurve_P0AD49_raiA.pdf")</f>
        <v>0</v>
      </c>
    </row>
    <row r="633" spans="1:28">
      <c r="A633" t="s">
        <v>659</v>
      </c>
      <c r="B633">
        <v>0.999984544473304</v>
      </c>
      <c r="C633">
        <v>0.8930725634503029</v>
      </c>
      <c r="D633">
        <v>0.82453513534456</v>
      </c>
      <c r="E633">
        <v>0.644886713714913</v>
      </c>
      <c r="F633">
        <v>0.586579617618495</v>
      </c>
      <c r="G633">
        <v>0.239857348906294</v>
      </c>
      <c r="H633">
        <v>0.09810604869769771</v>
      </c>
      <c r="I633">
        <v>0.109374271103817</v>
      </c>
      <c r="J633">
        <v>0.101348607557631</v>
      </c>
      <c r="K633">
        <v>0.0822927382840991</v>
      </c>
      <c r="L633">
        <v>557.088773284541</v>
      </c>
      <c r="M633">
        <v>11.244465324502</v>
      </c>
      <c r="N633">
        <v>49.5630063000771</v>
      </c>
      <c r="O633">
        <v>48.0539574291732</v>
      </c>
      <c r="P633">
        <v>-0.0583874293538005</v>
      </c>
      <c r="Q633">
        <v>0.00221954109012179</v>
      </c>
      <c r="R633">
        <v>0.976143778588157</v>
      </c>
      <c r="S633" t="s">
        <v>2301</v>
      </c>
      <c r="T633" t="s">
        <v>3312</v>
      </c>
      <c r="U633" t="s">
        <v>3312</v>
      </c>
      <c r="V633" t="s">
        <v>3312</v>
      </c>
      <c r="W633" t="s">
        <v>3944</v>
      </c>
      <c r="X633">
        <v>1</v>
      </c>
      <c r="Y633" t="s">
        <v>5584</v>
      </c>
      <c r="Z633" t="s">
        <v>7226</v>
      </c>
      <c r="AA633">
        <v>0.4504837759162157</v>
      </c>
      <c r="AB633">
        <f>HYPERLINK("Melting_Curves/meltCurve_P0AD57_ispB.pdf", "Melting_Curves/meltCurve_P0AD57_ispB.pdf")</f>
        <v>0</v>
      </c>
    </row>
    <row r="634" spans="1:28">
      <c r="A634" t="s">
        <v>660</v>
      </c>
      <c r="B634">
        <v>0.999984544473304</v>
      </c>
      <c r="C634">
        <v>1.0284034205612</v>
      </c>
      <c r="D634">
        <v>0.766374866996269</v>
      </c>
      <c r="E634">
        <v>1.13664956184896</v>
      </c>
      <c r="F634">
        <v>1.05621319719477</v>
      </c>
      <c r="G634">
        <v>0.877714679493214</v>
      </c>
      <c r="H634">
        <v>0.921870092881093</v>
      </c>
      <c r="I634">
        <v>0.740975147843204</v>
      </c>
      <c r="J634">
        <v>0.54502543361518</v>
      </c>
      <c r="K634">
        <v>0.687153406198513</v>
      </c>
      <c r="L634">
        <v>1969.68659673323</v>
      </c>
      <c r="M634">
        <v>33.2305094077942</v>
      </c>
      <c r="O634">
        <v>59.0600200195041</v>
      </c>
      <c r="P634">
        <v>-0.055022158031308</v>
      </c>
      <c r="Q634">
        <v>0.608841907720074</v>
      </c>
      <c r="R634">
        <v>0.67189590527953</v>
      </c>
      <c r="S634" t="s">
        <v>2302</v>
      </c>
      <c r="T634" t="s">
        <v>3312</v>
      </c>
      <c r="U634" t="s">
        <v>3312</v>
      </c>
      <c r="V634" t="s">
        <v>3312</v>
      </c>
      <c r="W634" t="s">
        <v>3945</v>
      </c>
      <c r="X634">
        <v>4</v>
      </c>
      <c r="Y634" t="s">
        <v>5585</v>
      </c>
      <c r="Z634" t="s">
        <v>7227</v>
      </c>
      <c r="AA634">
        <v>0.9009030243755917</v>
      </c>
      <c r="AB634">
        <f>HYPERLINK("Melting_Curves/meltCurve_P0AD59_ivy.pdf", "Melting_Curves/meltCurve_P0AD59_ivy.pdf")</f>
        <v>0</v>
      </c>
    </row>
    <row r="635" spans="1:28">
      <c r="A635" t="s">
        <v>661</v>
      </c>
      <c r="B635">
        <v>0.999984544473304</v>
      </c>
      <c r="C635">
        <v>1.27264033559048</v>
      </c>
      <c r="D635">
        <v>1.25332019339861</v>
      </c>
      <c r="E635">
        <v>1.20227108563763</v>
      </c>
      <c r="F635">
        <v>1.20388660391457</v>
      </c>
      <c r="G635">
        <v>1.25314080307833</v>
      </c>
      <c r="H635">
        <v>0.955245143284804</v>
      </c>
      <c r="I635">
        <v>0.343460048757004</v>
      </c>
      <c r="J635">
        <v>0.029192941674019</v>
      </c>
      <c r="K635">
        <v>0.0214359570170876</v>
      </c>
      <c r="L635">
        <v>3877.77569021134</v>
      </c>
      <c r="M635">
        <v>64.2667374435203</v>
      </c>
      <c r="N635">
        <v>60.365231773194</v>
      </c>
      <c r="O635">
        <v>60.2804246612069</v>
      </c>
      <c r="P635">
        <v>-0.262830237801065</v>
      </c>
      <c r="Q635">
        <v>0.0138902942441828</v>
      </c>
      <c r="R635">
        <v>0.881234728195713</v>
      </c>
      <c r="S635" t="s">
        <v>2303</v>
      </c>
      <c r="T635" t="s">
        <v>3312</v>
      </c>
      <c r="U635" t="s">
        <v>3312</v>
      </c>
      <c r="V635" t="s">
        <v>3312</v>
      </c>
      <c r="W635" t="s">
        <v>3946</v>
      </c>
      <c r="X635">
        <v>19</v>
      </c>
      <c r="Y635" t="s">
        <v>5586</v>
      </c>
      <c r="Z635" t="s">
        <v>7228</v>
      </c>
      <c r="AA635">
        <v>0.782562085145078</v>
      </c>
      <c r="AB635">
        <f>HYPERLINK("Melting_Curves/meltCurve_P0AD61_pykF.pdf", "Melting_Curves/meltCurve_P0AD61_pykF.pdf")</f>
        <v>0</v>
      </c>
    </row>
    <row r="636" spans="1:28">
      <c r="A636" t="s">
        <v>662</v>
      </c>
      <c r="B636">
        <v>0.999984544473304</v>
      </c>
      <c r="C636">
        <v>0.823669371251346</v>
      </c>
      <c r="D636">
        <v>0.996183436840399</v>
      </c>
      <c r="E636">
        <v>0.831604727405716</v>
      </c>
      <c r="F636">
        <v>1.16201656380369</v>
      </c>
      <c r="G636">
        <v>0.999814416105853</v>
      </c>
      <c r="H636">
        <v>1.03308714186565</v>
      </c>
      <c r="I636">
        <v>0.970305886382176</v>
      </c>
      <c r="J636">
        <v>0.812646148847821</v>
      </c>
      <c r="K636">
        <v>0.627376210803378</v>
      </c>
      <c r="L636">
        <v>3142.73197233621</v>
      </c>
      <c r="M636">
        <v>48.7755074703366</v>
      </c>
      <c r="O636">
        <v>64.3245764110568</v>
      </c>
      <c r="P636">
        <v>-0.0815070285594782</v>
      </c>
      <c r="Q636">
        <v>0.570038444405217</v>
      </c>
      <c r="R636">
        <v>0.578970056618721</v>
      </c>
      <c r="S636" t="s">
        <v>2304</v>
      </c>
      <c r="T636" t="s">
        <v>3312</v>
      </c>
      <c r="U636" t="s">
        <v>3312</v>
      </c>
      <c r="V636" t="s">
        <v>3312</v>
      </c>
      <c r="W636" t="s">
        <v>3947</v>
      </c>
      <c r="X636">
        <v>5</v>
      </c>
      <c r="Y636" t="s">
        <v>5587</v>
      </c>
      <c r="Z636" t="s">
        <v>7229</v>
      </c>
      <c r="AA636">
        <v>0.9614121182080929</v>
      </c>
      <c r="AB636">
        <f>HYPERLINK("Melting_Curves/meltCurve_P0AD96_livJ.pdf", "Melting_Curves/meltCurve_P0AD96_livJ.pdf")</f>
        <v>0</v>
      </c>
    </row>
    <row r="637" spans="1:28">
      <c r="A637" t="s">
        <v>663</v>
      </c>
      <c r="B637">
        <v>0.999984544473304</v>
      </c>
      <c r="C637">
        <v>0.864835170270128</v>
      </c>
      <c r="D637">
        <v>0.945412234214595</v>
      </c>
      <c r="E637">
        <v>1.05827198700517</v>
      </c>
      <c r="F637">
        <v>1.06167273631072</v>
      </c>
      <c r="G637">
        <v>0.953946101003958</v>
      </c>
      <c r="H637">
        <v>0.671029121098384</v>
      </c>
      <c r="I637">
        <v>0.350306136032732</v>
      </c>
      <c r="J637">
        <v>0.170756633287978</v>
      </c>
      <c r="K637">
        <v>0.172739609380329</v>
      </c>
      <c r="L637">
        <v>1809.98287435711</v>
      </c>
      <c r="M637">
        <v>30.9855033629158</v>
      </c>
      <c r="N637">
        <v>59.0708465831996</v>
      </c>
      <c r="O637">
        <v>58.1721864235802</v>
      </c>
      <c r="P637">
        <v>-0.11375477575879</v>
      </c>
      <c r="Q637">
        <v>0.145752210482333</v>
      </c>
      <c r="R637">
        <v>0.97372631970004</v>
      </c>
      <c r="S637" t="s">
        <v>2305</v>
      </c>
      <c r="T637" t="s">
        <v>3312</v>
      </c>
      <c r="U637" t="s">
        <v>3312</v>
      </c>
      <c r="V637" t="s">
        <v>3312</v>
      </c>
      <c r="W637" t="s">
        <v>3948</v>
      </c>
      <c r="X637">
        <v>8</v>
      </c>
      <c r="Y637" t="s">
        <v>5588</v>
      </c>
      <c r="Z637" t="s">
        <v>7230</v>
      </c>
      <c r="AA637">
        <v>0.7598642930945571</v>
      </c>
      <c r="AB637">
        <f>HYPERLINK("Melting_Curves/meltCurve_P0ADA1_tesA.pdf", "Melting_Curves/meltCurve_P0ADA1_tesA.pdf")</f>
        <v>0</v>
      </c>
    </row>
    <row r="638" spans="1:28">
      <c r="A638" t="s">
        <v>664</v>
      </c>
      <c r="B638">
        <v>0.999984544473304</v>
      </c>
      <c r="C638">
        <v>1.1913857379131</v>
      </c>
      <c r="D638">
        <v>1.15562442927529</v>
      </c>
      <c r="E638">
        <v>1.12459921471551</v>
      </c>
      <c r="F638">
        <v>1.20217951439538</v>
      </c>
      <c r="G638">
        <v>0.739129717923833</v>
      </c>
      <c r="H638">
        <v>0.201437828153035</v>
      </c>
      <c r="I638">
        <v>0.0632823999719026</v>
      </c>
      <c r="J638">
        <v>0.0415667614394683</v>
      </c>
      <c r="K638">
        <v>0.045071345938567</v>
      </c>
      <c r="L638">
        <v>2555.3796819288</v>
      </c>
      <c r="M638">
        <v>46.3823551422167</v>
      </c>
      <c r="N638">
        <v>55.2221754881808</v>
      </c>
      <c r="O638">
        <v>54.991687084647</v>
      </c>
      <c r="P638">
        <v>-0.200084852198022</v>
      </c>
      <c r="Q638">
        <v>0.0511057804733755</v>
      </c>
      <c r="R638">
        <v>0.950511460525516</v>
      </c>
      <c r="S638" t="s">
        <v>2306</v>
      </c>
      <c r="T638" t="s">
        <v>3312</v>
      </c>
      <c r="U638" t="s">
        <v>3312</v>
      </c>
      <c r="V638" t="s">
        <v>3312</v>
      </c>
      <c r="W638" t="s">
        <v>3949</v>
      </c>
      <c r="X638">
        <v>5</v>
      </c>
      <c r="Y638" t="s">
        <v>5589</v>
      </c>
      <c r="Z638" t="s">
        <v>7231</v>
      </c>
      <c r="AA638">
        <v>0.6260755925232152</v>
      </c>
      <c r="AB638">
        <f>HYPERLINK("Melting_Curves/meltCurve_P0ADA3_nlpD.pdf", "Melting_Curves/meltCurve_P0ADA3_nlpD.pdf")</f>
        <v>0</v>
      </c>
    </row>
    <row r="639" spans="1:28">
      <c r="A639" t="s">
        <v>665</v>
      </c>
      <c r="B639">
        <v>0.999984544473304</v>
      </c>
      <c r="C639">
        <v>0.739923963816572</v>
      </c>
      <c r="D639">
        <v>1.22539942701864</v>
      </c>
      <c r="E639">
        <v>0.964620272105748</v>
      </c>
      <c r="F639">
        <v>1.18911506479733</v>
      </c>
      <c r="G639">
        <v>1.02035060391854</v>
      </c>
      <c r="H639">
        <v>0.573148930190568</v>
      </c>
      <c r="I639">
        <v>0.10115105112244</v>
      </c>
      <c r="J639">
        <v>0.0471115645247099</v>
      </c>
      <c r="K639">
        <v>0.0240950136872348</v>
      </c>
      <c r="L639">
        <v>3298.34121317262</v>
      </c>
      <c r="M639">
        <v>57.2205083419212</v>
      </c>
      <c r="N639">
        <v>57.7319096947256</v>
      </c>
      <c r="O639">
        <v>57.5723632549247</v>
      </c>
      <c r="P639">
        <v>-0.237952346384059</v>
      </c>
      <c r="Q639">
        <v>0.0423383143949025</v>
      </c>
      <c r="R639">
        <v>0.9225931452696789</v>
      </c>
      <c r="S639" t="s">
        <v>2307</v>
      </c>
      <c r="T639" t="s">
        <v>3312</v>
      </c>
      <c r="U639" t="s">
        <v>3312</v>
      </c>
      <c r="V639" t="s">
        <v>3312</v>
      </c>
      <c r="W639" t="s">
        <v>3950</v>
      </c>
      <c r="X639">
        <v>4</v>
      </c>
      <c r="Y639" t="s">
        <v>5590</v>
      </c>
      <c r="Z639" t="s">
        <v>7232</v>
      </c>
      <c r="AA639">
        <v>0.7031352865813745</v>
      </c>
      <c r="AB639">
        <f>HYPERLINK("Melting_Curves/meltCurve_P0ADA5_yajG.pdf", "Melting_Curves/meltCurve_P0ADA5_yajG.pdf")</f>
        <v>0</v>
      </c>
    </row>
    <row r="640" spans="1:28">
      <c r="A640" t="s">
        <v>666</v>
      </c>
      <c r="B640">
        <v>0.999984544473304</v>
      </c>
      <c r="C640">
        <v>0.804213820580654</v>
      </c>
      <c r="D640">
        <v>1.11764288447199</v>
      </c>
      <c r="E640">
        <v>1.14600339514139</v>
      </c>
      <c r="F640">
        <v>1.22468791544741</v>
      </c>
      <c r="G640">
        <v>1.14211609056098</v>
      </c>
      <c r="H640">
        <v>1.1793324778801</v>
      </c>
      <c r="I640">
        <v>1.27673554935399</v>
      </c>
      <c r="J640">
        <v>1.23554883025394</v>
      </c>
      <c r="K640">
        <v>1.0891289243749</v>
      </c>
      <c r="L640">
        <v>10725.8890821347</v>
      </c>
      <c r="M640">
        <v>250</v>
      </c>
      <c r="O640">
        <v>42.9008091075956</v>
      </c>
      <c r="P640">
        <v>0.269215934206146</v>
      </c>
      <c r="Q640">
        <v>1.184793309449</v>
      </c>
      <c r="R640">
        <v>0.623651100173542</v>
      </c>
      <c r="S640" t="s">
        <v>2308</v>
      </c>
      <c r="T640" t="s">
        <v>3312</v>
      </c>
      <c r="U640" t="s">
        <v>3312</v>
      </c>
      <c r="V640" t="s">
        <v>3312</v>
      </c>
      <c r="W640" t="s">
        <v>3951</v>
      </c>
      <c r="X640">
        <v>5</v>
      </c>
      <c r="Y640" t="s">
        <v>5591</v>
      </c>
      <c r="Z640" t="s">
        <v>7233</v>
      </c>
      <c r="AA640">
        <v>1.14841480504085</v>
      </c>
      <c r="AB640">
        <f>HYPERLINK("Melting_Curves/meltCurve_P0ADB1_osmE.pdf", "Melting_Curves/meltCurve_P0ADB1_osmE.pdf")</f>
        <v>0</v>
      </c>
    </row>
    <row r="641" spans="1:28">
      <c r="A641" t="s">
        <v>667</v>
      </c>
      <c r="B641">
        <v>0.999984544473304</v>
      </c>
      <c r="C641">
        <v>0.968527939062292</v>
      </c>
      <c r="D641">
        <v>0.882451020074043</v>
      </c>
      <c r="E641">
        <v>0.959965134093016</v>
      </c>
      <c r="F641">
        <v>0.818079446317108</v>
      </c>
      <c r="G641">
        <v>0.587954162334252</v>
      </c>
      <c r="H641">
        <v>0.360406027691238</v>
      </c>
      <c r="I641">
        <v>0.239671979381635</v>
      </c>
      <c r="J641">
        <v>0.211158372173371</v>
      </c>
      <c r="K641">
        <v>0.171039647958093</v>
      </c>
      <c r="L641">
        <v>904.269528618149</v>
      </c>
      <c r="M641">
        <v>16.7529587994373</v>
      </c>
      <c r="N641">
        <v>55.0574818652187</v>
      </c>
      <c r="O641">
        <v>53.2252149376164</v>
      </c>
      <c r="P641">
        <v>-0.0676669040937378</v>
      </c>
      <c r="Q641">
        <v>0.140128069085875</v>
      </c>
      <c r="R641">
        <v>0.988026629899984</v>
      </c>
      <c r="S641" t="s">
        <v>2309</v>
      </c>
      <c r="T641" t="s">
        <v>3312</v>
      </c>
      <c r="U641" t="s">
        <v>3312</v>
      </c>
      <c r="V641" t="s">
        <v>3312</v>
      </c>
      <c r="W641" t="s">
        <v>3952</v>
      </c>
      <c r="X641">
        <v>5</v>
      </c>
      <c r="Y641" t="s">
        <v>5592</v>
      </c>
      <c r="Z641" t="s">
        <v>7234</v>
      </c>
      <c r="AA641">
        <v>0.6394409694782478</v>
      </c>
      <c r="AB641">
        <f>HYPERLINK("Melting_Curves/meltCurve_P0ADC1_lptE.pdf", "Melting_Curves/meltCurve_P0ADC1_lptE.pdf")</f>
        <v>0</v>
      </c>
    </row>
    <row r="642" spans="1:28">
      <c r="A642" t="s">
        <v>668</v>
      </c>
      <c r="B642">
        <v>0.999984544473304</v>
      </c>
      <c r="C642">
        <v>0.744427780293234</v>
      </c>
      <c r="D642">
        <v>0.597793523186681</v>
      </c>
      <c r="E642">
        <v>0.493093170701971</v>
      </c>
      <c r="F642">
        <v>0.351667130890537</v>
      </c>
      <c r="G642">
        <v>0.234177423776657</v>
      </c>
      <c r="H642">
        <v>0.197954985361955</v>
      </c>
      <c r="I642">
        <v>0.164524420269553</v>
      </c>
      <c r="J642">
        <v>0.061329902087163</v>
      </c>
      <c r="K642">
        <v>0.0761237575668117</v>
      </c>
      <c r="L642">
        <v>402.071073068496</v>
      </c>
      <c r="M642">
        <v>8.78904412282168</v>
      </c>
      <c r="N642">
        <v>46.1046823496103</v>
      </c>
      <c r="O642">
        <v>43.5640542348531</v>
      </c>
      <c r="P642">
        <v>-0.0488133037689171</v>
      </c>
      <c r="Q642">
        <v>0.0329698555082441</v>
      </c>
      <c r="R642">
        <v>0.976149741961466</v>
      </c>
      <c r="S642" t="s">
        <v>2310</v>
      </c>
      <c r="T642" t="s">
        <v>3312</v>
      </c>
      <c r="U642" t="s">
        <v>3312</v>
      </c>
      <c r="V642" t="s">
        <v>3312</v>
      </c>
      <c r="W642" t="s">
        <v>3953</v>
      </c>
      <c r="X642">
        <v>1</v>
      </c>
      <c r="Y642" t="s">
        <v>5593</v>
      </c>
      <c r="Z642" t="s">
        <v>7235</v>
      </c>
      <c r="AA642">
        <v>0.3698430325581522</v>
      </c>
      <c r="AB642">
        <f>HYPERLINK("Melting_Curves/meltCurve_P0ADC3_lolC.pdf", "Melting_Curves/meltCurve_P0ADC3_lolC.pdf")</f>
        <v>0</v>
      </c>
    </row>
    <row r="643" spans="1:28">
      <c r="A643" t="s">
        <v>669</v>
      </c>
      <c r="B643">
        <v>0.999984544473304</v>
      </c>
      <c r="C643">
        <v>1.11956895816332</v>
      </c>
      <c r="D643">
        <v>0.8488164430858059</v>
      </c>
      <c r="E643">
        <v>1.13694609346982</v>
      </c>
      <c r="F643">
        <v>1.02453663588556</v>
      </c>
      <c r="G643">
        <v>0.872531613028933</v>
      </c>
      <c r="H643">
        <v>0.765396444936414</v>
      </c>
      <c r="I643">
        <v>0.697144683815235</v>
      </c>
      <c r="J643">
        <v>0.427970811557712</v>
      </c>
      <c r="K643">
        <v>0.6953410907029201</v>
      </c>
      <c r="L643">
        <v>1435.96004466055</v>
      </c>
      <c r="M643">
        <v>25.3578622858237</v>
      </c>
      <c r="O643">
        <v>56.2791523134559</v>
      </c>
      <c r="P643">
        <v>-0.0476393896583062</v>
      </c>
      <c r="Q643">
        <v>0.577082588948672</v>
      </c>
      <c r="R643">
        <v>0.76278606153221</v>
      </c>
      <c r="S643" t="s">
        <v>2311</v>
      </c>
      <c r="T643" t="s">
        <v>3312</v>
      </c>
      <c r="U643" t="s">
        <v>3312</v>
      </c>
      <c r="V643" t="s">
        <v>3312</v>
      </c>
      <c r="W643" t="s">
        <v>3954</v>
      </c>
      <c r="X643">
        <v>8</v>
      </c>
      <c r="Y643" t="s">
        <v>5594</v>
      </c>
      <c r="Z643" t="s">
        <v>7236</v>
      </c>
      <c r="AA643">
        <v>0.8570014460643532</v>
      </c>
      <c r="AB643">
        <f>HYPERLINK("Melting_Curves/meltCurve_P0ADE6_ygaU.pdf", "Melting_Curves/meltCurve_P0ADE6_ygaU.pdf")</f>
        <v>0</v>
      </c>
    </row>
    <row r="644" spans="1:28">
      <c r="A644" t="s">
        <v>670</v>
      </c>
      <c r="B644">
        <v>0.999984544473304</v>
      </c>
      <c r="C644">
        <v>0.888387559852485</v>
      </c>
      <c r="D644">
        <v>1.1360180781313</v>
      </c>
      <c r="E644">
        <v>0.8820686276073531</v>
      </c>
      <c r="F644">
        <v>0.832414131526323</v>
      </c>
      <c r="G644">
        <v>0.133308063632626</v>
      </c>
      <c r="H644">
        <v>0.06472130316540441</v>
      </c>
      <c r="I644">
        <v>0.0365016554712958</v>
      </c>
      <c r="J644">
        <v>0.0250207475005867</v>
      </c>
      <c r="K644">
        <v>0.0178655795540349</v>
      </c>
      <c r="L644">
        <v>2698.4803859909</v>
      </c>
      <c r="M644">
        <v>52.2385553417184</v>
      </c>
      <c r="N644">
        <v>51.7249199332846</v>
      </c>
      <c r="O644">
        <v>51.5813376988982</v>
      </c>
      <c r="P644">
        <v>-0.244777938659007</v>
      </c>
      <c r="Q644">
        <v>0.0332072228784814</v>
      </c>
      <c r="R644">
        <v>0.9780437381545199</v>
      </c>
      <c r="S644" t="s">
        <v>2312</v>
      </c>
      <c r="T644" t="s">
        <v>3312</v>
      </c>
      <c r="U644" t="s">
        <v>3312</v>
      </c>
      <c r="V644" t="s">
        <v>3312</v>
      </c>
      <c r="W644" t="s">
        <v>3955</v>
      </c>
      <c r="X644">
        <v>8</v>
      </c>
      <c r="Y644" t="s">
        <v>5595</v>
      </c>
      <c r="Z644" t="s">
        <v>7237</v>
      </c>
      <c r="AA644">
        <v>0.5075627042024186</v>
      </c>
      <c r="AB644">
        <f>HYPERLINK("Melting_Curves/meltCurve_P0ADE8_ygfZ.pdf", "Melting_Curves/meltCurve_P0ADE8_ygfZ.pdf")</f>
        <v>0</v>
      </c>
    </row>
    <row r="645" spans="1:28">
      <c r="A645" t="s">
        <v>671</v>
      </c>
      <c r="B645">
        <v>0.999984544473304</v>
      </c>
      <c r="C645">
        <v>0.943721408870269</v>
      </c>
      <c r="D645">
        <v>0.684335463396108</v>
      </c>
      <c r="E645">
        <v>0.6714272969196</v>
      </c>
      <c r="F645">
        <v>0.370110169505404</v>
      </c>
      <c r="G645">
        <v>0.197792959561212</v>
      </c>
      <c r="H645">
        <v>0.129498332284734</v>
      </c>
      <c r="I645">
        <v>0.0959078358380621</v>
      </c>
      <c r="J645">
        <v>0.0576603230513517</v>
      </c>
      <c r="K645">
        <v>0.06445740143001449</v>
      </c>
      <c r="L645">
        <v>553.930561182215</v>
      </c>
      <c r="M645">
        <v>11.5682481959254</v>
      </c>
      <c r="N645">
        <v>47.9878603695101</v>
      </c>
      <c r="O645">
        <v>46.5199169232198</v>
      </c>
      <c r="P645">
        <v>-0.0614145899541222</v>
      </c>
      <c r="Q645">
        <v>0.0123975554218499</v>
      </c>
      <c r="R645">
        <v>0.981922019218012</v>
      </c>
      <c r="S645" t="s">
        <v>2313</v>
      </c>
      <c r="T645" t="s">
        <v>3312</v>
      </c>
      <c r="U645" t="s">
        <v>3312</v>
      </c>
      <c r="V645" t="s">
        <v>3312</v>
      </c>
      <c r="W645" t="s">
        <v>3956</v>
      </c>
      <c r="X645">
        <v>1</v>
      </c>
      <c r="Y645" t="s">
        <v>5596</v>
      </c>
      <c r="Z645" t="s">
        <v>7238</v>
      </c>
      <c r="AA645">
        <v>0.403495602452966</v>
      </c>
      <c r="AB645">
        <f>HYPERLINK("Melting_Curves/meltCurve_P0ADF8_ilvN.pdf", "Melting_Curves/meltCurve_P0ADF8_ilvN.pdf")</f>
        <v>0</v>
      </c>
    </row>
    <row r="646" spans="1:28">
      <c r="A646" t="s">
        <v>672</v>
      </c>
      <c r="B646">
        <v>0.999984544473304</v>
      </c>
      <c r="C646">
        <v>0.91052153316551</v>
      </c>
      <c r="D646">
        <v>0.958626121634599</v>
      </c>
      <c r="E646">
        <v>0.87171260989928</v>
      </c>
      <c r="F646">
        <v>0.999757862374048</v>
      </c>
      <c r="G646">
        <v>0.867093251108665</v>
      </c>
      <c r="H646">
        <v>0.877748049564342</v>
      </c>
      <c r="I646">
        <v>0.86148035721908</v>
      </c>
      <c r="J646">
        <v>0.779408705052038</v>
      </c>
      <c r="K646">
        <v>0.521644542705628</v>
      </c>
      <c r="L646">
        <v>709.082976258039</v>
      </c>
      <c r="M646">
        <v>10.1938840669909</v>
      </c>
      <c r="Q646">
        <v>0</v>
      </c>
      <c r="R646">
        <v>0.731470545978278</v>
      </c>
      <c r="S646" t="s">
        <v>2314</v>
      </c>
      <c r="T646" t="s">
        <v>3312</v>
      </c>
      <c r="U646" t="s">
        <v>3312</v>
      </c>
      <c r="V646" t="s">
        <v>3312</v>
      </c>
      <c r="W646" t="s">
        <v>3957</v>
      </c>
      <c r="X646">
        <v>13</v>
      </c>
      <c r="Y646" t="s">
        <v>5597</v>
      </c>
      <c r="Z646" t="s">
        <v>7239</v>
      </c>
      <c r="AA646">
        <v>0.9091043088510854</v>
      </c>
      <c r="AB646">
        <f>HYPERLINK("Melting_Curves/meltCurve_P0ADG4_suhB.pdf", "Melting_Curves/meltCurve_P0ADG4_suhB.pdf")</f>
        <v>0</v>
      </c>
    </row>
    <row r="647" spans="1:28">
      <c r="A647" t="s">
        <v>673</v>
      </c>
      <c r="B647">
        <v>0.999984544473304</v>
      </c>
      <c r="C647">
        <v>1.46807002052769</v>
      </c>
      <c r="D647">
        <v>1.44951432567839</v>
      </c>
      <c r="E647">
        <v>1.62042594981239</v>
      </c>
      <c r="F647">
        <v>1.20267462842135</v>
      </c>
      <c r="G647">
        <v>1.38156225609153</v>
      </c>
      <c r="H647">
        <v>1.03315960318845</v>
      </c>
      <c r="I647">
        <v>0.936955936662895</v>
      </c>
      <c r="J647">
        <v>0.819276040213977</v>
      </c>
      <c r="K647">
        <v>0.824792771916114</v>
      </c>
      <c r="L647">
        <v>15000</v>
      </c>
      <c r="M647">
        <v>245.301217709238</v>
      </c>
      <c r="O647">
        <v>61.145244698984</v>
      </c>
      <c r="P647">
        <v>-0.178490735325152</v>
      </c>
      <c r="Q647">
        <v>0.822033338884535</v>
      </c>
      <c r="R647">
        <v>-0.308287937467981</v>
      </c>
      <c r="S647" t="s">
        <v>2315</v>
      </c>
      <c r="T647" t="s">
        <v>3312</v>
      </c>
      <c r="U647" t="s">
        <v>3312</v>
      </c>
      <c r="V647" t="s">
        <v>3312</v>
      </c>
      <c r="W647" t="s">
        <v>3958</v>
      </c>
      <c r="X647">
        <v>14</v>
      </c>
      <c r="Y647" t="s">
        <v>5598</v>
      </c>
      <c r="Z647" t="s">
        <v>7240</v>
      </c>
      <c r="AA647">
        <v>0.9653122404282704</v>
      </c>
      <c r="AB647">
        <f>HYPERLINK("Melting_Curves/meltCurve_P0ADG7_guaB.pdf", "Melting_Curves/meltCurve_P0ADG7_guaB.pdf")</f>
        <v>0</v>
      </c>
    </row>
    <row r="648" spans="1:28">
      <c r="A648" t="s">
        <v>674</v>
      </c>
      <c r="B648">
        <v>0.999984544473304</v>
      </c>
      <c r="C648">
        <v>1.13685203111543</v>
      </c>
      <c r="D648">
        <v>0.567646547693218</v>
      </c>
      <c r="E648">
        <v>0.651618849411347</v>
      </c>
      <c r="F648">
        <v>0.335802634406429</v>
      </c>
      <c r="G648">
        <v>0.258225428744991</v>
      </c>
      <c r="H648">
        <v>0.190844507054401</v>
      </c>
      <c r="I648">
        <v>0.225595801468589</v>
      </c>
      <c r="J648">
        <v>0.212055216532494</v>
      </c>
      <c r="K648">
        <v>0.145421874094755</v>
      </c>
      <c r="L648">
        <v>690.2564934312391</v>
      </c>
      <c r="M648">
        <v>15.0312473935969</v>
      </c>
      <c r="N648">
        <v>47.2904637621542</v>
      </c>
      <c r="O648">
        <v>45.1316491389773</v>
      </c>
      <c r="P648">
        <v>-0.06858138435166231</v>
      </c>
      <c r="Q648">
        <v>0.176414102092062</v>
      </c>
      <c r="R648">
        <v>0.905444551837462</v>
      </c>
      <c r="S648" t="s">
        <v>2316</v>
      </c>
      <c r="T648" t="s">
        <v>3312</v>
      </c>
      <c r="U648" t="s">
        <v>3312</v>
      </c>
      <c r="V648" t="s">
        <v>3312</v>
      </c>
      <c r="W648" t="s">
        <v>3959</v>
      </c>
      <c r="X648">
        <v>1</v>
      </c>
      <c r="Y648" t="s">
        <v>5599</v>
      </c>
      <c r="Z648" t="s">
        <v>7241</v>
      </c>
      <c r="AA648">
        <v>0.4402916267750904</v>
      </c>
      <c r="AB648">
        <f>HYPERLINK("Melting_Curves/meltCurve_P0ADI4_entB.pdf", "Melting_Curves/meltCurve_P0ADI4_entB.pdf")</f>
        <v>0</v>
      </c>
    </row>
    <row r="649" spans="1:28">
      <c r="A649" t="s">
        <v>675</v>
      </c>
      <c r="B649">
        <v>0.999984544473304</v>
      </c>
      <c r="C649">
        <v>0.881418481186062</v>
      </c>
      <c r="D649">
        <v>1.01541432312946</v>
      </c>
      <c r="E649">
        <v>1.02369330112362</v>
      </c>
      <c r="F649">
        <v>1.09247790920353</v>
      </c>
      <c r="G649">
        <v>1.01200897627715</v>
      </c>
      <c r="H649">
        <v>0.780534034982998</v>
      </c>
      <c r="I649">
        <v>0.355699865880103</v>
      </c>
      <c r="J649">
        <v>0.0469772689711535</v>
      </c>
      <c r="K649">
        <v>0.0281940570276501</v>
      </c>
      <c r="L649">
        <v>2083.45797382843</v>
      </c>
      <c r="M649">
        <v>34.872195394402</v>
      </c>
      <c r="N649">
        <v>59.7455191666352</v>
      </c>
      <c r="O649">
        <v>59.5500860527093</v>
      </c>
      <c r="P649">
        <v>-0.146399118492496</v>
      </c>
      <c r="Q649">
        <v>0</v>
      </c>
      <c r="R649">
        <v>0.982435093341269</v>
      </c>
      <c r="S649" t="s">
        <v>2317</v>
      </c>
      <c r="T649" t="s">
        <v>3312</v>
      </c>
      <c r="U649" t="s">
        <v>3312</v>
      </c>
      <c r="V649" t="s">
        <v>3312</v>
      </c>
      <c r="W649" t="s">
        <v>3960</v>
      </c>
      <c r="X649">
        <v>3</v>
      </c>
      <c r="Y649" t="s">
        <v>5600</v>
      </c>
      <c r="Z649" t="s">
        <v>7242</v>
      </c>
      <c r="AA649">
        <v>0.7618906291540255</v>
      </c>
      <c r="AB649">
        <f>HYPERLINK("Melting_Curves/meltCurve_P0ADI7_yecD.pdf", "Melting_Curves/meltCurve_P0ADI7_yecD.pdf")</f>
        <v>0</v>
      </c>
    </row>
    <row r="650" spans="1:28">
      <c r="A650" t="s">
        <v>676</v>
      </c>
      <c r="B650">
        <v>0.999984544473304</v>
      </c>
      <c r="C650">
        <v>0.816775849177407</v>
      </c>
      <c r="D650">
        <v>1.04285571271481</v>
      </c>
      <c r="E650">
        <v>1.00330237948524</v>
      </c>
      <c r="F650">
        <v>1.19101000312334</v>
      </c>
      <c r="G650">
        <v>1.02850350313991</v>
      </c>
      <c r="H650">
        <v>1.00486234421368</v>
      </c>
      <c r="I650">
        <v>0.964522861292104</v>
      </c>
      <c r="J650">
        <v>0.780788984570004</v>
      </c>
      <c r="K650">
        <v>0.7211335063857</v>
      </c>
      <c r="L650">
        <v>4003.14618794929</v>
      </c>
      <c r="M650">
        <v>63.6676426783132</v>
      </c>
      <c r="O650">
        <v>62.8137349211777</v>
      </c>
      <c r="P650">
        <v>-0.0720501547795255</v>
      </c>
      <c r="Q650">
        <v>0.71566480770523</v>
      </c>
      <c r="R650">
        <v>0.59563406235234</v>
      </c>
      <c r="S650" t="s">
        <v>2318</v>
      </c>
      <c r="T650" t="s">
        <v>3312</v>
      </c>
      <c r="U650" t="s">
        <v>3312</v>
      </c>
      <c r="V650" t="s">
        <v>3312</v>
      </c>
      <c r="W650" t="s">
        <v>3961</v>
      </c>
      <c r="X650">
        <v>6</v>
      </c>
      <c r="Y650" t="s">
        <v>5601</v>
      </c>
      <c r="Z650" t="s">
        <v>7243</v>
      </c>
      <c r="AA650">
        <v>0.9611792628624137</v>
      </c>
      <c r="AB650">
        <f>HYPERLINK("Melting_Curves/meltCurve_P0ADK0_yiaF.pdf", "Melting_Curves/meltCurve_P0ADK0_yiaF.pdf")</f>
        <v>0</v>
      </c>
    </row>
    <row r="651" spans="1:28">
      <c r="A651" t="s">
        <v>677</v>
      </c>
      <c r="B651">
        <v>0.999984544473304</v>
      </c>
      <c r="C651">
        <v>1.22407495403459</v>
      </c>
      <c r="D651">
        <v>0.553835870472364</v>
      </c>
      <c r="E651">
        <v>1.22740362748409</v>
      </c>
      <c r="F651">
        <v>0.963343552549265</v>
      </c>
      <c r="G651">
        <v>0.79938310222394</v>
      </c>
      <c r="H651">
        <v>0.867574118907227</v>
      </c>
      <c r="I651">
        <v>0.755597676239937</v>
      </c>
      <c r="J651">
        <v>0.656798393864082</v>
      </c>
      <c r="K651">
        <v>0.815713757506856</v>
      </c>
      <c r="L651">
        <v>2756.03969739147</v>
      </c>
      <c r="M651">
        <v>53.0738415735855</v>
      </c>
      <c r="O651">
        <v>51.8548261571381</v>
      </c>
      <c r="P651">
        <v>-0.0582219526101329</v>
      </c>
      <c r="Q651">
        <v>0.772461340953849</v>
      </c>
      <c r="R651">
        <v>0.264195905407796</v>
      </c>
      <c r="S651" t="s">
        <v>2319</v>
      </c>
      <c r="T651" t="s">
        <v>3312</v>
      </c>
      <c r="U651" t="s">
        <v>3312</v>
      </c>
      <c r="V651" t="s">
        <v>3312</v>
      </c>
      <c r="W651" t="s">
        <v>3962</v>
      </c>
      <c r="X651">
        <v>3</v>
      </c>
      <c r="Y651" t="s">
        <v>5602</v>
      </c>
      <c r="Z651" t="s">
        <v>7244</v>
      </c>
      <c r="AA651">
        <v>0.8861498102254071</v>
      </c>
      <c r="AB651">
        <f>HYPERLINK("Melting_Curves/meltCurve_P0ADK8_yibL.pdf", "Melting_Curves/meltCurve_P0ADK8_yibL.pdf")</f>
        <v>0</v>
      </c>
    </row>
    <row r="652" spans="1:28">
      <c r="A652" t="s">
        <v>678</v>
      </c>
      <c r="B652">
        <v>0.999984544473304</v>
      </c>
      <c r="C652">
        <v>0.9863424925119439</v>
      </c>
      <c r="D652">
        <v>0.971730793982985</v>
      </c>
      <c r="E652">
        <v>1.12162414221763</v>
      </c>
      <c r="F652">
        <v>1.27693001134377</v>
      </c>
      <c r="G652">
        <v>1.07767080947086</v>
      </c>
      <c r="H652">
        <v>1.03930726009923</v>
      </c>
      <c r="I652">
        <v>0.962194801985497</v>
      </c>
      <c r="J652">
        <v>0.713740758426661</v>
      </c>
      <c r="K652">
        <v>0.93593481294544</v>
      </c>
      <c r="L652">
        <v>15000</v>
      </c>
      <c r="M652">
        <v>244.612058966995</v>
      </c>
      <c r="O652">
        <v>61.3174870636011</v>
      </c>
      <c r="P652">
        <v>-0.174691407283621</v>
      </c>
      <c r="Q652">
        <v>0.824838749817262</v>
      </c>
      <c r="R652">
        <v>0.332246246328718</v>
      </c>
      <c r="S652" t="s">
        <v>2320</v>
      </c>
      <c r="T652" t="s">
        <v>3312</v>
      </c>
      <c r="U652" t="s">
        <v>3312</v>
      </c>
      <c r="V652" t="s">
        <v>3312</v>
      </c>
      <c r="W652" t="s">
        <v>3963</v>
      </c>
      <c r="X652">
        <v>4</v>
      </c>
      <c r="Y652" t="s">
        <v>5603</v>
      </c>
      <c r="Z652" t="s">
        <v>7245</v>
      </c>
      <c r="AA652">
        <v>0.9668651012332973</v>
      </c>
      <c r="AB652">
        <f>HYPERLINK("Melting_Curves/meltCurve_P0ADN2_yifE.pdf", "Melting_Curves/meltCurve_P0ADN2_yifE.pdf")</f>
        <v>0</v>
      </c>
    </row>
    <row r="653" spans="1:28">
      <c r="A653" t="s">
        <v>679</v>
      </c>
      <c r="B653">
        <v>0.999984544473304</v>
      </c>
      <c r="C653">
        <v>0.945684376935277</v>
      </c>
      <c r="D653">
        <v>0.791240290382909</v>
      </c>
      <c r="E653">
        <v>1.21912142699155</v>
      </c>
      <c r="F653">
        <v>1.22232420000307</v>
      </c>
      <c r="G653">
        <v>0.857944343470866</v>
      </c>
      <c r="H653">
        <v>1.15990244978349</v>
      </c>
      <c r="I653">
        <v>1.07738781064768</v>
      </c>
      <c r="J653">
        <v>0.991425201887141</v>
      </c>
      <c r="K653">
        <v>0.701044259770504</v>
      </c>
      <c r="L653">
        <v>6638.16128375002</v>
      </c>
      <c r="M653">
        <v>99.4270482461113</v>
      </c>
      <c r="O653">
        <v>66.73714341698781</v>
      </c>
      <c r="P653">
        <v>-0.189516749512906</v>
      </c>
      <c r="Q653">
        <v>0.491172434441998</v>
      </c>
      <c r="R653">
        <v>0.31337611566621</v>
      </c>
      <c r="S653" t="s">
        <v>2321</v>
      </c>
      <c r="T653" t="s">
        <v>3312</v>
      </c>
      <c r="U653" t="s">
        <v>3312</v>
      </c>
      <c r="V653" t="s">
        <v>3312</v>
      </c>
      <c r="W653" t="s">
        <v>3964</v>
      </c>
      <c r="X653">
        <v>2</v>
      </c>
      <c r="Y653" t="s">
        <v>5604</v>
      </c>
      <c r="Z653" t="s">
        <v>7246</v>
      </c>
      <c r="AA653">
        <v>0.9901135909637131</v>
      </c>
      <c r="AB653">
        <f>HYPERLINK("Melting_Curves/meltCurve_P0ADN6_yifL.pdf", "Melting_Curves/meltCurve_P0ADN6_yifL.pdf")</f>
        <v>0</v>
      </c>
    </row>
    <row r="654" spans="1:28">
      <c r="A654" t="s">
        <v>680</v>
      </c>
      <c r="B654">
        <v>0.999984544473304</v>
      </c>
      <c r="C654">
        <v>0.872863008032712</v>
      </c>
      <c r="D654">
        <v>0.944774861092225</v>
      </c>
      <c r="E654">
        <v>1.05359546287794</v>
      </c>
      <c r="F654">
        <v>0.843432613850452</v>
      </c>
      <c r="G654">
        <v>0.519216145549685</v>
      </c>
      <c r="H654">
        <v>0.199200857447115</v>
      </c>
      <c r="I654">
        <v>0.08729412852583079</v>
      </c>
      <c r="J654">
        <v>0.0483169281532677</v>
      </c>
      <c r="K654">
        <v>0.0557039928707824</v>
      </c>
      <c r="L654">
        <v>1378.40783348889</v>
      </c>
      <c r="M654">
        <v>25.6525242115435</v>
      </c>
      <c r="N654">
        <v>53.9227068197145</v>
      </c>
      <c r="O654">
        <v>53.4104563803496</v>
      </c>
      <c r="P654">
        <v>-0.114914119854041</v>
      </c>
      <c r="Q654">
        <v>0.0429727667432624</v>
      </c>
      <c r="R654">
        <v>0.984810182676424</v>
      </c>
      <c r="S654" t="s">
        <v>2322</v>
      </c>
      <c r="T654" t="s">
        <v>3312</v>
      </c>
      <c r="U654" t="s">
        <v>3312</v>
      </c>
      <c r="V654" t="s">
        <v>3312</v>
      </c>
      <c r="W654" t="s">
        <v>3965</v>
      </c>
      <c r="X654">
        <v>2</v>
      </c>
      <c r="Y654" t="s">
        <v>5605</v>
      </c>
      <c r="Z654" t="s">
        <v>7247</v>
      </c>
      <c r="AA654">
        <v>0.5848368509034458</v>
      </c>
      <c r="AB654">
        <f>HYPERLINK("Melting_Curves/meltCurve_P0ADP7_ubiJ.pdf", "Melting_Curves/meltCurve_P0ADP7_ubiJ.pdf")</f>
        <v>0</v>
      </c>
    </row>
    <row r="655" spans="1:28">
      <c r="A655" t="s">
        <v>681</v>
      </c>
      <c r="B655">
        <v>0.999984544473304</v>
      </c>
      <c r="C655">
        <v>1.04384832763548</v>
      </c>
      <c r="D655">
        <v>0.846522644106126</v>
      </c>
      <c r="E655">
        <v>1.00713405483532</v>
      </c>
      <c r="F655">
        <v>1.63381570912628</v>
      </c>
      <c r="G655">
        <v>0.989504229469891</v>
      </c>
      <c r="H655">
        <v>1.2441404873096</v>
      </c>
      <c r="I655">
        <v>1.12311105295939</v>
      </c>
      <c r="J655">
        <v>0.826743615205787</v>
      </c>
      <c r="K655">
        <v>0.782211299897078</v>
      </c>
      <c r="L655">
        <v>15000</v>
      </c>
      <c r="M655">
        <v>235.367014067895</v>
      </c>
      <c r="O655">
        <v>63.7256583327148</v>
      </c>
      <c r="P655">
        <v>-0.201111305742744</v>
      </c>
      <c r="Q655">
        <v>0.782196334647529</v>
      </c>
      <c r="R655">
        <v>0.0950597913788743</v>
      </c>
      <c r="S655" t="s">
        <v>2323</v>
      </c>
      <c r="T655" t="s">
        <v>3312</v>
      </c>
      <c r="U655" t="s">
        <v>3312</v>
      </c>
      <c r="V655" t="s">
        <v>3312</v>
      </c>
      <c r="W655" t="s">
        <v>3966</v>
      </c>
      <c r="X655">
        <v>2</v>
      </c>
      <c r="Y655" t="s">
        <v>5606</v>
      </c>
      <c r="Z655" t="s">
        <v>7248</v>
      </c>
      <c r="AA655">
        <v>0.9762887190253579</v>
      </c>
      <c r="AB655">
        <f>HYPERLINK("Melting_Curves/meltCurve_P0ADP9_yihD.pdf", "Melting_Curves/meltCurve_P0ADP9_yihD.pdf")</f>
        <v>0</v>
      </c>
    </row>
    <row r="656" spans="1:28">
      <c r="A656" t="s">
        <v>682</v>
      </c>
      <c r="B656">
        <v>0.999984544473304</v>
      </c>
      <c r="C656">
        <v>1.13709708146663</v>
      </c>
      <c r="D656">
        <v>0.907397414528535</v>
      </c>
      <c r="E656">
        <v>0.9879986899295971</v>
      </c>
      <c r="F656">
        <v>0.827758285938432</v>
      </c>
      <c r="G656">
        <v>0.683329053164314</v>
      </c>
      <c r="H656">
        <v>0.573179577766178</v>
      </c>
      <c r="I656">
        <v>0.443174745226926</v>
      </c>
      <c r="J656">
        <v>0.347286377299149</v>
      </c>
      <c r="K656">
        <v>0.385909510260072</v>
      </c>
      <c r="L656">
        <v>771.565185957158</v>
      </c>
      <c r="M656">
        <v>14.1122636518613</v>
      </c>
      <c r="N656">
        <v>58.7505899359532</v>
      </c>
      <c r="O656">
        <v>53.6106653108501</v>
      </c>
      <c r="P656">
        <v>-0.0452674670000464</v>
      </c>
      <c r="Q656">
        <v>0.312227038043056</v>
      </c>
      <c r="R656">
        <v>0.95626755889473</v>
      </c>
      <c r="S656" t="s">
        <v>2324</v>
      </c>
      <c r="T656" t="s">
        <v>3312</v>
      </c>
      <c r="U656" t="s">
        <v>3312</v>
      </c>
      <c r="V656" t="s">
        <v>3312</v>
      </c>
      <c r="W656" t="s">
        <v>3967</v>
      </c>
      <c r="X656">
        <v>3</v>
      </c>
      <c r="Y656" t="s">
        <v>5607</v>
      </c>
      <c r="Z656" t="s">
        <v>7249</v>
      </c>
      <c r="AA656">
        <v>0.7278790465637461</v>
      </c>
      <c r="AB656">
        <f>HYPERLINK("Melting_Curves/meltCurve_P0ADQ7_ygaM.pdf", "Melting_Curves/meltCurve_P0ADQ7_ygaM.pdf")</f>
        <v>0</v>
      </c>
    </row>
    <row r="657" spans="1:28">
      <c r="A657" t="s">
        <v>683</v>
      </c>
      <c r="B657">
        <v>0.999984544473304</v>
      </c>
      <c r="C657">
        <v>0.617895136253833</v>
      </c>
      <c r="D657">
        <v>0.163855930969401</v>
      </c>
      <c r="E657">
        <v>0.0433645749632363</v>
      </c>
      <c r="F657">
        <v>0.0312604453379307</v>
      </c>
      <c r="G657">
        <v>0.0131526732640317</v>
      </c>
      <c r="H657">
        <v>0.01085136897407</v>
      </c>
      <c r="I657">
        <v>0</v>
      </c>
      <c r="J657">
        <v>0.009416614593000619</v>
      </c>
      <c r="K657">
        <v>0</v>
      </c>
      <c r="L657">
        <v>1296.71246761922</v>
      </c>
      <c r="M657">
        <v>31.9749430235771</v>
      </c>
      <c r="N657">
        <v>40.589603573328</v>
      </c>
      <c r="O657">
        <v>40.3963961415016</v>
      </c>
      <c r="P657">
        <v>-0.195148493975092</v>
      </c>
      <c r="Q657">
        <v>0.0138210853163266</v>
      </c>
      <c r="R657">
        <v>0.997016637680616</v>
      </c>
      <c r="S657" t="s">
        <v>2325</v>
      </c>
      <c r="T657" t="s">
        <v>3312</v>
      </c>
      <c r="U657" t="s">
        <v>3312</v>
      </c>
      <c r="V657" t="s">
        <v>3312</v>
      </c>
      <c r="W657" t="s">
        <v>3968</v>
      </c>
      <c r="X657">
        <v>2</v>
      </c>
      <c r="Y657" t="s">
        <v>5608</v>
      </c>
      <c r="Z657" t="s">
        <v>7250</v>
      </c>
      <c r="AA657">
        <v>0.1364891683699462</v>
      </c>
      <c r="AB657">
        <f>HYPERLINK("Melting_Curves/meltCurve_P0ADR6_rlmM.pdf", "Melting_Curves/meltCurve_P0ADR6_rlmM.pdf")</f>
        <v>0</v>
      </c>
    </row>
    <row r="658" spans="1:28">
      <c r="A658" t="s">
        <v>684</v>
      </c>
      <c r="B658">
        <v>0.999984544473304</v>
      </c>
      <c r="C658">
        <v>1.08512421603577</v>
      </c>
      <c r="D658">
        <v>1.08279568738161</v>
      </c>
      <c r="E658">
        <v>0.771095096741728</v>
      </c>
      <c r="F658">
        <v>0.174778459684919</v>
      </c>
      <c r="G658">
        <v>0.074475418295818</v>
      </c>
      <c r="H658">
        <v>0.0501276387232876</v>
      </c>
      <c r="I658">
        <v>0.0381717404425969</v>
      </c>
      <c r="J658">
        <v>0.0296548933629473</v>
      </c>
      <c r="K658">
        <v>0.0287452594010241</v>
      </c>
      <c r="L658">
        <v>1995.51699947313</v>
      </c>
      <c r="M658">
        <v>41.6163834788928</v>
      </c>
      <c r="N658">
        <v>48.0524962750258</v>
      </c>
      <c r="O658">
        <v>47.8399541879204</v>
      </c>
      <c r="P658">
        <v>-0.208264701973557</v>
      </c>
      <c r="Q658">
        <v>0.0423621350018018</v>
      </c>
      <c r="R658">
        <v>0.992179076433703</v>
      </c>
      <c r="S658" t="s">
        <v>2326</v>
      </c>
      <c r="T658" t="s">
        <v>3312</v>
      </c>
      <c r="U658" t="s">
        <v>3312</v>
      </c>
      <c r="V658" t="s">
        <v>3312</v>
      </c>
      <c r="W658" t="s">
        <v>3969</v>
      </c>
      <c r="X658">
        <v>8</v>
      </c>
      <c r="Y658" t="s">
        <v>5609</v>
      </c>
      <c r="Z658" t="s">
        <v>7251</v>
      </c>
      <c r="AA658">
        <v>0.3948393800043052</v>
      </c>
      <c r="AB658">
        <f>HYPERLINK("Melting_Curves/meltCurve_P0ADR8_ygdH.pdf", "Melting_Curves/meltCurve_P0ADR8_ygdH.pdf")</f>
        <v>0</v>
      </c>
    </row>
    <row r="659" spans="1:28">
      <c r="A659" t="s">
        <v>685</v>
      </c>
      <c r="B659">
        <v>0.999984544473304</v>
      </c>
      <c r="C659">
        <v>1.04821801610746</v>
      </c>
      <c r="D659">
        <v>0.640598469702591</v>
      </c>
      <c r="E659">
        <v>0.734909282263117</v>
      </c>
      <c r="F659">
        <v>0.446933985299523</v>
      </c>
      <c r="G659">
        <v>0.325511935764332</v>
      </c>
      <c r="H659">
        <v>0.192572131905088</v>
      </c>
      <c r="I659">
        <v>0.156072793061432</v>
      </c>
      <c r="J659">
        <v>0.0999597821446018</v>
      </c>
      <c r="K659">
        <v>0.149282630564432</v>
      </c>
      <c r="L659">
        <v>529.286750566154</v>
      </c>
      <c r="M659">
        <v>10.8669607638001</v>
      </c>
      <c r="N659">
        <v>49.3442483202892</v>
      </c>
      <c r="O659">
        <v>47.1437294202423</v>
      </c>
      <c r="P659">
        <v>-0.0538678177339496</v>
      </c>
      <c r="Q659">
        <v>0.06555920187628859</v>
      </c>
      <c r="R659">
        <v>0.947273555977163</v>
      </c>
      <c r="S659" t="s">
        <v>2327</v>
      </c>
      <c r="T659" t="s">
        <v>3312</v>
      </c>
      <c r="U659" t="s">
        <v>3312</v>
      </c>
      <c r="V659" t="s">
        <v>3312</v>
      </c>
      <c r="W659" t="s">
        <v>3970</v>
      </c>
      <c r="X659">
        <v>1</v>
      </c>
      <c r="Y659" t="s">
        <v>5610</v>
      </c>
      <c r="Z659" t="s">
        <v>7252</v>
      </c>
      <c r="AA659">
        <v>0.4623158145384366</v>
      </c>
      <c r="AB659">
        <f>HYPERLINK("Melting_Curves/meltCurve_P0ADS2_zapA.pdf", "Melting_Curves/meltCurve_P0ADS2_zapA.pdf")</f>
        <v>0</v>
      </c>
    </row>
    <row r="660" spans="1:28">
      <c r="A660" t="s">
        <v>686</v>
      </c>
      <c r="B660">
        <v>0.999984544473304</v>
      </c>
      <c r="C660">
        <v>0.992577942207956</v>
      </c>
      <c r="D660">
        <v>1.06525419583772</v>
      </c>
      <c r="E660">
        <v>1.07359070477584</v>
      </c>
      <c r="F660">
        <v>0.966125482957087</v>
      </c>
      <c r="G660">
        <v>0.986806772450032</v>
      </c>
      <c r="H660">
        <v>0.725302783128173</v>
      </c>
      <c r="I660">
        <v>0.6521066816219639</v>
      </c>
      <c r="J660">
        <v>0.6136057932978199</v>
      </c>
      <c r="K660">
        <v>0.613738517088344</v>
      </c>
      <c r="L660">
        <v>3349.44838842787</v>
      </c>
      <c r="M660">
        <v>59.3177887768313</v>
      </c>
      <c r="O660">
        <v>56.4021006597449</v>
      </c>
      <c r="P660">
        <v>-0.0987983997942382</v>
      </c>
      <c r="Q660">
        <v>0.624231786716661</v>
      </c>
      <c r="R660">
        <v>0.965061048942232</v>
      </c>
      <c r="S660" t="s">
        <v>2328</v>
      </c>
      <c r="T660" t="s">
        <v>3312</v>
      </c>
      <c r="U660" t="s">
        <v>3312</v>
      </c>
      <c r="V660" t="s">
        <v>3312</v>
      </c>
      <c r="W660" t="s">
        <v>3971</v>
      </c>
      <c r="X660">
        <v>10</v>
      </c>
      <c r="Y660" t="s">
        <v>5611</v>
      </c>
      <c r="Z660" t="s">
        <v>7253</v>
      </c>
      <c r="AA660">
        <v>0.8687197502474657</v>
      </c>
      <c r="AB660">
        <f>HYPERLINK("Melting_Curves/meltCurve_P0ADS6_yggE.pdf", "Melting_Curves/meltCurve_P0ADS6_yggE.pdf")</f>
        <v>0</v>
      </c>
    </row>
    <row r="661" spans="1:28">
      <c r="A661" t="s">
        <v>687</v>
      </c>
      <c r="B661">
        <v>0.999984544473304</v>
      </c>
      <c r="C661">
        <v>0.841700846811973</v>
      </c>
      <c r="D661">
        <v>0.980589004245164</v>
      </c>
      <c r="E661">
        <v>0.996802461330537</v>
      </c>
      <c r="F661">
        <v>1.14765208619969</v>
      </c>
      <c r="G661">
        <v>1.02281318969835</v>
      </c>
      <c r="H661">
        <v>1.07000365638554</v>
      </c>
      <c r="I661">
        <v>1.0135065554791</v>
      </c>
      <c r="J661">
        <v>0.922448702020041</v>
      </c>
      <c r="K661">
        <v>0.807652749765486</v>
      </c>
      <c r="L661">
        <v>15000</v>
      </c>
      <c r="M661">
        <v>233.617038799874</v>
      </c>
      <c r="O661">
        <v>64.2029440395449</v>
      </c>
      <c r="P661">
        <v>-0.174985211192566</v>
      </c>
      <c r="Q661">
        <v>0.807641341817077</v>
      </c>
      <c r="R661">
        <v>0.425460239505667</v>
      </c>
      <c r="S661" t="s">
        <v>2329</v>
      </c>
      <c r="T661" t="s">
        <v>3312</v>
      </c>
      <c r="U661" t="s">
        <v>3312</v>
      </c>
      <c r="V661" t="s">
        <v>3312</v>
      </c>
      <c r="W661" t="s">
        <v>3972</v>
      </c>
      <c r="X661">
        <v>9</v>
      </c>
      <c r="Y661" t="s">
        <v>5612</v>
      </c>
      <c r="Z661" t="s">
        <v>7254</v>
      </c>
      <c r="AA661">
        <v>0.9821202562926731</v>
      </c>
      <c r="AB661">
        <f>HYPERLINK("Melting_Curves/meltCurve_P0ADS9_yggN.pdf", "Melting_Curves/meltCurve_P0ADS9_yggN.pdf")</f>
        <v>0</v>
      </c>
    </row>
    <row r="662" spans="1:28">
      <c r="A662" t="s">
        <v>688</v>
      </c>
      <c r="B662">
        <v>0.999984544473304</v>
      </c>
      <c r="C662">
        <v>1.22407643458883</v>
      </c>
      <c r="D662">
        <v>0.790774775384134</v>
      </c>
      <c r="E662">
        <v>1.11849660532353</v>
      </c>
      <c r="F662">
        <v>0.882217970536509</v>
      </c>
      <c r="G662">
        <v>0.7445377393927179</v>
      </c>
      <c r="H662">
        <v>0.703545039705903</v>
      </c>
      <c r="I662">
        <v>0.54140328674954</v>
      </c>
      <c r="J662">
        <v>0.433208656966173</v>
      </c>
      <c r="K662">
        <v>0.534205800525235</v>
      </c>
      <c r="L662">
        <v>934.569861953959</v>
      </c>
      <c r="M662">
        <v>16.9537128716235</v>
      </c>
      <c r="N662">
        <v>64.6976553254573</v>
      </c>
      <c r="O662">
        <v>54.3749763650425</v>
      </c>
      <c r="P662">
        <v>-0.0421487352606278</v>
      </c>
      <c r="Q662">
        <v>0.459305852911903</v>
      </c>
      <c r="R662">
        <v>0.793102814217435</v>
      </c>
      <c r="S662" t="s">
        <v>2330</v>
      </c>
      <c r="T662" t="s">
        <v>3312</v>
      </c>
      <c r="U662" t="s">
        <v>3312</v>
      </c>
      <c r="V662" t="s">
        <v>3312</v>
      </c>
      <c r="W662" t="s">
        <v>3973</v>
      </c>
      <c r="X662">
        <v>3</v>
      </c>
      <c r="Y662" t="s">
        <v>5613</v>
      </c>
      <c r="Z662" t="s">
        <v>7255</v>
      </c>
      <c r="AA662">
        <v>0.792983686573399</v>
      </c>
      <c r="AB662">
        <f>HYPERLINK("Melting_Curves/meltCurve_P0ADT2_ygiB.pdf", "Melting_Curves/meltCurve_P0ADT2_ygiB.pdf")</f>
        <v>0</v>
      </c>
    </row>
    <row r="663" spans="1:28">
      <c r="A663" t="s">
        <v>689</v>
      </c>
      <c r="B663">
        <v>0.999984544473304</v>
      </c>
      <c r="C663">
        <v>1.05812757253192</v>
      </c>
      <c r="D663">
        <v>1.11470750346278</v>
      </c>
      <c r="E663">
        <v>0.932594272138739</v>
      </c>
      <c r="F663">
        <v>1.16724667860166</v>
      </c>
      <c r="G663">
        <v>1.00106346272585</v>
      </c>
      <c r="H663">
        <v>0.790496908418803</v>
      </c>
      <c r="I663">
        <v>0.366658984137362</v>
      </c>
      <c r="J663">
        <v>0.10345315084387</v>
      </c>
      <c r="K663">
        <v>0.0597227922219549</v>
      </c>
      <c r="L663">
        <v>2025.6032749091</v>
      </c>
      <c r="M663">
        <v>33.8932964935696</v>
      </c>
      <c r="N663">
        <v>59.8676065352601</v>
      </c>
      <c r="O663">
        <v>59.5572267375117</v>
      </c>
      <c r="P663">
        <v>-0.138224320639644</v>
      </c>
      <c r="Q663">
        <v>0.0284540024022228</v>
      </c>
      <c r="R663">
        <v>0.968319606221148</v>
      </c>
      <c r="S663" t="s">
        <v>2331</v>
      </c>
      <c r="T663" t="s">
        <v>3312</v>
      </c>
      <c r="U663" t="s">
        <v>3312</v>
      </c>
      <c r="V663" t="s">
        <v>3312</v>
      </c>
      <c r="W663" t="s">
        <v>3974</v>
      </c>
      <c r="X663">
        <v>7</v>
      </c>
      <c r="Y663" t="s">
        <v>5614</v>
      </c>
      <c r="Z663" t="s">
        <v>7256</v>
      </c>
      <c r="AA663">
        <v>0.769320597298538</v>
      </c>
      <c r="AB663">
        <f>HYPERLINK("Melting_Curves/meltCurve_P0ADT5_ygiC.pdf", "Melting_Curves/meltCurve_P0ADT5_ygiC.pdf")</f>
        <v>0</v>
      </c>
    </row>
    <row r="664" spans="1:28">
      <c r="A664" t="s">
        <v>690</v>
      </c>
      <c r="B664">
        <v>0.999984544473304</v>
      </c>
      <c r="C664">
        <v>1.0142194915221</v>
      </c>
      <c r="D664">
        <v>1.0492472049078</v>
      </c>
      <c r="E664">
        <v>1.13088684880125</v>
      </c>
      <c r="F664">
        <v>1.01635015739327</v>
      </c>
      <c r="G664">
        <v>0.8976715340210381</v>
      </c>
      <c r="H664">
        <v>0.887691157772445</v>
      </c>
      <c r="I664">
        <v>0.691735347414134</v>
      </c>
      <c r="J664">
        <v>0.5533912750347521</v>
      </c>
      <c r="K664">
        <v>0.526807253146706</v>
      </c>
      <c r="L664">
        <v>1284.68238829869</v>
      </c>
      <c r="M664">
        <v>21.3423825912601</v>
      </c>
      <c r="O664">
        <v>59.6729622184954</v>
      </c>
      <c r="P664">
        <v>-0.0484791164623382</v>
      </c>
      <c r="Q664">
        <v>0.457826295053663</v>
      </c>
      <c r="R664">
        <v>0.936534313215218</v>
      </c>
      <c r="S664" t="s">
        <v>2332</v>
      </c>
      <c r="T664" t="s">
        <v>3312</v>
      </c>
      <c r="U664" t="s">
        <v>3312</v>
      </c>
      <c r="V664" t="s">
        <v>3312</v>
      </c>
      <c r="W664" t="s">
        <v>3975</v>
      </c>
      <c r="X664">
        <v>4</v>
      </c>
      <c r="Y664" t="s">
        <v>5615</v>
      </c>
      <c r="Z664" t="s">
        <v>7257</v>
      </c>
      <c r="AA664">
        <v>0.8773886040872436</v>
      </c>
      <c r="AB664">
        <f>HYPERLINK("Melting_Curves/meltCurve_P0ADT8_ygiM.pdf", "Melting_Curves/meltCurve_P0ADT8_ygiM.pdf")</f>
        <v>0</v>
      </c>
    </row>
    <row r="665" spans="1:28">
      <c r="A665" t="s">
        <v>691</v>
      </c>
      <c r="B665">
        <v>0.999984544473304</v>
      </c>
      <c r="C665">
        <v>1.1329354099002</v>
      </c>
      <c r="D665">
        <v>0.859394991142748</v>
      </c>
      <c r="E665">
        <v>1.1979833283278</v>
      </c>
      <c r="F665">
        <v>1.03011055161339</v>
      </c>
      <c r="G665">
        <v>0.746231171888856</v>
      </c>
      <c r="H665">
        <v>0.466537001602748</v>
      </c>
      <c r="I665">
        <v>0.134643839171086</v>
      </c>
      <c r="J665">
        <v>0.0616935318438077</v>
      </c>
      <c r="K665">
        <v>0.0700227664080451</v>
      </c>
      <c r="L665">
        <v>1492.73689347997</v>
      </c>
      <c r="M665">
        <v>26.3820882233377</v>
      </c>
      <c r="N665">
        <v>56.7331202505735</v>
      </c>
      <c r="O665">
        <v>56.259360748465</v>
      </c>
      <c r="P665">
        <v>-0.113243724120053</v>
      </c>
      <c r="Q665">
        <v>0.0340491309496402</v>
      </c>
      <c r="R665">
        <v>0.952027709960923</v>
      </c>
      <c r="S665" t="s">
        <v>2333</v>
      </c>
      <c r="T665" t="s">
        <v>3312</v>
      </c>
      <c r="U665" t="s">
        <v>3312</v>
      </c>
      <c r="V665" t="s">
        <v>3312</v>
      </c>
      <c r="W665" t="s">
        <v>3976</v>
      </c>
      <c r="X665">
        <v>5</v>
      </c>
      <c r="Y665" t="s">
        <v>5616</v>
      </c>
      <c r="Z665" t="s">
        <v>7258</v>
      </c>
      <c r="AA665">
        <v>0.6715758218780189</v>
      </c>
      <c r="AB665">
        <f>HYPERLINK("Melting_Curves/meltCurve_P0ADU2_ygiN.pdf", "Melting_Curves/meltCurve_P0ADU2_ygiN.pdf")</f>
        <v>0</v>
      </c>
    </row>
    <row r="666" spans="1:28">
      <c r="A666" t="s">
        <v>692</v>
      </c>
      <c r="B666">
        <v>0.999984544473304</v>
      </c>
      <c r="C666">
        <v>0.879495430377576</v>
      </c>
      <c r="D666">
        <v>1.01273955252355</v>
      </c>
      <c r="E666">
        <v>1.00794475886938</v>
      </c>
      <c r="F666">
        <v>1.59208287913023</v>
      </c>
      <c r="G666">
        <v>1.22865054756879</v>
      </c>
      <c r="H666">
        <v>1.36525586613738</v>
      </c>
      <c r="I666">
        <v>1.27108295397826</v>
      </c>
      <c r="J666">
        <v>0.900438986725378</v>
      </c>
      <c r="K666">
        <v>0.904522737599325</v>
      </c>
      <c r="L666">
        <v>15000</v>
      </c>
      <c r="M666">
        <v>237.725842472728</v>
      </c>
      <c r="O666">
        <v>63.0934160943419</v>
      </c>
      <c r="P666">
        <v>-0.09288911697982449</v>
      </c>
      <c r="Q666">
        <v>0.901387366410963</v>
      </c>
      <c r="R666">
        <v>-0.228299477061541</v>
      </c>
      <c r="S666" t="s">
        <v>2334</v>
      </c>
      <c r="T666" t="s">
        <v>3312</v>
      </c>
      <c r="U666" t="s">
        <v>3312</v>
      </c>
      <c r="V666" t="s">
        <v>3312</v>
      </c>
      <c r="W666" t="s">
        <v>3977</v>
      </c>
      <c r="X666">
        <v>5</v>
      </c>
      <c r="Y666" t="s">
        <v>5617</v>
      </c>
      <c r="Z666" t="s">
        <v>7259</v>
      </c>
      <c r="AA666">
        <v>0.987185510905998</v>
      </c>
      <c r="AB666">
        <f>HYPERLINK("Melting_Curves/meltCurve_P0ADU5_ygiW.pdf", "Melting_Curves/meltCurve_P0ADU5_ygiW.pdf")</f>
        <v>0</v>
      </c>
    </row>
    <row r="667" spans="1:28">
      <c r="A667" t="s">
        <v>693</v>
      </c>
      <c r="B667">
        <v>0.999984544473304</v>
      </c>
      <c r="C667">
        <v>0.887974796614306</v>
      </c>
      <c r="D667">
        <v>1.04840263800301</v>
      </c>
      <c r="E667">
        <v>0.967771420764525</v>
      </c>
      <c r="F667">
        <v>1.08159789821205</v>
      </c>
      <c r="G667">
        <v>0.900738351284155</v>
      </c>
      <c r="H667">
        <v>0.969098876184062</v>
      </c>
      <c r="I667">
        <v>0.989015828618361</v>
      </c>
      <c r="J667">
        <v>0.935003182570171</v>
      </c>
      <c r="K667">
        <v>0.767718460976487</v>
      </c>
      <c r="L667">
        <v>2109.09786901531</v>
      </c>
      <c r="M667">
        <v>30.2792135224269</v>
      </c>
      <c r="Q667">
        <v>0</v>
      </c>
      <c r="R667">
        <v>0.532445017558427</v>
      </c>
      <c r="S667" t="s">
        <v>2335</v>
      </c>
      <c r="T667" t="s">
        <v>3312</v>
      </c>
      <c r="U667" t="s">
        <v>3312</v>
      </c>
      <c r="V667" t="s">
        <v>3312</v>
      </c>
      <c r="W667" t="s">
        <v>3978</v>
      </c>
      <c r="X667">
        <v>4</v>
      </c>
      <c r="Y667" t="s">
        <v>5618</v>
      </c>
      <c r="Z667" t="s">
        <v>7260</v>
      </c>
      <c r="AA667">
        <v>0.9824750611798199</v>
      </c>
      <c r="AB667">
        <f>HYPERLINK("Melting_Curves/meltCurve_P0ADV1_lptA.pdf", "Melting_Curves/meltCurve_P0ADV1_lptA.pdf")</f>
        <v>0</v>
      </c>
    </row>
    <row r="668" spans="1:28">
      <c r="A668" t="s">
        <v>694</v>
      </c>
      <c r="B668">
        <v>0.999984544473304</v>
      </c>
      <c r="C668">
        <v>0.95873357146981</v>
      </c>
      <c r="D668">
        <v>0.8638713586892171</v>
      </c>
      <c r="E668">
        <v>0.877939090646906</v>
      </c>
      <c r="F668">
        <v>0.5574660241660671</v>
      </c>
      <c r="G668">
        <v>0.135703604281576</v>
      </c>
      <c r="H668">
        <v>0.0645797367724928</v>
      </c>
      <c r="I668">
        <v>0.0583144848619966</v>
      </c>
      <c r="J668">
        <v>0.0307795868575772</v>
      </c>
      <c r="K668">
        <v>0.0277551419656613</v>
      </c>
      <c r="L668">
        <v>1291.52985087762</v>
      </c>
      <c r="M668">
        <v>25.6786614025743</v>
      </c>
      <c r="N668">
        <v>50.3989516205971</v>
      </c>
      <c r="O668">
        <v>49.9937616894719</v>
      </c>
      <c r="P668">
        <v>-0.12512478448473</v>
      </c>
      <c r="Q668">
        <v>0.025590009748363</v>
      </c>
      <c r="R668">
        <v>0.987800606243517</v>
      </c>
      <c r="S668" t="s">
        <v>2336</v>
      </c>
      <c r="T668" t="s">
        <v>3312</v>
      </c>
      <c r="U668" t="s">
        <v>3312</v>
      </c>
      <c r="V668" t="s">
        <v>3312</v>
      </c>
      <c r="W668" t="s">
        <v>3979</v>
      </c>
      <c r="X668">
        <v>2</v>
      </c>
      <c r="Y668" t="s">
        <v>5619</v>
      </c>
      <c r="Z668" t="s">
        <v>7261</v>
      </c>
      <c r="AA668">
        <v>0.4655664275318617</v>
      </c>
      <c r="AB668">
        <f>HYPERLINK("Melting_Curves/meltCurve_P0ADV5_yhbW.pdf", "Melting_Curves/meltCurve_P0ADV5_yhbW.pdf")</f>
        <v>0</v>
      </c>
    </row>
    <row r="669" spans="1:28">
      <c r="A669" t="s">
        <v>695</v>
      </c>
      <c r="B669">
        <v>0.999984544473304</v>
      </c>
      <c r="C669">
        <v>0.886671824422148</v>
      </c>
      <c r="D669">
        <v>1.11622075254946</v>
      </c>
      <c r="E669">
        <v>1.03691844662904</v>
      </c>
      <c r="F669">
        <v>1.14823848263732</v>
      </c>
      <c r="G669">
        <v>0.99540709335139</v>
      </c>
      <c r="H669">
        <v>1.01312124611456</v>
      </c>
      <c r="I669">
        <v>0.872698778498853</v>
      </c>
      <c r="J669">
        <v>0.520988296867553</v>
      </c>
      <c r="K669">
        <v>0.165253257298189</v>
      </c>
      <c r="L669">
        <v>2457.86186756047</v>
      </c>
      <c r="M669">
        <v>38.2796509846385</v>
      </c>
      <c r="N669">
        <v>64.20804732402669</v>
      </c>
      <c r="O669">
        <v>64.033579357495</v>
      </c>
      <c r="P669">
        <v>-0.149451853976394</v>
      </c>
      <c r="Q669">
        <v>0</v>
      </c>
      <c r="R669">
        <v>0.939822359350673</v>
      </c>
      <c r="S669" t="s">
        <v>2337</v>
      </c>
      <c r="T669" t="s">
        <v>3312</v>
      </c>
      <c r="U669" t="s">
        <v>3312</v>
      </c>
      <c r="V669" t="s">
        <v>3312</v>
      </c>
      <c r="W669" t="s">
        <v>3980</v>
      </c>
      <c r="X669">
        <v>12</v>
      </c>
      <c r="Y669" t="s">
        <v>5620</v>
      </c>
      <c r="Z669" t="s">
        <v>7262</v>
      </c>
      <c r="AA669">
        <v>0.8998384439221334</v>
      </c>
      <c r="AB669">
        <f>HYPERLINK("Melting_Curves/meltCurve_P0ADV7_mlaC.pdf", "Melting_Curves/meltCurve_P0ADV7_mlaC.pdf")</f>
        <v>0</v>
      </c>
    </row>
    <row r="670" spans="1:28">
      <c r="A670" t="s">
        <v>696</v>
      </c>
      <c r="B670">
        <v>0.999984544473304</v>
      </c>
      <c r="C670">
        <v>0.907903549928779</v>
      </c>
      <c r="D670">
        <v>0.948620997077756</v>
      </c>
      <c r="E670">
        <v>0.835823082461063</v>
      </c>
      <c r="F670">
        <v>0.547340933143542</v>
      </c>
      <c r="G670">
        <v>0.202813870397475</v>
      </c>
      <c r="H670">
        <v>0.102216742550033</v>
      </c>
      <c r="I670">
        <v>0.0306432658986432</v>
      </c>
      <c r="J670">
        <v>0.014858666216836</v>
      </c>
      <c r="K670">
        <v>0.0243616992947913</v>
      </c>
      <c r="L670">
        <v>992.494595016847</v>
      </c>
      <c r="M670">
        <v>19.673788489332</v>
      </c>
      <c r="N670">
        <v>50.4729699655014</v>
      </c>
      <c r="O670">
        <v>49.9350354307161</v>
      </c>
      <c r="P670">
        <v>-0.09801496318630611</v>
      </c>
      <c r="Q670">
        <v>0.00492797782347484</v>
      </c>
      <c r="R670">
        <v>0.994245491541388</v>
      </c>
      <c r="S670" t="s">
        <v>2338</v>
      </c>
      <c r="T670" t="s">
        <v>3312</v>
      </c>
      <c r="U670" t="s">
        <v>3312</v>
      </c>
      <c r="V670" t="s">
        <v>3312</v>
      </c>
      <c r="W670" t="s">
        <v>3981</v>
      </c>
      <c r="X670">
        <v>1</v>
      </c>
      <c r="Y670" t="s">
        <v>5621</v>
      </c>
      <c r="Z670" t="s">
        <v>7263</v>
      </c>
      <c r="AA670">
        <v>0.4644237381584514</v>
      </c>
      <c r="AB670">
        <f>HYPERLINK("Melting_Curves/meltCurve_P0ADV9_lptC.pdf", "Melting_Curves/meltCurve_P0ADV9_lptC.pdf")</f>
        <v>0</v>
      </c>
    </row>
    <row r="671" spans="1:28">
      <c r="A671" t="s">
        <v>697</v>
      </c>
      <c r="B671">
        <v>0.999984544473304</v>
      </c>
      <c r="C671">
        <v>1.31978990157725</v>
      </c>
      <c r="D671">
        <v>0.732865683968286</v>
      </c>
      <c r="E671">
        <v>1.08777857025874</v>
      </c>
      <c r="F671">
        <v>0.904084353759965</v>
      </c>
      <c r="G671">
        <v>0.7563891374751091</v>
      </c>
      <c r="H671">
        <v>0.778223236785938</v>
      </c>
      <c r="I671">
        <v>0.838152471403898</v>
      </c>
      <c r="J671">
        <v>0.675396510110459</v>
      </c>
      <c r="K671">
        <v>0.8463243189116481</v>
      </c>
      <c r="L671">
        <v>12563.3703271079</v>
      </c>
      <c r="M671">
        <v>250</v>
      </c>
      <c r="O671">
        <v>50.2502654365791</v>
      </c>
      <c r="P671">
        <v>-0.275002114164282</v>
      </c>
      <c r="Q671">
        <v>0.778897132618714</v>
      </c>
      <c r="R671">
        <v>0.412852415686913</v>
      </c>
      <c r="S671" t="s">
        <v>2339</v>
      </c>
      <c r="T671" t="s">
        <v>3312</v>
      </c>
      <c r="U671" t="s">
        <v>3312</v>
      </c>
      <c r="V671" t="s">
        <v>3312</v>
      </c>
      <c r="W671" t="s">
        <v>3982</v>
      </c>
      <c r="X671">
        <v>4</v>
      </c>
      <c r="Y671" t="s">
        <v>5622</v>
      </c>
      <c r="Z671" t="s">
        <v>7264</v>
      </c>
      <c r="AA671">
        <v>0.8765960565847699</v>
      </c>
      <c r="AB671">
        <f>HYPERLINK("Melting_Curves/meltCurve_P0ADW3_yhcB.pdf", "Melting_Curves/meltCurve_P0ADW3_yhcB.pdf")</f>
        <v>0</v>
      </c>
    </row>
    <row r="672" spans="1:28">
      <c r="A672" t="s">
        <v>698</v>
      </c>
      <c r="B672">
        <v>0.999984544473304</v>
      </c>
      <c r="C672">
        <v>0.839251081649699</v>
      </c>
      <c r="D672">
        <v>1.0751619987568</v>
      </c>
      <c r="E672">
        <v>1.02200910468078</v>
      </c>
      <c r="F672">
        <v>1.29007507820851</v>
      </c>
      <c r="G672">
        <v>0.998871856051485</v>
      </c>
      <c r="H672">
        <v>1.2884637288635</v>
      </c>
      <c r="I672">
        <v>1.34002041037907</v>
      </c>
      <c r="J672">
        <v>1.22538101931834</v>
      </c>
      <c r="K672">
        <v>0.937061695724893</v>
      </c>
      <c r="L672">
        <v>11741.845943653</v>
      </c>
      <c r="M672">
        <v>250</v>
      </c>
      <c r="O672">
        <v>46.964378760108</v>
      </c>
      <c r="P672">
        <v>0.239515260274203</v>
      </c>
      <c r="Q672">
        <v>1.17997896397924</v>
      </c>
      <c r="R672">
        <v>0.343655249167739</v>
      </c>
      <c r="S672" t="s">
        <v>2340</v>
      </c>
      <c r="T672" t="s">
        <v>3312</v>
      </c>
      <c r="U672" t="s">
        <v>3312</v>
      </c>
      <c r="V672" t="s">
        <v>3312</v>
      </c>
      <c r="W672" t="s">
        <v>3983</v>
      </c>
      <c r="X672">
        <v>5</v>
      </c>
      <c r="Y672" t="s">
        <v>5623</v>
      </c>
      <c r="Z672" t="s">
        <v>7265</v>
      </c>
      <c r="AA672">
        <v>1.120166815336946</v>
      </c>
      <c r="AB672">
        <f>HYPERLINK("Melting_Curves/meltCurve_P0ADX1_yhfA.pdf", "Melting_Curves/meltCurve_P0ADX1_yhfA.pdf")</f>
        <v>0</v>
      </c>
    </row>
    <row r="673" spans="1:28">
      <c r="A673" t="s">
        <v>699</v>
      </c>
      <c r="B673">
        <v>0.999984544473304</v>
      </c>
      <c r="C673">
        <v>1.13907960846366</v>
      </c>
      <c r="D673">
        <v>0.841651018714721</v>
      </c>
      <c r="E673">
        <v>0.91399603469746</v>
      </c>
      <c r="F673">
        <v>1.15845099689252</v>
      </c>
      <c r="G673">
        <v>1.09571162285444</v>
      </c>
      <c r="H673">
        <v>0.854274943923192</v>
      </c>
      <c r="I673">
        <v>0.871727358782763</v>
      </c>
      <c r="J673">
        <v>0.923911508360495</v>
      </c>
      <c r="K673">
        <v>0.97497185845618</v>
      </c>
      <c r="L673">
        <v>4558.57620375514</v>
      </c>
      <c r="M673">
        <v>81.7897502064416</v>
      </c>
      <c r="O673">
        <v>55.7020100799215</v>
      </c>
      <c r="P673">
        <v>-0.0341966405415312</v>
      </c>
      <c r="Q673">
        <v>0.906843034231729</v>
      </c>
      <c r="R673">
        <v>0.22575021410456</v>
      </c>
      <c r="S673" t="s">
        <v>2341</v>
      </c>
      <c r="T673" t="s">
        <v>3312</v>
      </c>
      <c r="U673" t="s">
        <v>3312</v>
      </c>
      <c r="V673" t="s">
        <v>3312</v>
      </c>
      <c r="W673" t="s">
        <v>3984</v>
      </c>
      <c r="X673">
        <v>5</v>
      </c>
      <c r="Y673" t="s">
        <v>5624</v>
      </c>
      <c r="Z673" t="s">
        <v>7266</v>
      </c>
      <c r="AA673">
        <v>0.9651057766957117</v>
      </c>
      <c r="AB673">
        <f>HYPERLINK("Melting_Curves/meltCurve_P0ADX7_yhhA.pdf", "Melting_Curves/meltCurve_P0ADX7_yhhA.pdf")</f>
        <v>0</v>
      </c>
    </row>
    <row r="674" spans="1:28">
      <c r="A674" t="s">
        <v>700</v>
      </c>
      <c r="B674">
        <v>0.999984544473304</v>
      </c>
      <c r="C674">
        <v>1.12177451012838</v>
      </c>
      <c r="D674">
        <v>1.13422294769122</v>
      </c>
      <c r="E674">
        <v>1.12507078269114</v>
      </c>
      <c r="F674">
        <v>1.28640572990237</v>
      </c>
      <c r="G674">
        <v>1.07895095998952</v>
      </c>
      <c r="H674">
        <v>0.948983919142302</v>
      </c>
      <c r="I674">
        <v>0.401593219062165</v>
      </c>
      <c r="J674">
        <v>0.230510508018042</v>
      </c>
      <c r="K674">
        <v>0.137799163957119</v>
      </c>
      <c r="L674">
        <v>3414.41889973389</v>
      </c>
      <c r="M674">
        <v>56.8799556612172</v>
      </c>
      <c r="N674">
        <v>60.4685342100377</v>
      </c>
      <c r="O674">
        <v>59.9544447810268</v>
      </c>
      <c r="P674">
        <v>-0.196986632007326</v>
      </c>
      <c r="Q674">
        <v>0.169463617718987</v>
      </c>
      <c r="R674">
        <v>0.912538713249987</v>
      </c>
      <c r="S674" t="s">
        <v>2342</v>
      </c>
      <c r="T674" t="s">
        <v>3312</v>
      </c>
      <c r="U674" t="s">
        <v>3312</v>
      </c>
      <c r="V674" t="s">
        <v>3312</v>
      </c>
      <c r="W674" t="s">
        <v>3985</v>
      </c>
      <c r="X674">
        <v>18</v>
      </c>
      <c r="Y674" t="s">
        <v>5625</v>
      </c>
      <c r="Z674" t="s">
        <v>7267</v>
      </c>
      <c r="AA674">
        <v>0.808592749504218</v>
      </c>
      <c r="AB674">
        <f>HYPERLINK("Melting_Curves/meltCurve_P0ADY1_ppiD.pdf", "Melting_Curves/meltCurve_P0ADY1_ppiD.pdf")</f>
        <v>0</v>
      </c>
    </row>
    <row r="675" spans="1:28">
      <c r="A675" t="s">
        <v>701</v>
      </c>
      <c r="B675">
        <v>0.999984544473304</v>
      </c>
      <c r="C675">
        <v>0.6405378649824131</v>
      </c>
      <c r="D675">
        <v>0.400201147802373</v>
      </c>
      <c r="E675">
        <v>0.212788629605192</v>
      </c>
      <c r="F675">
        <v>0.127968162436764</v>
      </c>
      <c r="G675">
        <v>0.08473208962316139</v>
      </c>
      <c r="H675">
        <v>0.06400438434268391</v>
      </c>
      <c r="I675">
        <v>0.051240438743641</v>
      </c>
      <c r="J675">
        <v>0.0667816673732356</v>
      </c>
      <c r="K675">
        <v>0.09079721194243109</v>
      </c>
      <c r="L675">
        <v>760.828247333547</v>
      </c>
      <c r="M675">
        <v>18.3347746587459</v>
      </c>
      <c r="N675">
        <v>41.8616552146003</v>
      </c>
      <c r="O675">
        <v>41.0122535477479</v>
      </c>
      <c r="P675">
        <v>-0.103508251599168</v>
      </c>
      <c r="Q675">
        <v>0.0739098536040093</v>
      </c>
      <c r="R675">
        <v>0.98457859876739</v>
      </c>
      <c r="S675" t="s">
        <v>2343</v>
      </c>
      <c r="T675" t="s">
        <v>3312</v>
      </c>
      <c r="U675" t="s">
        <v>3312</v>
      </c>
      <c r="V675" t="s">
        <v>3312</v>
      </c>
      <c r="W675" t="s">
        <v>3986</v>
      </c>
      <c r="X675">
        <v>3</v>
      </c>
      <c r="Y675" t="s">
        <v>5626</v>
      </c>
      <c r="Z675" t="s">
        <v>7268</v>
      </c>
      <c r="AA675">
        <v>0.2307988716685945</v>
      </c>
      <c r="AB675">
        <f>HYPERLINK("Melting_Curves/meltCurve_P0ADY3_rplN.pdf", "Melting_Curves/meltCurve_P0ADY3_rplN.pdf")</f>
        <v>0</v>
      </c>
    </row>
    <row r="676" spans="1:28">
      <c r="A676" t="s">
        <v>702</v>
      </c>
      <c r="B676">
        <v>0.999984544473304</v>
      </c>
      <c r="C676">
        <v>1.12102392798192</v>
      </c>
      <c r="D676">
        <v>0.715501576189394</v>
      </c>
      <c r="E676">
        <v>0.458716534885812</v>
      </c>
      <c r="F676">
        <v>0.219274075279387</v>
      </c>
      <c r="G676">
        <v>0.166127554512554</v>
      </c>
      <c r="H676">
        <v>0.0847376305237026</v>
      </c>
      <c r="I676">
        <v>0.06651447493720709</v>
      </c>
      <c r="J676">
        <v>0.0512179118881224</v>
      </c>
      <c r="K676">
        <v>0.139391166360583</v>
      </c>
      <c r="L676">
        <v>943.93816949851</v>
      </c>
      <c r="M676">
        <v>20.7175988325868</v>
      </c>
      <c r="N676">
        <v>46.0128073054851</v>
      </c>
      <c r="O676">
        <v>45.1440094325479</v>
      </c>
      <c r="P676">
        <v>-0.104198251560813</v>
      </c>
      <c r="Q676">
        <v>0.0918263576925015</v>
      </c>
      <c r="R676">
        <v>0.971943573966538</v>
      </c>
      <c r="S676" t="s">
        <v>2344</v>
      </c>
      <c r="T676" t="s">
        <v>3312</v>
      </c>
      <c r="U676" t="s">
        <v>3312</v>
      </c>
      <c r="V676" t="s">
        <v>3312</v>
      </c>
      <c r="W676" t="s">
        <v>3987</v>
      </c>
      <c r="X676">
        <v>1</v>
      </c>
      <c r="Y676" t="s">
        <v>5627</v>
      </c>
      <c r="Z676" t="s">
        <v>7269</v>
      </c>
      <c r="AA676">
        <v>0.3620754197922986</v>
      </c>
      <c r="AB676">
        <f>HYPERLINK("Melting_Curves/meltCurve_P0ADY7_rplP.pdf", "Melting_Curves/meltCurve_P0ADY7_rplP.pdf")</f>
        <v>0</v>
      </c>
    </row>
    <row r="677" spans="1:28">
      <c r="A677" t="s">
        <v>703</v>
      </c>
      <c r="B677">
        <v>0.999984544473304</v>
      </c>
      <c r="C677">
        <v>0.759808925558596</v>
      </c>
      <c r="D677">
        <v>0.408826116375984</v>
      </c>
      <c r="E677">
        <v>0.214940807245937</v>
      </c>
      <c r="F677">
        <v>0.108632706412182</v>
      </c>
      <c r="G677">
        <v>0.0672494468300829</v>
      </c>
      <c r="H677">
        <v>0.053389080111917</v>
      </c>
      <c r="I677">
        <v>0.0411046320790543</v>
      </c>
      <c r="J677">
        <v>0.0274876450386795</v>
      </c>
      <c r="K677">
        <v>0.0325644087056669</v>
      </c>
      <c r="L677">
        <v>817.43354655826</v>
      </c>
      <c r="M677">
        <v>19.3643210305684</v>
      </c>
      <c r="N677">
        <v>42.426420784751</v>
      </c>
      <c r="O677">
        <v>41.7709270183657</v>
      </c>
      <c r="P677">
        <v>-0.110530619415718</v>
      </c>
      <c r="Q677">
        <v>0.0463294449944387</v>
      </c>
      <c r="R677">
        <v>0.993658900743163</v>
      </c>
      <c r="S677" t="s">
        <v>2345</v>
      </c>
      <c r="T677" t="s">
        <v>3312</v>
      </c>
      <c r="U677" t="s">
        <v>3312</v>
      </c>
      <c r="V677" t="s">
        <v>3312</v>
      </c>
      <c r="W677" t="s">
        <v>3988</v>
      </c>
      <c r="X677">
        <v>2</v>
      </c>
      <c r="Y677" t="s">
        <v>5628</v>
      </c>
      <c r="Z677" t="s">
        <v>7270</v>
      </c>
      <c r="AA677">
        <v>0.227237631061361</v>
      </c>
      <c r="AB677">
        <f>HYPERLINK("Melting_Curves/meltCurve_P0ADZ0_rplW.pdf", "Melting_Curves/meltCurve_P0ADZ0_rplW.pdf")</f>
        <v>0</v>
      </c>
    </row>
    <row r="678" spans="1:28">
      <c r="A678" t="s">
        <v>704</v>
      </c>
      <c r="B678">
        <v>0.999984544473304</v>
      </c>
      <c r="C678">
        <v>1.17980234326423</v>
      </c>
      <c r="D678">
        <v>1.06842374203719</v>
      </c>
      <c r="E678">
        <v>1.08825367134743</v>
      </c>
      <c r="F678">
        <v>0.56012377367648</v>
      </c>
      <c r="G678">
        <v>0.234069377241581</v>
      </c>
      <c r="H678">
        <v>0.116856830187574</v>
      </c>
      <c r="I678">
        <v>0.06734522152506441</v>
      </c>
      <c r="J678">
        <v>0.050380044486027</v>
      </c>
      <c r="K678">
        <v>0.0680463204333745</v>
      </c>
      <c r="L678">
        <v>1888.66513639817</v>
      </c>
      <c r="M678">
        <v>37.3525187484275</v>
      </c>
      <c r="N678">
        <v>50.8112813895861</v>
      </c>
      <c r="O678">
        <v>50.41899069491</v>
      </c>
      <c r="P678">
        <v>-0.169775467205774</v>
      </c>
      <c r="Q678">
        <v>0.0833406610717802</v>
      </c>
      <c r="R678">
        <v>0.971827811311833</v>
      </c>
      <c r="S678" t="s">
        <v>2346</v>
      </c>
      <c r="T678" t="s">
        <v>3312</v>
      </c>
      <c r="U678" t="s">
        <v>3312</v>
      </c>
      <c r="V678" t="s">
        <v>3312</v>
      </c>
      <c r="W678" t="s">
        <v>3989</v>
      </c>
      <c r="X678">
        <v>4</v>
      </c>
      <c r="Y678" t="s">
        <v>5629</v>
      </c>
      <c r="Z678" t="s">
        <v>7271</v>
      </c>
      <c r="AA678">
        <v>0.501442046605351</v>
      </c>
      <c r="AB678">
        <f>HYPERLINK("Melting_Curves/meltCurve_P0ADZ4_rpsO.pdf", "Melting_Curves/meltCurve_P0ADZ4_rpsO.pdf")</f>
        <v>0</v>
      </c>
    </row>
    <row r="679" spans="1:28">
      <c r="A679" t="s">
        <v>705</v>
      </c>
      <c r="B679">
        <v>0.999984544473304</v>
      </c>
      <c r="C679">
        <v>1.33718939494366</v>
      </c>
      <c r="D679">
        <v>1.31582580244838</v>
      </c>
      <c r="E679">
        <v>1.47368233562092</v>
      </c>
      <c r="F679">
        <v>1.32930270908091</v>
      </c>
      <c r="G679">
        <v>1.28267019702534</v>
      </c>
      <c r="H679">
        <v>1.55324689690219</v>
      </c>
      <c r="I679">
        <v>1.77344826204682</v>
      </c>
      <c r="J679">
        <v>1.85711632276702</v>
      </c>
      <c r="K679">
        <v>1.8330237859912</v>
      </c>
      <c r="L679">
        <v>623.856707463994</v>
      </c>
      <c r="M679">
        <v>15.4391327205932</v>
      </c>
      <c r="O679">
        <v>39.7477974577474</v>
      </c>
      <c r="P679">
        <v>0.0485578020671619</v>
      </c>
      <c r="Q679">
        <v>1.5</v>
      </c>
      <c r="R679">
        <v>0.413437312769516</v>
      </c>
      <c r="S679" t="s">
        <v>2347</v>
      </c>
      <c r="T679" t="s">
        <v>3312</v>
      </c>
      <c r="U679" t="s">
        <v>3312</v>
      </c>
      <c r="V679" t="s">
        <v>3312</v>
      </c>
      <c r="W679" t="s">
        <v>3990</v>
      </c>
      <c r="X679">
        <v>3</v>
      </c>
      <c r="Y679" t="s">
        <v>5630</v>
      </c>
      <c r="Z679" t="s">
        <v>7272</v>
      </c>
      <c r="AA679">
        <v>1.426566988310655</v>
      </c>
      <c r="AB679">
        <f>HYPERLINK("Melting_Curves/meltCurve_P0ADZ7_yajC.pdf", "Melting_Curves/meltCurve_P0ADZ7_yajC.pdf")</f>
        <v>0</v>
      </c>
    </row>
    <row r="680" spans="1:28">
      <c r="A680" t="s">
        <v>706</v>
      </c>
      <c r="B680">
        <v>0.999984544473304</v>
      </c>
      <c r="C680">
        <v>0.824973013291024</v>
      </c>
      <c r="D680">
        <v>0.860215133893713</v>
      </c>
      <c r="E680">
        <v>0.378832226782924</v>
      </c>
      <c r="F680">
        <v>0.0942890879054722</v>
      </c>
      <c r="G680">
        <v>0.0530229760601098</v>
      </c>
      <c r="H680">
        <v>0.0365968268698253</v>
      </c>
      <c r="I680">
        <v>0.0225962527387247</v>
      </c>
      <c r="J680">
        <v>0.0181038487188296</v>
      </c>
      <c r="K680">
        <v>0.0149083662791313</v>
      </c>
      <c r="L680">
        <v>1080.81866170429</v>
      </c>
      <c r="M680">
        <v>23.7072491173108</v>
      </c>
      <c r="N680">
        <v>45.6590778823201</v>
      </c>
      <c r="O680">
        <v>45.2695489902631</v>
      </c>
      <c r="P680">
        <v>-0.128625726560337</v>
      </c>
      <c r="Q680">
        <v>0.0175609242030196</v>
      </c>
      <c r="R680">
        <v>0.98403541501662</v>
      </c>
      <c r="S680" t="s">
        <v>2348</v>
      </c>
      <c r="T680" t="s">
        <v>3312</v>
      </c>
      <c r="U680" t="s">
        <v>3312</v>
      </c>
      <c r="V680" t="s">
        <v>3312</v>
      </c>
      <c r="W680" t="s">
        <v>3991</v>
      </c>
      <c r="X680">
        <v>5</v>
      </c>
      <c r="Y680" t="s">
        <v>5631</v>
      </c>
      <c r="Z680" t="s">
        <v>7273</v>
      </c>
      <c r="AA680">
        <v>0.3079179812871613</v>
      </c>
      <c r="AB680">
        <f>HYPERLINK("Melting_Curves/meltCurve_P0AE01_trmJ.pdf", "Melting_Curves/meltCurve_P0AE01_trmJ.pdf")</f>
        <v>0</v>
      </c>
    </row>
    <row r="681" spans="1:28">
      <c r="A681" t="s">
        <v>707</v>
      </c>
      <c r="B681">
        <v>0.999984544473304</v>
      </c>
      <c r="C681">
        <v>1.00903324063575</v>
      </c>
      <c r="D681">
        <v>1.09912767186585</v>
      </c>
      <c r="E681">
        <v>0.950847815223848</v>
      </c>
      <c r="F681">
        <v>0.518259357427824</v>
      </c>
      <c r="G681">
        <v>0.191383089431006</v>
      </c>
      <c r="H681">
        <v>0.100453105748235</v>
      </c>
      <c r="I681">
        <v>0.045453842834573</v>
      </c>
      <c r="J681">
        <v>0.0296652700435124</v>
      </c>
      <c r="K681">
        <v>0.0235181912859824</v>
      </c>
      <c r="L681">
        <v>1516.1670813152</v>
      </c>
      <c r="M681">
        <v>30.1159115482671</v>
      </c>
      <c r="N681">
        <v>50.5040412059566</v>
      </c>
      <c r="O681">
        <v>50.1239711176686</v>
      </c>
      <c r="P681">
        <v>-0.143387678676803</v>
      </c>
      <c r="Q681">
        <v>0.045406452885241</v>
      </c>
      <c r="R681">
        <v>0.992428301954545</v>
      </c>
      <c r="S681" t="s">
        <v>2349</v>
      </c>
      <c r="T681" t="s">
        <v>3312</v>
      </c>
      <c r="U681" t="s">
        <v>3312</v>
      </c>
      <c r="V681" t="s">
        <v>3312</v>
      </c>
      <c r="W681" t="s">
        <v>3992</v>
      </c>
      <c r="X681">
        <v>8</v>
      </c>
      <c r="Y681" t="s">
        <v>5632</v>
      </c>
      <c r="Z681" t="s">
        <v>7274</v>
      </c>
      <c r="AA681">
        <v>0.4758668212840558</v>
      </c>
      <c r="AB681">
        <f>HYPERLINK("Melting_Curves/meltCurve_P0AE06_acrA.pdf", "Melting_Curves/meltCurve_P0AE06_acrA.pdf")</f>
        <v>0</v>
      </c>
    </row>
    <row r="682" spans="1:28">
      <c r="A682" t="s">
        <v>708</v>
      </c>
      <c r="B682">
        <v>0.999984544473304</v>
      </c>
      <c r="C682">
        <v>0.774825430132115</v>
      </c>
      <c r="D682">
        <v>1.00056475257347</v>
      </c>
      <c r="E682">
        <v>1.01900950154013</v>
      </c>
      <c r="F682">
        <v>1.16987318867077</v>
      </c>
      <c r="G682">
        <v>1.01609029441353</v>
      </c>
      <c r="H682">
        <v>0.851691031137036</v>
      </c>
      <c r="I682">
        <v>0.662967083198802</v>
      </c>
      <c r="J682">
        <v>0.362571620037947</v>
      </c>
      <c r="K682">
        <v>0.420259633807714</v>
      </c>
      <c r="L682">
        <v>1972.54369207619</v>
      </c>
      <c r="M682">
        <v>32.7258992136503</v>
      </c>
      <c r="N682">
        <v>62.6371269552977</v>
      </c>
      <c r="O682">
        <v>60.0509746161926</v>
      </c>
      <c r="P682">
        <v>-0.08794749910327759</v>
      </c>
      <c r="Q682">
        <v>0.354479667419676</v>
      </c>
      <c r="R682">
        <v>0.860638144497932</v>
      </c>
      <c r="S682" t="s">
        <v>2350</v>
      </c>
      <c r="T682" t="s">
        <v>3312</v>
      </c>
      <c r="U682" t="s">
        <v>3312</v>
      </c>
      <c r="V682" t="s">
        <v>3312</v>
      </c>
      <c r="W682" t="s">
        <v>3993</v>
      </c>
      <c r="X682">
        <v>6</v>
      </c>
      <c r="Y682" t="s">
        <v>5633</v>
      </c>
      <c r="Z682" t="s">
        <v>7275</v>
      </c>
      <c r="AA682">
        <v>0.8573882212916928</v>
      </c>
      <c r="AB682">
        <f>HYPERLINK("Melting_Curves/meltCurve_P0AE08_ahpC.pdf", "Melting_Curves/meltCurve_P0AE08_ahpC.pdf")</f>
        <v>0</v>
      </c>
    </row>
    <row r="683" spans="1:28">
      <c r="A683" t="s">
        <v>709</v>
      </c>
      <c r="B683">
        <v>0.999984544473304</v>
      </c>
      <c r="C683">
        <v>1.68170820002771</v>
      </c>
      <c r="D683">
        <v>1.47550864909079</v>
      </c>
      <c r="E683">
        <v>1.51908627763567</v>
      </c>
      <c r="F683">
        <v>1.03120476184778</v>
      </c>
      <c r="G683">
        <v>1.38270089179306</v>
      </c>
      <c r="H683">
        <v>0.744702872947676</v>
      </c>
      <c r="I683">
        <v>0.666054849681174</v>
      </c>
      <c r="J683">
        <v>0.06911753859685391</v>
      </c>
      <c r="K683">
        <v>0.0337452984039223</v>
      </c>
      <c r="L683">
        <v>2784.85123196765</v>
      </c>
      <c r="M683">
        <v>45.2463010746949</v>
      </c>
      <c r="N683">
        <v>61.5487053955666</v>
      </c>
      <c r="O683">
        <v>61.4288386994582</v>
      </c>
      <c r="P683">
        <v>-0.18414135900119</v>
      </c>
      <c r="Q683">
        <v>0</v>
      </c>
      <c r="R683">
        <v>0.619945243177169</v>
      </c>
      <c r="S683" t="s">
        <v>2351</v>
      </c>
      <c r="T683" t="s">
        <v>3312</v>
      </c>
      <c r="U683" t="s">
        <v>3312</v>
      </c>
      <c r="V683" t="s">
        <v>3312</v>
      </c>
      <c r="W683" t="s">
        <v>3994</v>
      </c>
      <c r="X683">
        <v>8</v>
      </c>
      <c r="Y683" t="s">
        <v>5634</v>
      </c>
      <c r="Z683" t="s">
        <v>7276</v>
      </c>
      <c r="AA683">
        <v>0.8202031200396246</v>
      </c>
      <c r="AB683">
        <f>HYPERLINK("Melting_Curves/meltCurve_P0AE12_amn.pdf", "Melting_Curves/meltCurve_P0AE12_amn.pdf")</f>
        <v>0</v>
      </c>
    </row>
    <row r="684" spans="1:28">
      <c r="A684" t="s">
        <v>710</v>
      </c>
      <c r="B684">
        <v>0.999984544473304</v>
      </c>
      <c r="C684">
        <v>0.736361684324891</v>
      </c>
      <c r="D684">
        <v>0.654666387902796</v>
      </c>
      <c r="E684">
        <v>0.244002812980752</v>
      </c>
      <c r="F684">
        <v>0.150983378837275</v>
      </c>
      <c r="G684">
        <v>0.0987038858488572</v>
      </c>
      <c r="H684">
        <v>0.085731816024935</v>
      </c>
      <c r="I684">
        <v>0.0689685939987629</v>
      </c>
      <c r="J684">
        <v>0.0540860007576885</v>
      </c>
      <c r="K684">
        <v>0.0535049007954806</v>
      </c>
      <c r="L684">
        <v>711.167640986946</v>
      </c>
      <c r="M684">
        <v>16.3392242141217</v>
      </c>
      <c r="N684">
        <v>43.8329724307763</v>
      </c>
      <c r="O684">
        <v>42.888886759489</v>
      </c>
      <c r="P684">
        <v>-0.0900862016215542</v>
      </c>
      <c r="Q684">
        <v>0.0541982736639596</v>
      </c>
      <c r="R684">
        <v>0.981912145367027</v>
      </c>
      <c r="S684" t="s">
        <v>2352</v>
      </c>
      <c r="T684" t="s">
        <v>3312</v>
      </c>
      <c r="U684" t="s">
        <v>3312</v>
      </c>
      <c r="V684" t="s">
        <v>3312</v>
      </c>
      <c r="W684" t="s">
        <v>3995</v>
      </c>
      <c r="X684">
        <v>3</v>
      </c>
      <c r="Y684" t="s">
        <v>5635</v>
      </c>
      <c r="Z684" t="s">
        <v>7277</v>
      </c>
      <c r="AA684">
        <v>0.2800110487488801</v>
      </c>
      <c r="AB684">
        <f>HYPERLINK("Melting_Curves/meltCurve_P0AE18_map.pdf", "Melting_Curves/meltCurve_P0AE18_map.pdf")</f>
        <v>0</v>
      </c>
    </row>
    <row r="685" spans="1:28">
      <c r="A685" t="s">
        <v>711</v>
      </c>
      <c r="B685">
        <v>0.999984544473304</v>
      </c>
      <c r="C685">
        <v>0.87282489830298</v>
      </c>
      <c r="D685">
        <v>0.914278956282689</v>
      </c>
      <c r="E685">
        <v>0.982131593131774</v>
      </c>
      <c r="F685">
        <v>0.984823529554868</v>
      </c>
      <c r="G685">
        <v>0.879300877862117</v>
      </c>
      <c r="H685">
        <v>0.727813770819799</v>
      </c>
      <c r="I685">
        <v>0.546004789635225</v>
      </c>
      <c r="J685">
        <v>0.482992006119896</v>
      </c>
      <c r="K685">
        <v>0.524859007400767</v>
      </c>
      <c r="L685">
        <v>1403.66355782447</v>
      </c>
      <c r="M685">
        <v>24.722680576651</v>
      </c>
      <c r="N685">
        <v>65.60843592743601</v>
      </c>
      <c r="O685">
        <v>56.4087859261243</v>
      </c>
      <c r="P685">
        <v>-0.0567500414922748</v>
      </c>
      <c r="Q685">
        <v>0.482069763795765</v>
      </c>
      <c r="R685">
        <v>0.9299096027028489</v>
      </c>
      <c r="S685" t="s">
        <v>2353</v>
      </c>
      <c r="T685" t="s">
        <v>3312</v>
      </c>
      <c r="U685" t="s">
        <v>3312</v>
      </c>
      <c r="V685" t="s">
        <v>3312</v>
      </c>
      <c r="W685" t="s">
        <v>3996</v>
      </c>
      <c r="X685">
        <v>4</v>
      </c>
      <c r="Y685" t="s">
        <v>5636</v>
      </c>
      <c r="Z685" t="s">
        <v>7278</v>
      </c>
      <c r="AA685">
        <v>0.8274999750047554</v>
      </c>
      <c r="AB685">
        <f>HYPERLINK("Melting_Curves/meltCurve_P0AE22_aphA.pdf", "Melting_Curves/meltCurve_P0AE22_aphA.pdf")</f>
        <v>0</v>
      </c>
    </row>
    <row r="686" spans="1:28">
      <c r="A686" t="s">
        <v>712</v>
      </c>
      <c r="B686">
        <v>0.999984544473304</v>
      </c>
      <c r="C686">
        <v>0.838563305516466</v>
      </c>
      <c r="D686">
        <v>0.477825884576769</v>
      </c>
      <c r="E686">
        <v>0.203854521988492</v>
      </c>
      <c r="F686">
        <v>0.100287396895296</v>
      </c>
      <c r="G686">
        <v>0.0462316155323815</v>
      </c>
      <c r="H686">
        <v>0.030152659227529</v>
      </c>
      <c r="I686">
        <v>0.0186683968986197</v>
      </c>
      <c r="J686">
        <v>0.0207190265456764</v>
      </c>
      <c r="K686">
        <v>0.0153575769725232</v>
      </c>
      <c r="L686">
        <v>874.1013196507211</v>
      </c>
      <c r="M686">
        <v>20.3712594887232</v>
      </c>
      <c r="N686">
        <v>43.0245663427764</v>
      </c>
      <c r="O686">
        <v>42.5014880281939</v>
      </c>
      <c r="P686">
        <v>-0.116628223072226</v>
      </c>
      <c r="Q686">
        <v>0.0267222616026812</v>
      </c>
      <c r="R686">
        <v>0.997339103319754</v>
      </c>
      <c r="S686" t="s">
        <v>2354</v>
      </c>
      <c r="T686" t="s">
        <v>3312</v>
      </c>
      <c r="U686" t="s">
        <v>3312</v>
      </c>
      <c r="V686" t="s">
        <v>3312</v>
      </c>
      <c r="W686" t="s">
        <v>3997</v>
      </c>
      <c r="X686">
        <v>4</v>
      </c>
      <c r="Y686" t="s">
        <v>5637</v>
      </c>
      <c r="Z686" t="s">
        <v>7279</v>
      </c>
      <c r="AA686">
        <v>0.2314948604240348</v>
      </c>
      <c r="AB686">
        <f>HYPERLINK("Melting_Curves/meltCurve_P0AE37_astA.pdf", "Melting_Curves/meltCurve_P0AE37_astA.pdf")</f>
        <v>0</v>
      </c>
    </row>
    <row r="687" spans="1:28">
      <c r="A687" t="s">
        <v>713</v>
      </c>
      <c r="B687">
        <v>0.999984544473304</v>
      </c>
      <c r="C687">
        <v>1.09206663731794</v>
      </c>
      <c r="D687">
        <v>1.23592436189964</v>
      </c>
      <c r="E687">
        <v>1.36097943650373</v>
      </c>
      <c r="F687">
        <v>1.35360322002609</v>
      </c>
      <c r="G687">
        <v>0.9445467750261271</v>
      </c>
      <c r="H687">
        <v>0.530911665080931</v>
      </c>
      <c r="I687">
        <v>0.301211567610064</v>
      </c>
      <c r="J687">
        <v>0.15700357847905</v>
      </c>
      <c r="K687">
        <v>0.126833071895258</v>
      </c>
      <c r="L687">
        <v>2209.01252945163</v>
      </c>
      <c r="M687">
        <v>38.5753239487121</v>
      </c>
      <c r="N687">
        <v>57.8391744207686</v>
      </c>
      <c r="O687">
        <v>57.1116660668993</v>
      </c>
      <c r="P687">
        <v>-0.141995538465276</v>
      </c>
      <c r="Q687">
        <v>0.159091200304927</v>
      </c>
      <c r="R687">
        <v>0.846328837906452</v>
      </c>
      <c r="S687" t="s">
        <v>2355</v>
      </c>
      <c r="T687" t="s">
        <v>3312</v>
      </c>
      <c r="U687" t="s">
        <v>3312</v>
      </c>
      <c r="V687" t="s">
        <v>3312</v>
      </c>
      <c r="W687" t="s">
        <v>3998</v>
      </c>
      <c r="X687">
        <v>1</v>
      </c>
      <c r="Y687" t="s">
        <v>5638</v>
      </c>
      <c r="Z687" t="s">
        <v>7280</v>
      </c>
      <c r="AA687">
        <v>0.7304818224484367</v>
      </c>
      <c r="AB687">
        <f>HYPERLINK("Melting_Curves/meltCurve_P0AE48_ytfP.pdf", "Melting_Curves/meltCurve_P0AE48_ytfP.pdf")</f>
        <v>0</v>
      </c>
    </row>
    <row r="688" spans="1:28">
      <c r="A688" t="s">
        <v>714</v>
      </c>
      <c r="B688">
        <v>0.999984544473304</v>
      </c>
      <c r="C688">
        <v>1.11703515038547</v>
      </c>
      <c r="D688">
        <v>0.765632832339189</v>
      </c>
      <c r="E688">
        <v>1.12241408706506</v>
      </c>
      <c r="F688">
        <v>0.936618936927887</v>
      </c>
      <c r="G688">
        <v>0.746377935683887</v>
      </c>
      <c r="H688">
        <v>0.799454477930417</v>
      </c>
      <c r="I688">
        <v>0.738725614390942</v>
      </c>
      <c r="J688">
        <v>0.552004916779906</v>
      </c>
      <c r="K688">
        <v>0.753490928550128</v>
      </c>
      <c r="L688">
        <v>2272.11178473334</v>
      </c>
      <c r="M688">
        <v>43.865196126524</v>
      </c>
      <c r="O688">
        <v>51.6902971873359</v>
      </c>
      <c r="P688">
        <v>-0.0620382669533632</v>
      </c>
      <c r="Q688">
        <v>0.707579425817261</v>
      </c>
      <c r="R688">
        <v>0.610733055874366</v>
      </c>
      <c r="S688" t="s">
        <v>2356</v>
      </c>
      <c r="T688" t="s">
        <v>3312</v>
      </c>
      <c r="U688" t="s">
        <v>3312</v>
      </c>
      <c r="V688" t="s">
        <v>3312</v>
      </c>
      <c r="W688" t="s">
        <v>3999</v>
      </c>
      <c r="X688">
        <v>6</v>
      </c>
      <c r="Y688" t="s">
        <v>5639</v>
      </c>
      <c r="Z688" t="s">
        <v>7281</v>
      </c>
      <c r="AA688">
        <v>0.8526854001359503</v>
      </c>
      <c r="AB688">
        <f>HYPERLINK("Melting_Curves/meltCurve_P0AE52_bcp.pdf", "Melting_Curves/meltCurve_P0AE52_bcp.pdf")</f>
        <v>0</v>
      </c>
    </row>
    <row r="689" spans="1:28">
      <c r="A689" t="s">
        <v>715</v>
      </c>
      <c r="B689">
        <v>0.999984544473304</v>
      </c>
      <c r="C689">
        <v>1.07121407699474</v>
      </c>
      <c r="D689">
        <v>0.774808927937974</v>
      </c>
      <c r="E689">
        <v>0.971759314764512</v>
      </c>
      <c r="F689">
        <v>0.727145923929043</v>
      </c>
      <c r="G689">
        <v>0.6108991860016501</v>
      </c>
      <c r="H689">
        <v>0.416788182068093</v>
      </c>
      <c r="I689">
        <v>0.243730455929734</v>
      </c>
      <c r="J689">
        <v>0.162510434844616</v>
      </c>
      <c r="K689">
        <v>0.143290794846226</v>
      </c>
      <c r="L689">
        <v>611.644155540453</v>
      </c>
      <c r="M689">
        <v>11.0376024566572</v>
      </c>
      <c r="N689">
        <v>55.4146000664158</v>
      </c>
      <c r="O689">
        <v>53.6888389835341</v>
      </c>
      <c r="P689">
        <v>-0.0514132823078234</v>
      </c>
      <c r="Q689">
        <v>0</v>
      </c>
      <c r="R689">
        <v>0.954299250011417</v>
      </c>
      <c r="S689" t="s">
        <v>2357</v>
      </c>
      <c r="T689" t="s">
        <v>3312</v>
      </c>
      <c r="U689" t="s">
        <v>3312</v>
      </c>
      <c r="V689" t="s">
        <v>3312</v>
      </c>
      <c r="W689" t="s">
        <v>4000</v>
      </c>
      <c r="X689">
        <v>2</v>
      </c>
      <c r="Y689" t="s">
        <v>5640</v>
      </c>
      <c r="Z689" t="s">
        <v>7282</v>
      </c>
      <c r="AA689">
        <v>0.6252899848425556</v>
      </c>
      <c r="AB689">
        <f>HYPERLINK("Melting_Curves/meltCurve_P0AE60_cedA.pdf", "Melting_Curves/meltCurve_P0AE60_cedA.pdf")</f>
        <v>0</v>
      </c>
    </row>
    <row r="690" spans="1:28">
      <c r="A690" t="s">
        <v>716</v>
      </c>
      <c r="B690">
        <v>0.999984544473304</v>
      </c>
      <c r="C690">
        <v>1.05004131145127</v>
      </c>
      <c r="D690">
        <v>0.7082227314908</v>
      </c>
      <c r="E690">
        <v>0.870923498578755</v>
      </c>
      <c r="F690">
        <v>1.02744179118554</v>
      </c>
      <c r="G690">
        <v>0.784629021272645</v>
      </c>
      <c r="H690">
        <v>0.663913491598918</v>
      </c>
      <c r="I690">
        <v>0.624056978926825</v>
      </c>
      <c r="J690">
        <v>0.516778381378016</v>
      </c>
      <c r="K690">
        <v>0.715624062064895</v>
      </c>
      <c r="L690">
        <v>344.111861955061</v>
      </c>
      <c r="M690">
        <v>5.95297971865452</v>
      </c>
      <c r="O690">
        <v>52.2914815836747</v>
      </c>
      <c r="P690">
        <v>-0.0165724174705781</v>
      </c>
      <c r="Q690">
        <v>0.419638754896548</v>
      </c>
      <c r="R690">
        <v>0.579967884225594</v>
      </c>
      <c r="S690" t="s">
        <v>2358</v>
      </c>
      <c r="T690" t="s">
        <v>3312</v>
      </c>
      <c r="U690" t="s">
        <v>3312</v>
      </c>
      <c r="V690" t="s">
        <v>3312</v>
      </c>
      <c r="W690" t="s">
        <v>4001</v>
      </c>
      <c r="X690">
        <v>3</v>
      </c>
      <c r="Y690" t="s">
        <v>5641</v>
      </c>
      <c r="Z690" t="s">
        <v>7283</v>
      </c>
      <c r="AA690">
        <v>0.7990455096699555</v>
      </c>
      <c r="AB690">
        <f>HYPERLINK("Melting_Curves/meltCurve_P0AE63_chaB.pdf", "Melting_Curves/meltCurve_P0AE63_chaB.pdf")</f>
        <v>0</v>
      </c>
    </row>
    <row r="691" spans="1:28">
      <c r="A691" t="s">
        <v>717</v>
      </c>
      <c r="B691">
        <v>0.999984544473304</v>
      </c>
      <c r="C691">
        <v>0.809901881001729</v>
      </c>
      <c r="D691">
        <v>0.846210221365234</v>
      </c>
      <c r="E691">
        <v>0.936268745750328</v>
      </c>
      <c r="F691">
        <v>0.912083432654246</v>
      </c>
      <c r="G691">
        <v>0.660883413224614</v>
      </c>
      <c r="H691">
        <v>0.489342691640392</v>
      </c>
      <c r="I691">
        <v>0.486277279735539</v>
      </c>
      <c r="J691">
        <v>0.286810198576781</v>
      </c>
      <c r="K691">
        <v>0.502111418068485</v>
      </c>
      <c r="L691">
        <v>1212.36402010626</v>
      </c>
      <c r="M691">
        <v>22.7661892804303</v>
      </c>
      <c r="N691">
        <v>57.4441131228534</v>
      </c>
      <c r="O691">
        <v>52.8470359591975</v>
      </c>
      <c r="P691">
        <v>-0.06407815430841141</v>
      </c>
      <c r="Q691">
        <v>0.40503420741285</v>
      </c>
      <c r="R691">
        <v>0.829187695926127</v>
      </c>
      <c r="S691" t="s">
        <v>2359</v>
      </c>
      <c r="T691" t="s">
        <v>3312</v>
      </c>
      <c r="U691" t="s">
        <v>3312</v>
      </c>
      <c r="V691" t="s">
        <v>3312</v>
      </c>
      <c r="W691" t="s">
        <v>4002</v>
      </c>
      <c r="X691">
        <v>4</v>
      </c>
      <c r="Y691" t="s">
        <v>5642</v>
      </c>
      <c r="Z691" t="s">
        <v>7284</v>
      </c>
      <c r="AA691">
        <v>0.7334824471660155</v>
      </c>
      <c r="AB691">
        <f>HYPERLINK("Melting_Curves/meltCurve_P0AE67_cheY.pdf", "Melting_Curves/meltCurve_P0AE67_cheY.pdf")</f>
        <v>0</v>
      </c>
    </row>
    <row r="692" spans="1:28">
      <c r="A692" t="s">
        <v>718</v>
      </c>
      <c r="B692">
        <v>0.999984544473304</v>
      </c>
      <c r="C692">
        <v>1.05521273377571</v>
      </c>
      <c r="D692">
        <v>0.902864387033425</v>
      </c>
      <c r="E692">
        <v>0.994044223358191</v>
      </c>
      <c r="F692">
        <v>1.01621531846287</v>
      </c>
      <c r="G692">
        <v>0.7718021937844201</v>
      </c>
      <c r="H692">
        <v>0.483332009224403</v>
      </c>
      <c r="I692">
        <v>0.258948497759321</v>
      </c>
      <c r="J692">
        <v>0.193389752636673</v>
      </c>
      <c r="K692">
        <v>0.170806024037343</v>
      </c>
      <c r="L692">
        <v>1438.9544588107</v>
      </c>
      <c r="M692">
        <v>25.5944357738229</v>
      </c>
      <c r="N692">
        <v>57.0783927089302</v>
      </c>
      <c r="O692">
        <v>55.8815491859488</v>
      </c>
      <c r="P692">
        <v>-0.09623716550070339</v>
      </c>
      <c r="Q692">
        <v>0.159533790846164</v>
      </c>
      <c r="R692">
        <v>0.986835665541586</v>
      </c>
      <c r="S692" t="s">
        <v>2360</v>
      </c>
      <c r="T692" t="s">
        <v>3312</v>
      </c>
      <c r="U692" t="s">
        <v>3312</v>
      </c>
      <c r="V692" t="s">
        <v>3312</v>
      </c>
      <c r="W692" t="s">
        <v>4003</v>
      </c>
      <c r="X692">
        <v>2</v>
      </c>
      <c r="Y692" t="s">
        <v>5643</v>
      </c>
      <c r="Z692" t="s">
        <v>7285</v>
      </c>
      <c r="AA692">
        <v>0.7045500543499764</v>
      </c>
      <c r="AB692">
        <f>HYPERLINK("Melting_Curves/meltCurve_P0AE70_mazF.pdf", "Melting_Curves/meltCurve_P0AE70_mazF.pdf")</f>
        <v>0</v>
      </c>
    </row>
    <row r="693" spans="1:28">
      <c r="A693" t="s">
        <v>719</v>
      </c>
      <c r="B693">
        <v>0.999984544473304</v>
      </c>
      <c r="C693">
        <v>0.7716138588810399</v>
      </c>
      <c r="D693">
        <v>0.7729394146106821</v>
      </c>
      <c r="E693">
        <v>0.434564664006505</v>
      </c>
      <c r="F693">
        <v>0.155701065528651</v>
      </c>
      <c r="G693">
        <v>0.0579438174947802</v>
      </c>
      <c r="H693">
        <v>0.0386242712107703</v>
      </c>
      <c r="I693">
        <v>0.0337702875064738</v>
      </c>
      <c r="J693">
        <v>0.0262204359324252</v>
      </c>
      <c r="K693">
        <v>0.0232382539987205</v>
      </c>
      <c r="L693">
        <v>694.365657903246</v>
      </c>
      <c r="M693">
        <v>15.2589780011113</v>
      </c>
      <c r="N693">
        <v>45.5100716587416</v>
      </c>
      <c r="O693">
        <v>44.7452975159355</v>
      </c>
      <c r="P693">
        <v>-0.08519575209052251</v>
      </c>
      <c r="Q693">
        <v>0.000785199624038266</v>
      </c>
      <c r="R693">
        <v>0.981996720588179</v>
      </c>
      <c r="S693" t="s">
        <v>2361</v>
      </c>
      <c r="T693" t="s">
        <v>3312</v>
      </c>
      <c r="U693" t="s">
        <v>3312</v>
      </c>
      <c r="V693" t="s">
        <v>3312</v>
      </c>
      <c r="W693" t="s">
        <v>4004</v>
      </c>
      <c r="X693">
        <v>5</v>
      </c>
      <c r="Y693" t="s">
        <v>5644</v>
      </c>
      <c r="Z693" t="s">
        <v>7286</v>
      </c>
      <c r="AA693">
        <v>0.3066798901397161</v>
      </c>
      <c r="AB693">
        <f>HYPERLINK("Melting_Curves/meltCurve_P0AE78_corC.pdf", "Melting_Curves/meltCurve_P0AE78_corC.pdf")</f>
        <v>0</v>
      </c>
    </row>
    <row r="694" spans="1:28">
      <c r="A694" t="s">
        <v>720</v>
      </c>
      <c r="B694">
        <v>0.999984544473304</v>
      </c>
      <c r="C694">
        <v>0.870892899746553</v>
      </c>
      <c r="D694">
        <v>0.632474053872036</v>
      </c>
      <c r="E694">
        <v>0.403949741860766</v>
      </c>
      <c r="F694">
        <v>0.410770844458884</v>
      </c>
      <c r="G694">
        <v>0.276696013960773</v>
      </c>
      <c r="H694">
        <v>0.199009677841696</v>
      </c>
      <c r="I694">
        <v>0.181727202881396</v>
      </c>
      <c r="J694">
        <v>0.132652301500476</v>
      </c>
      <c r="K694">
        <v>0.179144902880758</v>
      </c>
      <c r="L694">
        <v>563.2861001662779</v>
      </c>
      <c r="M694">
        <v>12.6584239541559</v>
      </c>
      <c r="N694">
        <v>45.9165644466651</v>
      </c>
      <c r="O694">
        <v>43.4321885570277</v>
      </c>
      <c r="P694">
        <v>-0.0610894965149759</v>
      </c>
      <c r="Q694">
        <v>0.161750128085894</v>
      </c>
      <c r="R694">
        <v>0.975783426590379</v>
      </c>
      <c r="S694" t="s">
        <v>2362</v>
      </c>
      <c r="T694" t="s">
        <v>3312</v>
      </c>
      <c r="U694" t="s">
        <v>3312</v>
      </c>
      <c r="V694" t="s">
        <v>3312</v>
      </c>
      <c r="W694" t="s">
        <v>4005</v>
      </c>
      <c r="X694">
        <v>4</v>
      </c>
      <c r="Y694" t="s">
        <v>5645</v>
      </c>
      <c r="Z694" t="s">
        <v>7287</v>
      </c>
      <c r="AA694">
        <v>0.3996923619036124</v>
      </c>
      <c r="AB694">
        <f>HYPERLINK("Melting_Curves/meltCurve_P0AE82_cpxA.pdf", "Melting_Curves/meltCurve_P0AE82_cpxA.pdf")</f>
        <v>0</v>
      </c>
    </row>
    <row r="695" spans="1:28">
      <c r="A695" t="s">
        <v>721</v>
      </c>
      <c r="B695">
        <v>0.999984544473304</v>
      </c>
      <c r="C695">
        <v>0.780917152101493</v>
      </c>
      <c r="D695">
        <v>0.740103138596927</v>
      </c>
      <c r="E695">
        <v>0.820250909234974</v>
      </c>
      <c r="F695">
        <v>1.12930564704646</v>
      </c>
      <c r="G695">
        <v>0.870042039549206</v>
      </c>
      <c r="H695">
        <v>0.920059796443857</v>
      </c>
      <c r="I695">
        <v>0.840016458970324</v>
      </c>
      <c r="J695">
        <v>0.6051572827121739</v>
      </c>
      <c r="K695">
        <v>0.690501145315413</v>
      </c>
      <c r="L695">
        <v>146.892434532932</v>
      </c>
      <c r="M695">
        <v>1.12980171031653</v>
      </c>
      <c r="O695">
        <v>51.3457378951341</v>
      </c>
      <c r="P695">
        <v>-0.0071216445567402</v>
      </c>
      <c r="Q695">
        <v>0</v>
      </c>
      <c r="R695">
        <v>0.15709034605367</v>
      </c>
      <c r="S695" t="s">
        <v>2363</v>
      </c>
      <c r="T695" t="s">
        <v>3312</v>
      </c>
      <c r="U695" t="s">
        <v>3312</v>
      </c>
      <c r="V695" t="s">
        <v>3312</v>
      </c>
      <c r="W695" t="s">
        <v>4006</v>
      </c>
      <c r="X695">
        <v>1</v>
      </c>
      <c r="Y695" t="s">
        <v>5646</v>
      </c>
      <c r="Z695" t="s">
        <v>7288</v>
      </c>
      <c r="AA695">
        <v>0.8448093783183753</v>
      </c>
      <c r="AB695">
        <f>HYPERLINK("Melting_Curves/meltCurve_P0AE85_cpxP.pdf", "Melting_Curves/meltCurve_P0AE85_cpxP.pdf")</f>
        <v>0</v>
      </c>
    </row>
    <row r="696" spans="1:28">
      <c r="A696" t="s">
        <v>722</v>
      </c>
      <c r="B696">
        <v>0.999984544473304</v>
      </c>
      <c r="C696">
        <v>0.925140063036848</v>
      </c>
      <c r="D696">
        <v>0.751892215730576</v>
      </c>
      <c r="E696">
        <v>1.07122459652242</v>
      </c>
      <c r="F696">
        <v>1.07757395495756</v>
      </c>
      <c r="G696">
        <v>0.812781499532272</v>
      </c>
      <c r="H696">
        <v>0.5636578400735039</v>
      </c>
      <c r="I696">
        <v>0.319097071134731</v>
      </c>
      <c r="J696">
        <v>0.195381201254922</v>
      </c>
      <c r="K696">
        <v>0.129865874937081</v>
      </c>
      <c r="L696">
        <v>1336.52946539545</v>
      </c>
      <c r="M696">
        <v>23.2339391530471</v>
      </c>
      <c r="N696">
        <v>58.1734677777299</v>
      </c>
      <c r="O696">
        <v>57.1038189485749</v>
      </c>
      <c r="P696">
        <v>-0.0901131278571783</v>
      </c>
      <c r="Q696">
        <v>0.114104510930836</v>
      </c>
      <c r="R696">
        <v>0.926807812982303</v>
      </c>
      <c r="S696" t="s">
        <v>2364</v>
      </c>
      <c r="T696" t="s">
        <v>3312</v>
      </c>
      <c r="U696" t="s">
        <v>3312</v>
      </c>
      <c r="V696" t="s">
        <v>3312</v>
      </c>
      <c r="W696" t="s">
        <v>4007</v>
      </c>
      <c r="X696">
        <v>5</v>
      </c>
      <c r="Y696" t="s">
        <v>5647</v>
      </c>
      <c r="Z696" t="s">
        <v>7289</v>
      </c>
      <c r="AA696">
        <v>0.7267533454001648</v>
      </c>
      <c r="AB696">
        <f>HYPERLINK("Melting_Curves/meltCurve_P0AE88_cpxR.pdf", "Melting_Curves/meltCurve_P0AE88_cpxR.pdf")</f>
        <v>0</v>
      </c>
    </row>
    <row r="697" spans="1:28">
      <c r="A697" t="s">
        <v>723</v>
      </c>
      <c r="B697">
        <v>0.999984544473304</v>
      </c>
      <c r="C697">
        <v>0.984535767100144</v>
      </c>
      <c r="D697">
        <v>1.09280032433307</v>
      </c>
      <c r="E697">
        <v>1.08649593582781</v>
      </c>
      <c r="F697">
        <v>1.21505854416785</v>
      </c>
      <c r="G697">
        <v>1.08199989091686</v>
      </c>
      <c r="H697">
        <v>1.07817452890611</v>
      </c>
      <c r="I697">
        <v>1.00143696290172</v>
      </c>
      <c r="J697">
        <v>0.921237240566651</v>
      </c>
      <c r="K697">
        <v>0.75020352397598</v>
      </c>
      <c r="L697">
        <v>15000</v>
      </c>
      <c r="M697">
        <v>233.233812954436</v>
      </c>
      <c r="O697">
        <v>64.3084163761422</v>
      </c>
      <c r="P697">
        <v>-0.226510147798128</v>
      </c>
      <c r="Q697">
        <v>0.750181867979953</v>
      </c>
      <c r="R697">
        <v>0.459472904167836</v>
      </c>
      <c r="S697" t="s">
        <v>2365</v>
      </c>
      <c r="T697" t="s">
        <v>3312</v>
      </c>
      <c r="U697" t="s">
        <v>3312</v>
      </c>
      <c r="V697" t="s">
        <v>3312</v>
      </c>
      <c r="W697" t="s">
        <v>4008</v>
      </c>
      <c r="X697">
        <v>7</v>
      </c>
      <c r="Y697" t="s">
        <v>5648</v>
      </c>
      <c r="Z697" t="s">
        <v>7290</v>
      </c>
      <c r="AA697">
        <v>0.9776580082582965</v>
      </c>
      <c r="AB697">
        <f>HYPERLINK("Melting_Curves/meltCurve_P0AE91_creA.pdf", "Melting_Curves/meltCurve_P0AE91_creA.pdf")</f>
        <v>0</v>
      </c>
    </row>
    <row r="698" spans="1:28">
      <c r="A698" t="s">
        <v>724</v>
      </c>
      <c r="B698">
        <v>0.999984544473304</v>
      </c>
      <c r="C698">
        <v>0.959395176893006</v>
      </c>
      <c r="D698">
        <v>1.03938227625612</v>
      </c>
      <c r="E698">
        <v>0.975185049788672</v>
      </c>
      <c r="F698">
        <v>0.81475745221644</v>
      </c>
      <c r="G698">
        <v>0.590635518778449</v>
      </c>
      <c r="H698">
        <v>0.387361233749627</v>
      </c>
      <c r="I698">
        <v>0.206358101322143</v>
      </c>
      <c r="J698">
        <v>0.0689100257031962</v>
      </c>
      <c r="K698">
        <v>0.0383333141378011</v>
      </c>
      <c r="L698">
        <v>878.364332843292</v>
      </c>
      <c r="M698">
        <v>15.8818114790819</v>
      </c>
      <c r="N698">
        <v>55.3063073516279</v>
      </c>
      <c r="O698">
        <v>54.4517338052922</v>
      </c>
      <c r="P698">
        <v>-0.0729228108226367</v>
      </c>
      <c r="Q698">
        <v>0</v>
      </c>
      <c r="R698">
        <v>0.994528154117582</v>
      </c>
      <c r="S698" t="s">
        <v>2366</v>
      </c>
      <c r="T698" t="s">
        <v>3312</v>
      </c>
      <c r="U698" t="s">
        <v>3312</v>
      </c>
      <c r="V698" t="s">
        <v>3312</v>
      </c>
      <c r="W698" t="s">
        <v>4009</v>
      </c>
      <c r="X698">
        <v>6</v>
      </c>
      <c r="Y698" t="s">
        <v>5649</v>
      </c>
      <c r="Z698" t="s">
        <v>7291</v>
      </c>
      <c r="AA698">
        <v>0.6233059090223707</v>
      </c>
      <c r="AB698">
        <f>HYPERLINK("Melting_Curves/meltCurve_P0AEA8_cysG.pdf", "Melting_Curves/meltCurve_P0AEA8_cysG.pdf")</f>
        <v>0</v>
      </c>
    </row>
    <row r="699" spans="1:28">
      <c r="A699" t="s">
        <v>725</v>
      </c>
      <c r="B699">
        <v>0.999984544473304</v>
      </c>
      <c r="C699">
        <v>0.881166484454891</v>
      </c>
      <c r="D699">
        <v>0.976838862155732</v>
      </c>
      <c r="E699">
        <v>0.364111040741208</v>
      </c>
      <c r="F699">
        <v>0.0809852390547957</v>
      </c>
      <c r="G699">
        <v>0.0493613404535364</v>
      </c>
      <c r="H699">
        <v>0.0367908763948987</v>
      </c>
      <c r="I699">
        <v>0.0312895944418568</v>
      </c>
      <c r="J699">
        <v>0.0256491080983448</v>
      </c>
      <c r="K699">
        <v>0.0270782592392621</v>
      </c>
      <c r="L699">
        <v>2115.62481302361</v>
      </c>
      <c r="M699">
        <v>46.0468811192367</v>
      </c>
      <c r="N699">
        <v>46.0240236197673</v>
      </c>
      <c r="O699">
        <v>45.858614724011</v>
      </c>
      <c r="P699">
        <v>-0.241487516570421</v>
      </c>
      <c r="Q699">
        <v>0.0380004416616152</v>
      </c>
      <c r="R699">
        <v>0.990902616881796</v>
      </c>
      <c r="S699" t="s">
        <v>2367</v>
      </c>
      <c r="T699" t="s">
        <v>3312</v>
      </c>
      <c r="U699" t="s">
        <v>3312</v>
      </c>
      <c r="V699" t="s">
        <v>3312</v>
      </c>
      <c r="W699" t="s">
        <v>4010</v>
      </c>
      <c r="X699">
        <v>12</v>
      </c>
      <c r="Y699" t="s">
        <v>5650</v>
      </c>
      <c r="Z699" t="s">
        <v>7292</v>
      </c>
      <c r="AA699">
        <v>0.3271385881110026</v>
      </c>
      <c r="AB699">
        <f>HYPERLINK("Melting_Curves/meltCurve_P0AEB2_dacA.pdf", "Melting_Curves/meltCurve_P0AEB2_dacA.pdf")</f>
        <v>0</v>
      </c>
    </row>
    <row r="700" spans="1:28">
      <c r="A700" t="s">
        <v>726</v>
      </c>
      <c r="B700">
        <v>0.999984544473304</v>
      </c>
      <c r="C700">
        <v>0.750366039900897</v>
      </c>
      <c r="D700">
        <v>1.57283689495657</v>
      </c>
      <c r="E700">
        <v>1.15257322280115</v>
      </c>
      <c r="F700">
        <v>1.15758838262108</v>
      </c>
      <c r="G700">
        <v>1.30305285048905</v>
      </c>
      <c r="H700">
        <v>1.09271725175628</v>
      </c>
      <c r="I700">
        <v>0.9948047455446301</v>
      </c>
      <c r="J700">
        <v>0.6415027993281019</v>
      </c>
      <c r="K700">
        <v>0.556969424449538</v>
      </c>
      <c r="L700">
        <v>7432.94916963606</v>
      </c>
      <c r="M700">
        <v>117.395314681247</v>
      </c>
      <c r="O700">
        <v>63.29718028594</v>
      </c>
      <c r="P700">
        <v>-0.205740234394079</v>
      </c>
      <c r="Q700">
        <v>0.556276084737954</v>
      </c>
      <c r="R700">
        <v>0.372431931145412</v>
      </c>
      <c r="S700" t="s">
        <v>2368</v>
      </c>
      <c r="T700" t="s">
        <v>3312</v>
      </c>
      <c r="U700" t="s">
        <v>3312</v>
      </c>
      <c r="V700" t="s">
        <v>3312</v>
      </c>
      <c r="W700" t="s">
        <v>4011</v>
      </c>
      <c r="X700">
        <v>2</v>
      </c>
      <c r="Y700" t="s">
        <v>5651</v>
      </c>
      <c r="Z700" t="s">
        <v>7293</v>
      </c>
      <c r="AA700">
        <v>0.9457135700983855</v>
      </c>
      <c r="AB700">
        <f>HYPERLINK("Melting_Curves/meltCurve_P0AEB7_yoaB.pdf", "Melting_Curves/meltCurve_P0AEB7_yoaB.pdf")</f>
        <v>0</v>
      </c>
    </row>
    <row r="701" spans="1:28">
      <c r="A701" t="s">
        <v>727</v>
      </c>
      <c r="B701">
        <v>0.999984544473304</v>
      </c>
      <c r="C701">
        <v>1.10317539938358</v>
      </c>
      <c r="D701">
        <v>0.80100927175545</v>
      </c>
      <c r="E701">
        <v>0.760402002537274</v>
      </c>
      <c r="F701">
        <v>0.359236497001663</v>
      </c>
      <c r="G701">
        <v>0.271227434699789</v>
      </c>
      <c r="H701">
        <v>0.221526510560097</v>
      </c>
      <c r="I701">
        <v>0</v>
      </c>
      <c r="J701">
        <v>0</v>
      </c>
      <c r="K701">
        <v>0</v>
      </c>
      <c r="L701">
        <v>700.939540945846</v>
      </c>
      <c r="M701">
        <v>14.1999144240569</v>
      </c>
      <c r="N701">
        <v>49.3622603635728</v>
      </c>
      <c r="O701">
        <v>48.4142178171345</v>
      </c>
      <c r="P701">
        <v>-0.0733343316234619</v>
      </c>
      <c r="Q701">
        <v>0</v>
      </c>
      <c r="R701">
        <v>0.966940490074864</v>
      </c>
      <c r="S701" t="s">
        <v>2369</v>
      </c>
      <c r="T701" t="s">
        <v>3312</v>
      </c>
      <c r="U701" t="s">
        <v>3312</v>
      </c>
      <c r="V701" t="s">
        <v>3312</v>
      </c>
      <c r="W701" t="s">
        <v>4012</v>
      </c>
      <c r="X701">
        <v>1</v>
      </c>
      <c r="Y701" t="s">
        <v>5652</v>
      </c>
      <c r="Z701" t="s">
        <v>7294</v>
      </c>
      <c r="AA701">
        <v>0.4352009895409925</v>
      </c>
      <c r="AB701">
        <f>HYPERLINK("Melting_Curves/meltCurve_P0AEC5_barA.pdf", "Melting_Curves/meltCurve_P0AEC5_barA.pdf")</f>
        <v>0</v>
      </c>
    </row>
    <row r="702" spans="1:28">
      <c r="A702" t="s">
        <v>728</v>
      </c>
      <c r="B702">
        <v>0.999984544473304</v>
      </c>
      <c r="C702">
        <v>1.16572628585677</v>
      </c>
      <c r="D702">
        <v>0.47238738349045</v>
      </c>
      <c r="E702">
        <v>0.978231789248093</v>
      </c>
      <c r="F702">
        <v>0.848586897410797</v>
      </c>
      <c r="G702">
        <v>0.616212220616004</v>
      </c>
      <c r="H702">
        <v>0.705074418866744</v>
      </c>
      <c r="I702">
        <v>0.389511424639808</v>
      </c>
      <c r="J702">
        <v>0.367273422122989</v>
      </c>
      <c r="K702">
        <v>0.311913776874361</v>
      </c>
      <c r="L702">
        <v>380.828932454875</v>
      </c>
      <c r="M702">
        <v>6.38321021901356</v>
      </c>
      <c r="N702">
        <v>59.6610356329168</v>
      </c>
      <c r="O702">
        <v>54.6118648814925</v>
      </c>
      <c r="P702">
        <v>-0.0292965781592276</v>
      </c>
      <c r="Q702">
        <v>0</v>
      </c>
      <c r="R702">
        <v>0.639385692074129</v>
      </c>
      <c r="S702" t="s">
        <v>2370</v>
      </c>
      <c r="T702" t="s">
        <v>3312</v>
      </c>
      <c r="U702" t="s">
        <v>3312</v>
      </c>
      <c r="V702" t="s">
        <v>3312</v>
      </c>
      <c r="W702" t="s">
        <v>4013</v>
      </c>
      <c r="X702">
        <v>2</v>
      </c>
      <c r="Y702" t="s">
        <v>5653</v>
      </c>
      <c r="Z702" t="s">
        <v>7295</v>
      </c>
      <c r="AA702">
        <v>0.6965290121961427</v>
      </c>
      <c r="AB702">
        <f>HYPERLINK("Melting_Curves/meltCurve_P0AED0_uspA.pdf", "Melting_Curves/meltCurve_P0AED0_uspA.pdf")</f>
        <v>0</v>
      </c>
    </row>
    <row r="703" spans="1:28">
      <c r="A703" t="s">
        <v>729</v>
      </c>
      <c r="B703">
        <v>0.999984544473304</v>
      </c>
      <c r="C703">
        <v>0.8981926114623759</v>
      </c>
      <c r="D703">
        <v>1.2109896394002</v>
      </c>
      <c r="E703">
        <v>0.827142182910945</v>
      </c>
      <c r="F703">
        <v>1.01365359297807</v>
      </c>
      <c r="G703">
        <v>0.6273650477594001</v>
      </c>
      <c r="H703">
        <v>0.263124797782095</v>
      </c>
      <c r="I703">
        <v>0.0980703652989848</v>
      </c>
      <c r="J703">
        <v>0.0581121977656093</v>
      </c>
      <c r="K703">
        <v>0.0482000643935861</v>
      </c>
      <c r="L703">
        <v>1629.90012858639</v>
      </c>
      <c r="M703">
        <v>29.7398399726006</v>
      </c>
      <c r="N703">
        <v>55.0007177088614</v>
      </c>
      <c r="O703">
        <v>54.5592718249282</v>
      </c>
      <c r="P703">
        <v>-0.129440786856456</v>
      </c>
      <c r="Q703">
        <v>0.0501432370692401</v>
      </c>
      <c r="R703">
        <v>0.950595588613241</v>
      </c>
      <c r="S703" t="s">
        <v>2371</v>
      </c>
      <c r="T703" t="s">
        <v>3312</v>
      </c>
      <c r="U703" t="s">
        <v>3312</v>
      </c>
      <c r="V703" t="s">
        <v>3312</v>
      </c>
      <c r="W703" t="s">
        <v>4014</v>
      </c>
      <c r="X703">
        <v>6</v>
      </c>
      <c r="Y703" t="s">
        <v>5654</v>
      </c>
      <c r="Z703" t="s">
        <v>7296</v>
      </c>
      <c r="AA703">
        <v>0.6200264791111173</v>
      </c>
      <c r="AB703">
        <f>HYPERLINK("Melting_Curves/meltCurve_P0AED7_dapE.pdf", "Melting_Curves/meltCurve_P0AED7_dapE.pdf")</f>
        <v>0</v>
      </c>
    </row>
    <row r="704" spans="1:28">
      <c r="A704" t="s">
        <v>730</v>
      </c>
      <c r="B704">
        <v>0.999984544473304</v>
      </c>
      <c r="C704">
        <v>0.748391860647506</v>
      </c>
      <c r="D704">
        <v>1.03136884606885</v>
      </c>
      <c r="E704">
        <v>0.970331841305928</v>
      </c>
      <c r="F704">
        <v>1.14465977759751</v>
      </c>
      <c r="G704">
        <v>1.00334856931209</v>
      </c>
      <c r="H704">
        <v>0.857720130048551</v>
      </c>
      <c r="I704">
        <v>0.882082776003746</v>
      </c>
      <c r="J704">
        <v>0.626631810505459</v>
      </c>
      <c r="K704">
        <v>0.638474401043848</v>
      </c>
      <c r="L704">
        <v>1401.1087496472</v>
      </c>
      <c r="M704">
        <v>22.6664230027307</v>
      </c>
      <c r="O704">
        <v>61.3391754567895</v>
      </c>
      <c r="P704">
        <v>-0.0417568680814425</v>
      </c>
      <c r="Q704">
        <v>0.548004366968334</v>
      </c>
      <c r="R704">
        <v>0.6204770370663421</v>
      </c>
      <c r="S704" t="s">
        <v>2372</v>
      </c>
      <c r="T704" t="s">
        <v>3312</v>
      </c>
      <c r="U704" t="s">
        <v>3312</v>
      </c>
      <c r="V704" t="s">
        <v>3312</v>
      </c>
      <c r="W704" t="s">
        <v>4015</v>
      </c>
      <c r="X704">
        <v>7</v>
      </c>
      <c r="Y704" t="s">
        <v>5655</v>
      </c>
      <c r="Z704" t="s">
        <v>7297</v>
      </c>
      <c r="AA704">
        <v>0.9193931353267063</v>
      </c>
      <c r="AB704">
        <f>HYPERLINK("Melting_Curves/meltCurve_P0AEE1_dcrB.pdf", "Melting_Curves/meltCurve_P0AEE1_dcrB.pdf")</f>
        <v>0</v>
      </c>
    </row>
    <row r="705" spans="1:28">
      <c r="A705" t="s">
        <v>731</v>
      </c>
      <c r="B705">
        <v>0.999984544473304</v>
      </c>
      <c r="C705">
        <v>0.918323946071159</v>
      </c>
      <c r="D705">
        <v>1.02145034162746</v>
      </c>
      <c r="E705">
        <v>0.895482581097822</v>
      </c>
      <c r="F705">
        <v>0.994278614862491</v>
      </c>
      <c r="G705">
        <v>0.942663799248968</v>
      </c>
      <c r="H705">
        <v>0.8237204488768231</v>
      </c>
      <c r="I705">
        <v>0.740620141673703</v>
      </c>
      <c r="J705">
        <v>0.510275500501675</v>
      </c>
      <c r="K705">
        <v>0.225921203813252</v>
      </c>
      <c r="L705">
        <v>1208.94474290044</v>
      </c>
      <c r="M705">
        <v>18.9780110058378</v>
      </c>
      <c r="N705">
        <v>63.7024052735112</v>
      </c>
      <c r="O705">
        <v>63.0077291980946</v>
      </c>
      <c r="P705">
        <v>-0.0753033358120432</v>
      </c>
      <c r="Q705">
        <v>0</v>
      </c>
      <c r="R705">
        <v>0.94988749370738</v>
      </c>
      <c r="S705" t="s">
        <v>2373</v>
      </c>
      <c r="T705" t="s">
        <v>3312</v>
      </c>
      <c r="U705" t="s">
        <v>3312</v>
      </c>
      <c r="V705" t="s">
        <v>3312</v>
      </c>
      <c r="W705" t="s">
        <v>4016</v>
      </c>
      <c r="X705">
        <v>5</v>
      </c>
      <c r="Y705" t="s">
        <v>5656</v>
      </c>
      <c r="Z705" t="s">
        <v>7298</v>
      </c>
      <c r="AA705">
        <v>0.8632023031658884</v>
      </c>
      <c r="AB705">
        <f>HYPERLINK("Melting_Curves/meltCurve_P0AEE3_degS.pdf", "Melting_Curves/meltCurve_P0AEE3_degS.pdf")</f>
        <v>0</v>
      </c>
    </row>
    <row r="706" spans="1:28">
      <c r="A706" t="s">
        <v>732</v>
      </c>
      <c r="B706">
        <v>0.999984544473304</v>
      </c>
      <c r="C706">
        <v>0.9737456178003</v>
      </c>
      <c r="D706">
        <v>1.00693363813543</v>
      </c>
      <c r="E706">
        <v>1.03398329229314</v>
      </c>
      <c r="F706">
        <v>1.16191507752117</v>
      </c>
      <c r="G706">
        <v>0.986951523627276</v>
      </c>
      <c r="H706">
        <v>1.07796820678383</v>
      </c>
      <c r="I706">
        <v>1.00397612968919</v>
      </c>
      <c r="J706">
        <v>0.864538280584591</v>
      </c>
      <c r="K706">
        <v>0.7946355448335</v>
      </c>
      <c r="L706">
        <v>15000</v>
      </c>
      <c r="M706">
        <v>234.670877602179</v>
      </c>
      <c r="O706">
        <v>63.9146655504608</v>
      </c>
      <c r="P706">
        <v>-0.188509450132853</v>
      </c>
      <c r="Q706">
        <v>0.794631212372673</v>
      </c>
      <c r="R706">
        <v>0.634276934605942</v>
      </c>
      <c r="S706" t="s">
        <v>2374</v>
      </c>
      <c r="T706" t="s">
        <v>3312</v>
      </c>
      <c r="U706" t="s">
        <v>3312</v>
      </c>
      <c r="V706" t="s">
        <v>3312</v>
      </c>
      <c r="W706" t="s">
        <v>4017</v>
      </c>
      <c r="X706">
        <v>31</v>
      </c>
      <c r="Y706" t="s">
        <v>5657</v>
      </c>
      <c r="Z706" t="s">
        <v>7299</v>
      </c>
      <c r="AA706">
        <v>0.9789368348934852</v>
      </c>
      <c r="AB706">
        <f>HYPERLINK("Melting_Curves/meltCurve_P0AEE5_mglB.pdf", "Melting_Curves/meltCurve_P0AEE5_mglB.pdf")</f>
        <v>0</v>
      </c>
    </row>
    <row r="707" spans="1:28">
      <c r="A707" t="s">
        <v>733</v>
      </c>
      <c r="B707">
        <v>0.999984544473304</v>
      </c>
      <c r="C707">
        <v>1.27463632048199</v>
      </c>
      <c r="D707">
        <v>1.07032284725558</v>
      </c>
      <c r="E707">
        <v>0.855152158086799</v>
      </c>
      <c r="F707">
        <v>0.603049102918025</v>
      </c>
      <c r="G707">
        <v>0.427900664132679</v>
      </c>
      <c r="H707">
        <v>0.415286473449565</v>
      </c>
      <c r="I707">
        <v>0.328043767054861</v>
      </c>
      <c r="J707">
        <v>0.311824386842219</v>
      </c>
      <c r="K707">
        <v>0.149283106325371</v>
      </c>
      <c r="L707">
        <v>977.289174160727</v>
      </c>
      <c r="M707">
        <v>19.4343765233019</v>
      </c>
      <c r="N707">
        <v>52.3760068252457</v>
      </c>
      <c r="O707">
        <v>49.7632782488048</v>
      </c>
      <c r="P707">
        <v>-0.0713036691709471</v>
      </c>
      <c r="Q707">
        <v>0.269711665775054</v>
      </c>
      <c r="R707">
        <v>0.912462877089759</v>
      </c>
      <c r="S707" t="s">
        <v>2375</v>
      </c>
      <c r="T707" t="s">
        <v>3312</v>
      </c>
      <c r="U707" t="s">
        <v>3312</v>
      </c>
      <c r="V707" t="s">
        <v>3312</v>
      </c>
      <c r="W707" t="s">
        <v>4018</v>
      </c>
      <c r="X707">
        <v>1</v>
      </c>
      <c r="Y707" t="s">
        <v>5658</v>
      </c>
      <c r="Z707" t="s">
        <v>7300</v>
      </c>
      <c r="AA707">
        <v>0.6032388085888416</v>
      </c>
      <c r="AB707">
        <f>HYPERLINK("Melting_Curves/meltCurve_P0AEG1_dppC.pdf", "Melting_Curves/meltCurve_P0AEG1_dppC.pdf")</f>
        <v>0</v>
      </c>
    </row>
    <row r="708" spans="1:28">
      <c r="A708" t="s">
        <v>734</v>
      </c>
      <c r="B708">
        <v>0.999984544473304</v>
      </c>
      <c r="C708">
        <v>0.854725334890243</v>
      </c>
      <c r="D708">
        <v>0.988972092018622</v>
      </c>
      <c r="E708">
        <v>1.00891460039751</v>
      </c>
      <c r="F708">
        <v>1.1879442362242</v>
      </c>
      <c r="G708">
        <v>0.960408782133245</v>
      </c>
      <c r="H708">
        <v>1.09526672545564</v>
      </c>
      <c r="I708">
        <v>0.942391215795771</v>
      </c>
      <c r="J708">
        <v>0.786672107774363</v>
      </c>
      <c r="K708">
        <v>0.792135802359991</v>
      </c>
      <c r="L708">
        <v>15000</v>
      </c>
      <c r="M708">
        <v>244.924952725957</v>
      </c>
      <c r="O708">
        <v>61.2391415612779</v>
      </c>
      <c r="P708">
        <v>-0.210570636259641</v>
      </c>
      <c r="Q708">
        <v>0.789402099146007</v>
      </c>
      <c r="R708">
        <v>0.534893292720295</v>
      </c>
      <c r="S708" t="s">
        <v>2376</v>
      </c>
      <c r="T708" t="s">
        <v>3312</v>
      </c>
      <c r="U708" t="s">
        <v>3312</v>
      </c>
      <c r="V708" t="s">
        <v>3312</v>
      </c>
      <c r="W708" t="s">
        <v>4019</v>
      </c>
      <c r="X708">
        <v>7</v>
      </c>
      <c r="Y708" t="s">
        <v>5659</v>
      </c>
      <c r="Z708" t="s">
        <v>7301</v>
      </c>
      <c r="AA708">
        <v>0.9596115978667366</v>
      </c>
      <c r="AB708">
        <f>HYPERLINK("Melting_Curves/meltCurve_P0AEG4_dsbA.pdf", "Melting_Curves/meltCurve_P0AEG4_dsbA.pdf")</f>
        <v>0</v>
      </c>
    </row>
    <row r="709" spans="1:28">
      <c r="A709" t="s">
        <v>735</v>
      </c>
      <c r="B709">
        <v>0.999984544473304</v>
      </c>
      <c r="C709">
        <v>0.960677111269441</v>
      </c>
      <c r="D709">
        <v>0.922341098239664</v>
      </c>
      <c r="E709">
        <v>1.02345082114515</v>
      </c>
      <c r="F709">
        <v>1.02381174665998</v>
      </c>
      <c r="G709">
        <v>0.86360181314552</v>
      </c>
      <c r="H709">
        <v>0.875989608929295</v>
      </c>
      <c r="I709">
        <v>0.796818967126386</v>
      </c>
      <c r="J709">
        <v>0.629323021427713</v>
      </c>
      <c r="K709">
        <v>0.739448919847984</v>
      </c>
      <c r="L709">
        <v>973.490021785914</v>
      </c>
      <c r="M709">
        <v>16.7988623944102</v>
      </c>
      <c r="O709">
        <v>57.1472479035661</v>
      </c>
      <c r="P709">
        <v>-0.0250151397631617</v>
      </c>
      <c r="Q709">
        <v>0.659630760891101</v>
      </c>
      <c r="R709">
        <v>0.826754050241494</v>
      </c>
      <c r="S709" t="s">
        <v>2377</v>
      </c>
      <c r="T709" t="s">
        <v>3312</v>
      </c>
      <c r="U709" t="s">
        <v>3312</v>
      </c>
      <c r="V709" t="s">
        <v>3312</v>
      </c>
      <c r="W709" t="s">
        <v>4020</v>
      </c>
      <c r="X709">
        <v>5</v>
      </c>
      <c r="Y709" t="s">
        <v>5660</v>
      </c>
      <c r="Z709" t="s">
        <v>7302</v>
      </c>
      <c r="AA709">
        <v>0.8993193060403876</v>
      </c>
      <c r="AB709">
        <f>HYPERLINK("Melting_Curves/meltCurve_P0AEG6_dsbC.pdf", "Melting_Curves/meltCurve_P0AEG6_dsbC.pdf")</f>
        <v>0</v>
      </c>
    </row>
    <row r="710" spans="1:28">
      <c r="A710" t="s">
        <v>736</v>
      </c>
      <c r="B710">
        <v>0.999984544473304</v>
      </c>
      <c r="C710">
        <v>1.06665597080238</v>
      </c>
      <c r="D710">
        <v>0.750778814621668</v>
      </c>
      <c r="E710">
        <v>0.496262155981481</v>
      </c>
      <c r="F710">
        <v>0.258525095257279</v>
      </c>
      <c r="G710">
        <v>0.109609591034128</v>
      </c>
      <c r="H710">
        <v>0.0791318663780949</v>
      </c>
      <c r="I710">
        <v>0.0507902792771977</v>
      </c>
      <c r="J710">
        <v>0.0379767171504407</v>
      </c>
      <c r="K710">
        <v>0.0305047753197592</v>
      </c>
      <c r="L710">
        <v>822.603408940378</v>
      </c>
      <c r="M710">
        <v>17.7378394116194</v>
      </c>
      <c r="N710">
        <v>46.5810615186223</v>
      </c>
      <c r="O710">
        <v>45.7982229692895</v>
      </c>
      <c r="P710">
        <v>-0.0931879334848378</v>
      </c>
      <c r="Q710">
        <v>0.0376235609411253</v>
      </c>
      <c r="R710">
        <v>0.988139865456129</v>
      </c>
      <c r="S710" t="s">
        <v>2378</v>
      </c>
      <c r="T710" t="s">
        <v>3312</v>
      </c>
      <c r="U710" t="s">
        <v>3312</v>
      </c>
      <c r="V710" t="s">
        <v>3312</v>
      </c>
      <c r="W710" t="s">
        <v>4021</v>
      </c>
      <c r="X710">
        <v>3</v>
      </c>
      <c r="Y710" t="s">
        <v>5661</v>
      </c>
      <c r="Z710" t="s">
        <v>7303</v>
      </c>
      <c r="AA710">
        <v>0.3543448964552832</v>
      </c>
      <c r="AB710">
        <f>HYPERLINK("Melting_Curves/meltCurve_P0AEH1_rseP.pdf", "Melting_Curves/meltCurve_P0AEH1_rseP.pdf")</f>
        <v>0</v>
      </c>
    </row>
    <row r="711" spans="1:28">
      <c r="A711" t="s">
        <v>737</v>
      </c>
      <c r="B711">
        <v>0.999984544473304</v>
      </c>
      <c r="C711">
        <v>0.917209492161897</v>
      </c>
      <c r="D711">
        <v>0.425118692695018</v>
      </c>
      <c r="E711">
        <v>0.349092015726152</v>
      </c>
      <c r="F711">
        <v>0.163593464623184</v>
      </c>
      <c r="G711">
        <v>0.09129761690842</v>
      </c>
      <c r="H711">
        <v>0.0677811151574275</v>
      </c>
      <c r="I711">
        <v>0.0418036210835728</v>
      </c>
      <c r="J711">
        <v>0.0260356796960575</v>
      </c>
      <c r="K711">
        <v>0.0271921936832853</v>
      </c>
      <c r="L711">
        <v>741.868298563325</v>
      </c>
      <c r="M711">
        <v>17.1090479245646</v>
      </c>
      <c r="N711">
        <v>43.6189038088173</v>
      </c>
      <c r="O711">
        <v>42.7817897152531</v>
      </c>
      <c r="P711">
        <v>-0.0951777262608591</v>
      </c>
      <c r="Q711">
        <v>0.0480760556310246</v>
      </c>
      <c r="R711">
        <v>0.969396129503181</v>
      </c>
      <c r="S711" t="s">
        <v>2379</v>
      </c>
      <c r="T711" t="s">
        <v>3312</v>
      </c>
      <c r="U711" t="s">
        <v>3312</v>
      </c>
      <c r="V711" t="s">
        <v>3312</v>
      </c>
      <c r="W711" t="s">
        <v>4022</v>
      </c>
      <c r="X711">
        <v>3</v>
      </c>
      <c r="Y711" t="s">
        <v>5662</v>
      </c>
      <c r="Z711" t="s">
        <v>7304</v>
      </c>
      <c r="AA711">
        <v>0.2683815721754058</v>
      </c>
      <c r="AB711">
        <f>HYPERLINK("Melting_Curves/meltCurve_P0AEH3_elaA.pdf", "Melting_Curves/meltCurve_P0AEH3_elaA.pdf")</f>
        <v>0</v>
      </c>
    </row>
    <row r="712" spans="1:28">
      <c r="A712" t="s">
        <v>738</v>
      </c>
      <c r="B712">
        <v>0.999984544473304</v>
      </c>
      <c r="C712">
        <v>1.23450773019584</v>
      </c>
      <c r="D712">
        <v>0.822715788701417</v>
      </c>
      <c r="E712">
        <v>1.08386530586785</v>
      </c>
      <c r="F712">
        <v>0.927036518943659</v>
      </c>
      <c r="G712">
        <v>0.733249278334817</v>
      </c>
      <c r="H712">
        <v>0.5983245601848241</v>
      </c>
      <c r="I712">
        <v>0.464755706765636</v>
      </c>
      <c r="J712">
        <v>0.278587798842849</v>
      </c>
      <c r="K712">
        <v>0.300269237331221</v>
      </c>
      <c r="L712">
        <v>893.874259004814</v>
      </c>
      <c r="M712">
        <v>15.6723109424074</v>
      </c>
      <c r="N712">
        <v>59.1236042567552</v>
      </c>
      <c r="O712">
        <v>56.1308691702726</v>
      </c>
      <c r="P712">
        <v>-0.0549704109332393</v>
      </c>
      <c r="Q712">
        <v>0.212554018087002</v>
      </c>
      <c r="R712">
        <v>0.893287858920577</v>
      </c>
      <c r="S712" t="s">
        <v>2380</v>
      </c>
      <c r="T712" t="s">
        <v>3312</v>
      </c>
      <c r="U712" t="s">
        <v>3312</v>
      </c>
      <c r="V712" t="s">
        <v>3312</v>
      </c>
      <c r="W712" t="s">
        <v>4023</v>
      </c>
      <c r="X712">
        <v>5</v>
      </c>
      <c r="Y712" t="s">
        <v>5663</v>
      </c>
      <c r="Z712" t="s">
        <v>7305</v>
      </c>
      <c r="AA712">
        <v>0.7450682919950158</v>
      </c>
      <c r="AB712">
        <f>HYPERLINK("Melting_Curves/meltCurve_P0AEH5_elaB.pdf", "Melting_Curves/meltCurve_P0AEH5_elaB.pdf")</f>
        <v>0</v>
      </c>
    </row>
    <row r="713" spans="1:28">
      <c r="A713" t="s">
        <v>739</v>
      </c>
      <c r="B713">
        <v>0.999984544473304</v>
      </c>
      <c r="C713">
        <v>1.03331190914416</v>
      </c>
      <c r="D713">
        <v>0.500116645121909</v>
      </c>
      <c r="E713">
        <v>0.201714257979214</v>
      </c>
      <c r="F713">
        <v>0.109310413196883</v>
      </c>
      <c r="G713">
        <v>0.06381827686971719</v>
      </c>
      <c r="H713">
        <v>0.0411550429467672</v>
      </c>
      <c r="I713">
        <v>0.0337603679321174</v>
      </c>
      <c r="J713">
        <v>0.0223378667922907</v>
      </c>
      <c r="K713">
        <v>0.0204827232353452</v>
      </c>
      <c r="L713">
        <v>1417.0565881031</v>
      </c>
      <c r="M713">
        <v>32.8731798973956</v>
      </c>
      <c r="N713">
        <v>43.2604187302219</v>
      </c>
      <c r="O713">
        <v>42.9481874391576</v>
      </c>
      <c r="P713">
        <v>-0.18081185315792</v>
      </c>
      <c r="Q713">
        <v>0.0550952156307088</v>
      </c>
      <c r="R713">
        <v>0.985141602147115</v>
      </c>
      <c r="S713" t="s">
        <v>2381</v>
      </c>
      <c r="T713" t="s">
        <v>3312</v>
      </c>
      <c r="U713" t="s">
        <v>3312</v>
      </c>
      <c r="V713" t="s">
        <v>3312</v>
      </c>
      <c r="W713" t="s">
        <v>4024</v>
      </c>
      <c r="X713">
        <v>3</v>
      </c>
      <c r="Y713" t="s">
        <v>5664</v>
      </c>
      <c r="Z713" t="s">
        <v>7306</v>
      </c>
      <c r="AA713">
        <v>0.2517532071389836</v>
      </c>
      <c r="AB713">
        <f>HYPERLINK("Melting_Curves/meltCurve_P0AEI1_miaB.pdf", "Melting_Curves/meltCurve_P0AEI1_miaB.pdf")</f>
        <v>0</v>
      </c>
    </row>
    <row r="714" spans="1:28">
      <c r="A714" t="s">
        <v>740</v>
      </c>
      <c r="B714">
        <v>0.999984544473304</v>
      </c>
      <c r="C714">
        <v>0.870152474498572</v>
      </c>
      <c r="D714">
        <v>0.698103677611302</v>
      </c>
      <c r="E714">
        <v>0.649146915279559</v>
      </c>
      <c r="F714">
        <v>0.522814564786707</v>
      </c>
      <c r="G714">
        <v>0.361442252007158</v>
      </c>
      <c r="H714">
        <v>0.223669470317492</v>
      </c>
      <c r="I714">
        <v>0.231657461953502</v>
      </c>
      <c r="J714">
        <v>0.135954592683046</v>
      </c>
      <c r="K714">
        <v>0.162570652590151</v>
      </c>
      <c r="L714">
        <v>396.231008526557</v>
      </c>
      <c r="M714">
        <v>8.043774068271921</v>
      </c>
      <c r="N714">
        <v>49.7244281892001</v>
      </c>
      <c r="O714">
        <v>46.4947571814061</v>
      </c>
      <c r="P714">
        <v>-0.0417298265730263</v>
      </c>
      <c r="Q714">
        <v>0.0362382369952422</v>
      </c>
      <c r="R714">
        <v>0.98160711468017</v>
      </c>
      <c r="S714" t="s">
        <v>2382</v>
      </c>
      <c r="T714" t="s">
        <v>3312</v>
      </c>
      <c r="U714" t="s">
        <v>3312</v>
      </c>
      <c r="V714" t="s">
        <v>3312</v>
      </c>
      <c r="W714" t="s">
        <v>4025</v>
      </c>
      <c r="X714">
        <v>3</v>
      </c>
      <c r="Y714" t="s">
        <v>5665</v>
      </c>
      <c r="Z714" t="s">
        <v>7307</v>
      </c>
      <c r="AA714">
        <v>0.4732012641603704</v>
      </c>
      <c r="AB714">
        <f>HYPERLINK("Melting_Curves/meltCurve_P0AEI4_rimO.pdf", "Melting_Curves/meltCurve_P0AEI4_rimO.pdf")</f>
        <v>0</v>
      </c>
    </row>
    <row r="715" spans="1:28">
      <c r="A715" t="s">
        <v>741</v>
      </c>
      <c r="B715">
        <v>0.999984544473304</v>
      </c>
      <c r="C715">
        <v>0.850014676909593</v>
      </c>
      <c r="D715">
        <v>0.522286036829013</v>
      </c>
      <c r="E715">
        <v>0.172259198378278</v>
      </c>
      <c r="F715">
        <v>0.09101458680269039</v>
      </c>
      <c r="G715">
        <v>0.0532863388344351</v>
      </c>
      <c r="H715">
        <v>0.0572110149324411</v>
      </c>
      <c r="I715">
        <v>0.0436925747431743</v>
      </c>
      <c r="J715">
        <v>0.0272487176944535</v>
      </c>
      <c r="K715">
        <v>0.05021618591144</v>
      </c>
      <c r="L715">
        <v>989.068644423864</v>
      </c>
      <c r="M715">
        <v>23.0243958625282</v>
      </c>
      <c r="N715">
        <v>43.1339670620831</v>
      </c>
      <c r="O715">
        <v>42.6373264051281</v>
      </c>
      <c r="P715">
        <v>-0.128933601675933</v>
      </c>
      <c r="Q715">
        <v>0.0449644761588047</v>
      </c>
      <c r="R715">
        <v>0.998906268495217</v>
      </c>
      <c r="S715" t="s">
        <v>2383</v>
      </c>
      <c r="T715" t="s">
        <v>3312</v>
      </c>
      <c r="U715" t="s">
        <v>3312</v>
      </c>
      <c r="V715" t="s">
        <v>3312</v>
      </c>
      <c r="W715" t="s">
        <v>4026</v>
      </c>
      <c r="X715">
        <v>1</v>
      </c>
      <c r="Y715" t="s">
        <v>5666</v>
      </c>
      <c r="Z715" t="s">
        <v>7308</v>
      </c>
      <c r="AA715">
        <v>0.2442909013224011</v>
      </c>
      <c r="AB715">
        <f>HYPERLINK("Melting_Curves/meltCurve_P0AEI6_nudJ.pdf", "Melting_Curves/meltCurve_P0AEI6_nudJ.pdf")</f>
        <v>0</v>
      </c>
    </row>
    <row r="716" spans="1:28">
      <c r="A716" t="s">
        <v>742</v>
      </c>
      <c r="B716">
        <v>0.999984544473304</v>
      </c>
      <c r="C716">
        <v>0.813759337584242</v>
      </c>
      <c r="D716">
        <v>0.542329208043172</v>
      </c>
      <c r="E716">
        <v>0.327146949765368</v>
      </c>
      <c r="F716">
        <v>0.183204500077995</v>
      </c>
      <c r="G716">
        <v>0.146776855015189</v>
      </c>
      <c r="H716">
        <v>0.126689771049212</v>
      </c>
      <c r="I716">
        <v>0.09568799537961099</v>
      </c>
      <c r="J716">
        <v>0.0348373058131295</v>
      </c>
      <c r="K716">
        <v>0.06775714917619249</v>
      </c>
      <c r="L716">
        <v>677.725112014207</v>
      </c>
      <c r="M716">
        <v>15.6104202000152</v>
      </c>
      <c r="N716">
        <v>43.8926848839781</v>
      </c>
      <c r="O716">
        <v>42.7211804064422</v>
      </c>
      <c r="P716">
        <v>-0.08422038328322699</v>
      </c>
      <c r="Q716">
        <v>0.0781328649878827</v>
      </c>
      <c r="R716">
        <v>0.991643256552896</v>
      </c>
      <c r="S716" t="s">
        <v>2384</v>
      </c>
      <c r="T716" t="s">
        <v>3312</v>
      </c>
      <c r="U716" t="s">
        <v>3312</v>
      </c>
      <c r="V716" t="s">
        <v>3312</v>
      </c>
      <c r="W716" t="s">
        <v>4027</v>
      </c>
      <c r="X716">
        <v>1</v>
      </c>
      <c r="Y716" t="s">
        <v>5667</v>
      </c>
      <c r="Z716" t="s">
        <v>7309</v>
      </c>
      <c r="AA716">
        <v>0.2970066609887121</v>
      </c>
      <c r="AB716">
        <f>HYPERLINK("Melting_Curves/meltCurve_P0AEJ2_entC.pdf", "Melting_Curves/meltCurve_P0AEJ2_entC.pdf")</f>
        <v>0</v>
      </c>
    </row>
    <row r="717" spans="1:28">
      <c r="A717" t="s">
        <v>743</v>
      </c>
      <c r="B717">
        <v>0.999984544473304</v>
      </c>
      <c r="C717">
        <v>0.749942817882624</v>
      </c>
      <c r="D717">
        <v>0.723332691702837</v>
      </c>
      <c r="E717">
        <v>0.409340492408912</v>
      </c>
      <c r="F717">
        <v>0.282288743343445</v>
      </c>
      <c r="G717">
        <v>0.251572870516349</v>
      </c>
      <c r="H717">
        <v>0.136327033785636</v>
      </c>
      <c r="I717">
        <v>0.179119282032165</v>
      </c>
      <c r="J717">
        <v>0.187289074731701</v>
      </c>
      <c r="K717">
        <v>0.141191230747239</v>
      </c>
      <c r="L717">
        <v>590.475552222545</v>
      </c>
      <c r="M717">
        <v>13.3358507443376</v>
      </c>
      <c r="N717">
        <v>45.4467785335725</v>
      </c>
      <c r="O717">
        <v>43.3172360087606</v>
      </c>
      <c r="P717">
        <v>-0.0657979131231527</v>
      </c>
      <c r="Q717">
        <v>0.145243076589045</v>
      </c>
      <c r="R717">
        <v>0.975279727901183</v>
      </c>
      <c r="S717" t="s">
        <v>2385</v>
      </c>
      <c r="T717" t="s">
        <v>3312</v>
      </c>
      <c r="U717" t="s">
        <v>3312</v>
      </c>
      <c r="V717" t="s">
        <v>3312</v>
      </c>
      <c r="W717" t="s">
        <v>4028</v>
      </c>
      <c r="X717">
        <v>1</v>
      </c>
      <c r="Y717" t="s">
        <v>5668</v>
      </c>
      <c r="Z717" t="s">
        <v>7310</v>
      </c>
      <c r="AA717">
        <v>0.3791154860612419</v>
      </c>
      <c r="AB717">
        <f>HYPERLINK("Melting_Curves/meltCurve_P0AEJ4_envZ.pdf", "Melting_Curves/meltCurve_P0AEJ4_envZ.pdf")</f>
        <v>0</v>
      </c>
    </row>
    <row r="718" spans="1:28">
      <c r="A718" t="s">
        <v>744</v>
      </c>
      <c r="B718">
        <v>0.999984544473304</v>
      </c>
      <c r="C718">
        <v>1.28010885760852</v>
      </c>
      <c r="D718">
        <v>0.963638543187945</v>
      </c>
      <c r="E718">
        <v>1.3862658077696</v>
      </c>
      <c r="F718">
        <v>0.820566664253693</v>
      </c>
      <c r="G718">
        <v>0.373180283516913</v>
      </c>
      <c r="H718">
        <v>0.2058661911887</v>
      </c>
      <c r="I718">
        <v>0.12438320483087</v>
      </c>
      <c r="J718">
        <v>0.0962798897656712</v>
      </c>
      <c r="K718">
        <v>0.09500754141398141</v>
      </c>
      <c r="L718">
        <v>1964.63172303323</v>
      </c>
      <c r="M718">
        <v>37.4314245737668</v>
      </c>
      <c r="N718">
        <v>52.8712078985138</v>
      </c>
      <c r="O718">
        <v>52.3370123086843</v>
      </c>
      <c r="P718">
        <v>-0.157468693563027</v>
      </c>
      <c r="Q718">
        <v>0.119304579157262</v>
      </c>
      <c r="R718">
        <v>0.89758048285047</v>
      </c>
      <c r="S718" t="s">
        <v>2386</v>
      </c>
      <c r="T718" t="s">
        <v>3312</v>
      </c>
      <c r="U718" t="s">
        <v>3312</v>
      </c>
      <c r="V718" t="s">
        <v>3312</v>
      </c>
      <c r="W718" t="s">
        <v>4029</v>
      </c>
      <c r="X718">
        <v>2</v>
      </c>
      <c r="Y718" t="s">
        <v>5669</v>
      </c>
      <c r="Z718" t="s">
        <v>7311</v>
      </c>
      <c r="AA718">
        <v>0.577556913738361</v>
      </c>
      <c r="AB718">
        <f>HYPERLINK("Melting_Curves/meltCurve_P0AEJ6_eutB.pdf", "Melting_Curves/meltCurve_P0AEJ6_eutB.pdf")</f>
        <v>0</v>
      </c>
    </row>
    <row r="719" spans="1:28">
      <c r="A719" t="s">
        <v>745</v>
      </c>
      <c r="B719">
        <v>0.999984544473304</v>
      </c>
      <c r="C719">
        <v>0.896805077302261</v>
      </c>
      <c r="D719">
        <v>1.01383487190179</v>
      </c>
      <c r="E719">
        <v>0.915730586228574</v>
      </c>
      <c r="F719">
        <v>0.331990585176028</v>
      </c>
      <c r="G719">
        <v>0.06473115798240731</v>
      </c>
      <c r="H719">
        <v>0.0257779823353265</v>
      </c>
      <c r="I719">
        <v>0.0148241383484461</v>
      </c>
      <c r="J719">
        <v>0.0096486146805712</v>
      </c>
      <c r="K719">
        <v>0.0110675309706085</v>
      </c>
      <c r="L719">
        <v>1978.75020160827</v>
      </c>
      <c r="M719">
        <v>40.1513380508696</v>
      </c>
      <c r="N719">
        <v>49.3256640042078</v>
      </c>
      <c r="O719">
        <v>49.1605224145491</v>
      </c>
      <c r="P719">
        <v>-0.200643835334641</v>
      </c>
      <c r="Q719">
        <v>0.0173442659190846</v>
      </c>
      <c r="R719">
        <v>0.994208021688417</v>
      </c>
      <c r="S719" t="s">
        <v>2387</v>
      </c>
      <c r="T719" t="s">
        <v>3312</v>
      </c>
      <c r="U719" t="s">
        <v>3312</v>
      </c>
      <c r="V719" t="s">
        <v>3312</v>
      </c>
      <c r="W719" t="s">
        <v>4030</v>
      </c>
      <c r="X719">
        <v>7</v>
      </c>
      <c r="Y719" t="s">
        <v>5670</v>
      </c>
      <c r="Z719" t="s">
        <v>7312</v>
      </c>
      <c r="AA719">
        <v>0.4229743573296894</v>
      </c>
      <c r="AB719">
        <f>HYPERLINK("Melting_Curves/meltCurve_P0AEK2_fabG.pdf", "Melting_Curves/meltCurve_P0AEK2_fabG.pdf")</f>
        <v>0</v>
      </c>
    </row>
    <row r="720" spans="1:28">
      <c r="A720" t="s">
        <v>746</v>
      </c>
      <c r="B720">
        <v>0.999984544473304</v>
      </c>
      <c r="C720">
        <v>0.893792428207826</v>
      </c>
      <c r="D720">
        <v>0.889681563706698</v>
      </c>
      <c r="E720">
        <v>0.26715971795726</v>
      </c>
      <c r="F720">
        <v>0.121833682017622</v>
      </c>
      <c r="G720">
        <v>0.0667701455632768</v>
      </c>
      <c r="H720">
        <v>0.0416020932683582</v>
      </c>
      <c r="I720">
        <v>0.0351340880869977</v>
      </c>
      <c r="J720">
        <v>0.0183102620286633</v>
      </c>
      <c r="K720">
        <v>0.0233912849956965</v>
      </c>
      <c r="L720">
        <v>1604.66345922346</v>
      </c>
      <c r="M720">
        <v>35.5148352586718</v>
      </c>
      <c r="N720">
        <v>45.3001061200976</v>
      </c>
      <c r="O720">
        <v>45.0403691531034</v>
      </c>
      <c r="P720">
        <v>-0.188475606118998</v>
      </c>
      <c r="Q720">
        <v>0.0438944668466664</v>
      </c>
      <c r="R720">
        <v>0.990568440228683</v>
      </c>
      <c r="S720" t="s">
        <v>2388</v>
      </c>
      <c r="T720" t="s">
        <v>3312</v>
      </c>
      <c r="U720" t="s">
        <v>3312</v>
      </c>
      <c r="V720" t="s">
        <v>3312</v>
      </c>
      <c r="W720" t="s">
        <v>4031</v>
      </c>
      <c r="X720">
        <v>11</v>
      </c>
      <c r="Y720" t="s">
        <v>5671</v>
      </c>
      <c r="Z720" t="s">
        <v>7313</v>
      </c>
      <c r="AA720">
        <v>0.3084924960601729</v>
      </c>
      <c r="AB720">
        <f>HYPERLINK("Melting_Curves/meltCurve_P0AEK4_fabI.pdf", "Melting_Curves/meltCurve_P0AEK4_fabI.pdf")</f>
        <v>0</v>
      </c>
    </row>
    <row r="721" spans="1:28">
      <c r="A721" t="s">
        <v>747</v>
      </c>
      <c r="B721">
        <v>0.999984544473304</v>
      </c>
      <c r="C721">
        <v>0.796078325610909</v>
      </c>
      <c r="D721">
        <v>1.02975025346597</v>
      </c>
      <c r="E721">
        <v>0.935793088677279</v>
      </c>
      <c r="F721">
        <v>1.02683334153305</v>
      </c>
      <c r="G721">
        <v>0.507468610912077</v>
      </c>
      <c r="H721">
        <v>0.120398762307355</v>
      </c>
      <c r="I721">
        <v>0.0494965738724214</v>
      </c>
      <c r="J721">
        <v>0.037469250257439</v>
      </c>
      <c r="K721">
        <v>0.0420364716006141</v>
      </c>
      <c r="L721">
        <v>2886.56435575335</v>
      </c>
      <c r="M721">
        <v>53.6984807173342</v>
      </c>
      <c r="N721">
        <v>53.867911382364</v>
      </c>
      <c r="O721">
        <v>53.6806505047722</v>
      </c>
      <c r="P721">
        <v>-0.236777436281657</v>
      </c>
      <c r="Q721">
        <v>0.0532053417280088</v>
      </c>
      <c r="R721">
        <v>0.972270139168534</v>
      </c>
      <c r="S721" t="s">
        <v>2389</v>
      </c>
      <c r="T721" t="s">
        <v>3312</v>
      </c>
      <c r="U721" t="s">
        <v>3312</v>
      </c>
      <c r="V721" t="s">
        <v>3312</v>
      </c>
      <c r="W721" t="s">
        <v>4032</v>
      </c>
      <c r="X721">
        <v>5</v>
      </c>
      <c r="Y721" t="s">
        <v>5672</v>
      </c>
      <c r="Z721" t="s">
        <v>7314</v>
      </c>
      <c r="AA721">
        <v>0.5839353226687087</v>
      </c>
      <c r="AB721">
        <f>HYPERLINK("Melting_Curves/meltCurve_P0AEL6_fepB.pdf", "Melting_Curves/meltCurve_P0AEL6_fepB.pdf")</f>
        <v>0</v>
      </c>
    </row>
    <row r="722" spans="1:28">
      <c r="A722" t="s">
        <v>748</v>
      </c>
      <c r="B722">
        <v>0.999984544473304</v>
      </c>
      <c r="C722">
        <v>0.7774772294432279</v>
      </c>
      <c r="D722">
        <v>0.6221899589141759</v>
      </c>
      <c r="E722">
        <v>0.846059823630037</v>
      </c>
      <c r="F722">
        <v>0.649599850384501</v>
      </c>
      <c r="G722">
        <v>0.561638651835523</v>
      </c>
      <c r="H722">
        <v>0.341418511067538</v>
      </c>
      <c r="I722">
        <v>0.296130550707924</v>
      </c>
      <c r="J722">
        <v>0.181161661027302</v>
      </c>
      <c r="K722">
        <v>0.361228530234678</v>
      </c>
      <c r="L722">
        <v>290.977451254587</v>
      </c>
      <c r="M722">
        <v>5.42396407685385</v>
      </c>
      <c r="N722">
        <v>53.6466405589961</v>
      </c>
      <c r="O722">
        <v>47.6674547455281</v>
      </c>
      <c r="P722">
        <v>-0.0285784484030402</v>
      </c>
      <c r="Q722">
        <v>0</v>
      </c>
      <c r="R722">
        <v>0.834245396224917</v>
      </c>
      <c r="S722" t="s">
        <v>2390</v>
      </c>
      <c r="T722" t="s">
        <v>3312</v>
      </c>
      <c r="U722" t="s">
        <v>3312</v>
      </c>
      <c r="V722" t="s">
        <v>3312</v>
      </c>
      <c r="W722" t="s">
        <v>4033</v>
      </c>
      <c r="X722">
        <v>2</v>
      </c>
      <c r="Y722" t="s">
        <v>5673</v>
      </c>
      <c r="Z722" t="s">
        <v>7315</v>
      </c>
      <c r="AA722">
        <v>0.5624950375557614</v>
      </c>
      <c r="AB722">
        <f>HYPERLINK("Melting_Curves/meltCurve_P0AEM4_flgM.pdf", "Melting_Curves/meltCurve_P0AEM4_flgM.pdf")</f>
        <v>0</v>
      </c>
    </row>
    <row r="723" spans="1:28">
      <c r="A723" t="s">
        <v>749</v>
      </c>
      <c r="B723">
        <v>0.999984544473304</v>
      </c>
      <c r="C723">
        <v>0.844968456448236</v>
      </c>
      <c r="D723">
        <v>1.0847484076775</v>
      </c>
      <c r="E723">
        <v>0.874774676131434</v>
      </c>
      <c r="F723">
        <v>0.859114391563064</v>
      </c>
      <c r="G723">
        <v>0.310265789597186</v>
      </c>
      <c r="H723">
        <v>0.0819145658569054</v>
      </c>
      <c r="I723">
        <v>0.0385332943021493</v>
      </c>
      <c r="J723">
        <v>0.0349627292574238</v>
      </c>
      <c r="K723">
        <v>0.0389587200430164</v>
      </c>
      <c r="L723">
        <v>1867.91540339994</v>
      </c>
      <c r="M723">
        <v>35.5972318748423</v>
      </c>
      <c r="N723">
        <v>52.5797472590738</v>
      </c>
      <c r="O723">
        <v>52.3088597009773</v>
      </c>
      <c r="P723">
        <v>-0.164232834864768</v>
      </c>
      <c r="Q723">
        <v>0.0346664466766884</v>
      </c>
      <c r="R723">
        <v>0.975482335443795</v>
      </c>
      <c r="S723" t="s">
        <v>2391</v>
      </c>
      <c r="T723" t="s">
        <v>3312</v>
      </c>
      <c r="U723" t="s">
        <v>3312</v>
      </c>
      <c r="V723" t="s">
        <v>3312</v>
      </c>
      <c r="W723" t="s">
        <v>4034</v>
      </c>
      <c r="X723">
        <v>3</v>
      </c>
      <c r="Y723" t="s">
        <v>5674</v>
      </c>
      <c r="Z723" t="s">
        <v>7316</v>
      </c>
      <c r="AA723">
        <v>0.536968670530516</v>
      </c>
      <c r="AB723">
        <f>HYPERLINK("Melting_Curves/meltCurve_P0AEM6_fliA.pdf", "Melting_Curves/meltCurve_P0AEM6_fliA.pdf")</f>
        <v>0</v>
      </c>
    </row>
    <row r="724" spans="1:28">
      <c r="A724" t="s">
        <v>750</v>
      </c>
      <c r="B724">
        <v>0.999984544473304</v>
      </c>
      <c r="C724">
        <v>0.850129097126989</v>
      </c>
      <c r="D724">
        <v>1.02873970763575</v>
      </c>
      <c r="E724">
        <v>0.925573532957418</v>
      </c>
      <c r="F724">
        <v>1.18097117309137</v>
      </c>
      <c r="G724">
        <v>0.992963499987392</v>
      </c>
      <c r="H724">
        <v>1.15738995935024</v>
      </c>
      <c r="I724">
        <v>1.02899806449232</v>
      </c>
      <c r="J724">
        <v>0.8724812896458209</v>
      </c>
      <c r="K724">
        <v>0.593712489209804</v>
      </c>
      <c r="L724">
        <v>15000</v>
      </c>
      <c r="M724">
        <v>233.227108562149</v>
      </c>
      <c r="O724">
        <v>64.31026471651219</v>
      </c>
      <c r="P724">
        <v>-0.368391970931497</v>
      </c>
      <c r="Q724">
        <v>0.5936769911059659</v>
      </c>
      <c r="R724">
        <v>0.657817611928333</v>
      </c>
      <c r="S724" t="s">
        <v>2392</v>
      </c>
      <c r="T724" t="s">
        <v>3312</v>
      </c>
      <c r="U724" t="s">
        <v>3312</v>
      </c>
      <c r="V724" t="s">
        <v>3312</v>
      </c>
      <c r="W724" t="s">
        <v>4035</v>
      </c>
      <c r="X724">
        <v>18</v>
      </c>
      <c r="Y724" t="s">
        <v>5675</v>
      </c>
      <c r="Z724" t="s">
        <v>7317</v>
      </c>
      <c r="AA724">
        <v>0.9636863453100287</v>
      </c>
      <c r="AB724">
        <f>HYPERLINK("Melting_Curves/meltCurve_P0AEM9_fliY.pdf", "Melting_Curves/meltCurve_P0AEM9_fliY.pdf")</f>
        <v>0</v>
      </c>
    </row>
    <row r="725" spans="1:28">
      <c r="A725" t="s">
        <v>751</v>
      </c>
      <c r="B725">
        <v>0.999984544473304</v>
      </c>
      <c r="C725">
        <v>0.693295743084769</v>
      </c>
      <c r="D725">
        <v>0.683477338772213</v>
      </c>
      <c r="E725">
        <v>0.188060675933362</v>
      </c>
      <c r="F725">
        <v>0.0580676754409843</v>
      </c>
      <c r="G725">
        <v>0.0269847294529256</v>
      </c>
      <c r="H725">
        <v>0.0166884880700715</v>
      </c>
      <c r="I725">
        <v>0.0103797923451465</v>
      </c>
      <c r="J725">
        <v>0.00442406620871992</v>
      </c>
      <c r="K725">
        <v>0.0106275849549465</v>
      </c>
      <c r="L725">
        <v>759.874888249008</v>
      </c>
      <c r="M725">
        <v>17.4375963306231</v>
      </c>
      <c r="N725">
        <v>43.5768137839714</v>
      </c>
      <c r="O725">
        <v>43.0158279585016</v>
      </c>
      <c r="P725">
        <v>-0.101349742644322</v>
      </c>
      <c r="Q725">
        <v>0</v>
      </c>
      <c r="R725">
        <v>0.9672037013238201</v>
      </c>
      <c r="S725" t="s">
        <v>2393</v>
      </c>
      <c r="T725" t="s">
        <v>3312</v>
      </c>
      <c r="U725" t="s">
        <v>3312</v>
      </c>
      <c r="V725" t="s">
        <v>3312</v>
      </c>
      <c r="W725" t="s">
        <v>4036</v>
      </c>
      <c r="X725">
        <v>3</v>
      </c>
      <c r="Y725" t="s">
        <v>5676</v>
      </c>
      <c r="Z725" t="s">
        <v>7318</v>
      </c>
      <c r="AA725">
        <v>0.237613834106188</v>
      </c>
      <c r="AB725">
        <f>HYPERLINK("Melting_Curves/meltCurve_P0AEN1_fre.pdf", "Melting_Curves/meltCurve_P0AEN1_fre.pdf")</f>
        <v>0</v>
      </c>
    </row>
    <row r="726" spans="1:28">
      <c r="A726" t="s">
        <v>752</v>
      </c>
      <c r="B726">
        <v>0.999984544473304</v>
      </c>
      <c r="C726">
        <v>0.863574574141592</v>
      </c>
      <c r="D726">
        <v>1.2286619113219</v>
      </c>
      <c r="E726">
        <v>1.03321588368409</v>
      </c>
      <c r="F726">
        <v>1.06592167530342</v>
      </c>
      <c r="G726">
        <v>1.03131184368332</v>
      </c>
      <c r="H726">
        <v>0.794453290449321</v>
      </c>
      <c r="I726">
        <v>0.809357366457724</v>
      </c>
      <c r="J726">
        <v>0.722092262539262</v>
      </c>
      <c r="K726">
        <v>0.646608456284481</v>
      </c>
      <c r="L726">
        <v>1554.77179095598</v>
      </c>
      <c r="M726">
        <v>26.7543175609048</v>
      </c>
      <c r="O726">
        <v>57.7911760564518</v>
      </c>
      <c r="P726">
        <v>-0.0370734599226129</v>
      </c>
      <c r="Q726">
        <v>0.679678342554572</v>
      </c>
      <c r="R726">
        <v>0.686344959886471</v>
      </c>
      <c r="S726" t="s">
        <v>2394</v>
      </c>
      <c r="T726" t="s">
        <v>3312</v>
      </c>
      <c r="U726" t="s">
        <v>3312</v>
      </c>
      <c r="V726" t="s">
        <v>3312</v>
      </c>
      <c r="W726" t="s">
        <v>4037</v>
      </c>
      <c r="X726">
        <v>4</v>
      </c>
      <c r="Y726" t="s">
        <v>5677</v>
      </c>
      <c r="Z726" t="s">
        <v>7319</v>
      </c>
      <c r="AA726">
        <v>0.9070568081985734</v>
      </c>
      <c r="AB726">
        <f>HYPERLINK("Melting_Curves/meltCurve_P0AEN8_fucU.pdf", "Melting_Curves/meltCurve_P0AEN8_fucU.pdf")</f>
        <v>0</v>
      </c>
    </row>
    <row r="727" spans="1:28">
      <c r="A727" t="s">
        <v>753</v>
      </c>
      <c r="B727">
        <v>0.999984544473304</v>
      </c>
      <c r="C727">
        <v>1.05756971372187</v>
      </c>
      <c r="D727">
        <v>0.809556029997659</v>
      </c>
      <c r="E727">
        <v>0.896807809135498</v>
      </c>
      <c r="F727">
        <v>0.789968835216301</v>
      </c>
      <c r="G727">
        <v>0.297059771815422</v>
      </c>
      <c r="H727">
        <v>0.102592526737534</v>
      </c>
      <c r="I727">
        <v>0.066743358745181</v>
      </c>
      <c r="J727">
        <v>0.0386630760174258</v>
      </c>
      <c r="K727">
        <v>0.0426522452826486</v>
      </c>
      <c r="L727">
        <v>1476.70279559769</v>
      </c>
      <c r="M727">
        <v>28.3475308570866</v>
      </c>
      <c r="N727">
        <v>52.2425179048992</v>
      </c>
      <c r="O727">
        <v>51.8356439062787</v>
      </c>
      <c r="P727">
        <v>-0.131386204386727</v>
      </c>
      <c r="Q727">
        <v>0.0390086015409466</v>
      </c>
      <c r="R727">
        <v>0.973329836113307</v>
      </c>
      <c r="S727" t="s">
        <v>2395</v>
      </c>
      <c r="T727" t="s">
        <v>3312</v>
      </c>
      <c r="U727" t="s">
        <v>3312</v>
      </c>
      <c r="V727" t="s">
        <v>3312</v>
      </c>
      <c r="W727" t="s">
        <v>3780</v>
      </c>
      <c r="X727">
        <v>5</v>
      </c>
      <c r="Y727" t="s">
        <v>5678</v>
      </c>
      <c r="Z727" t="s">
        <v>7320</v>
      </c>
      <c r="AA727">
        <v>0.5292356808222458</v>
      </c>
      <c r="AB727">
        <f>HYPERLINK("Melting_Curves/meltCurve_P0AEP3_galU.pdf", "Melting_Curves/meltCurve_P0AEP3_galU.pdf")</f>
        <v>0</v>
      </c>
    </row>
    <row r="728" spans="1:28">
      <c r="A728" t="s">
        <v>754</v>
      </c>
      <c r="B728">
        <v>0.999984544473304</v>
      </c>
      <c r="C728">
        <v>1.40217996180497</v>
      </c>
      <c r="D728">
        <v>0.933545345748501</v>
      </c>
      <c r="E728">
        <v>1.1728082167206</v>
      </c>
      <c r="F728">
        <v>0.858872437541389</v>
      </c>
      <c r="G728">
        <v>0.958324461970793</v>
      </c>
      <c r="H728">
        <v>0.539107264954557</v>
      </c>
      <c r="I728">
        <v>0.439628079992499</v>
      </c>
      <c r="J728">
        <v>0.270204622611736</v>
      </c>
      <c r="K728">
        <v>0.25964204403119</v>
      </c>
      <c r="L728">
        <v>1554.46646088729</v>
      </c>
      <c r="M728">
        <v>27.2369099841506</v>
      </c>
      <c r="N728">
        <v>58.6501613490271</v>
      </c>
      <c r="O728">
        <v>56.7670648922751</v>
      </c>
      <c r="P728">
        <v>-0.0887959080957501</v>
      </c>
      <c r="Q728">
        <v>0.259734697968394</v>
      </c>
      <c r="R728">
        <v>0.832238824918915</v>
      </c>
      <c r="S728" t="s">
        <v>2396</v>
      </c>
      <c r="T728" t="s">
        <v>3312</v>
      </c>
      <c r="U728" t="s">
        <v>3312</v>
      </c>
      <c r="V728" t="s">
        <v>3312</v>
      </c>
      <c r="W728" t="s">
        <v>4038</v>
      </c>
      <c r="X728">
        <v>3</v>
      </c>
      <c r="Y728" t="s">
        <v>5679</v>
      </c>
      <c r="Z728" t="s">
        <v>7321</v>
      </c>
      <c r="AA728">
        <v>0.7600165691434957</v>
      </c>
      <c r="AB728">
        <f>HYPERLINK("Melting_Curves/meltCurve_P0AEP7_gcl.pdf", "Melting_Curves/meltCurve_P0AEP7_gcl.pdf")</f>
        <v>0</v>
      </c>
    </row>
    <row r="729" spans="1:28">
      <c r="A729" t="s">
        <v>755</v>
      </c>
      <c r="B729">
        <v>0.999984544473304</v>
      </c>
      <c r="C729">
        <v>1.17801653002661</v>
      </c>
      <c r="D729">
        <v>1.0436950726938</v>
      </c>
      <c r="E729">
        <v>1.29522697917194</v>
      </c>
      <c r="F729">
        <v>1.17302660043323</v>
      </c>
      <c r="G729">
        <v>1.03031902993209</v>
      </c>
      <c r="H729">
        <v>0.96266777129749</v>
      </c>
      <c r="I729">
        <v>0.797313814473242</v>
      </c>
      <c r="J729">
        <v>0.694285039477179</v>
      </c>
      <c r="K729">
        <v>0.771532573910377</v>
      </c>
      <c r="L729">
        <v>3300.13812616024</v>
      </c>
      <c r="M729">
        <v>55.4344936442556</v>
      </c>
      <c r="O729">
        <v>59.4548928496323</v>
      </c>
      <c r="P729">
        <v>-0.0621383589769183</v>
      </c>
      <c r="Q729">
        <v>0.733420331099375</v>
      </c>
      <c r="R729">
        <v>0.542963034521927</v>
      </c>
      <c r="S729" t="s">
        <v>2397</v>
      </c>
      <c r="T729" t="s">
        <v>3312</v>
      </c>
      <c r="U729" t="s">
        <v>3312</v>
      </c>
      <c r="V729" t="s">
        <v>3312</v>
      </c>
      <c r="W729" t="s">
        <v>4039</v>
      </c>
      <c r="X729">
        <v>2</v>
      </c>
      <c r="Y729" t="s">
        <v>5680</v>
      </c>
      <c r="Z729" t="s">
        <v>7322</v>
      </c>
      <c r="AA729">
        <v>0.9341841287958278</v>
      </c>
      <c r="AB729">
        <f>HYPERLINK("Melting_Curves/meltCurve_P0AEQ1_glcG.pdf", "Melting_Curves/meltCurve_P0AEQ1_glcG.pdf")</f>
        <v>0</v>
      </c>
    </row>
    <row r="730" spans="1:28">
      <c r="A730" t="s">
        <v>756</v>
      </c>
      <c r="B730">
        <v>0.999984544473304</v>
      </c>
      <c r="C730">
        <v>0.859563442392961</v>
      </c>
      <c r="D730">
        <v>1.05979230941575</v>
      </c>
      <c r="E730">
        <v>1.05073330738968</v>
      </c>
      <c r="F730">
        <v>1.14710619230695</v>
      </c>
      <c r="G730">
        <v>1.01445214476825</v>
      </c>
      <c r="H730">
        <v>1.00923010841536</v>
      </c>
      <c r="I730">
        <v>0.825579172117707</v>
      </c>
      <c r="J730">
        <v>0.603104130200156</v>
      </c>
      <c r="K730">
        <v>0.554683920756575</v>
      </c>
      <c r="L730">
        <v>3416.79212395622</v>
      </c>
      <c r="M730">
        <v>55.5404127320617</v>
      </c>
      <c r="O730">
        <v>61.4394073509607</v>
      </c>
      <c r="P730">
        <v>-0.100723713185835</v>
      </c>
      <c r="Q730">
        <v>0.554313452349063</v>
      </c>
      <c r="R730">
        <v>0.86543261823039</v>
      </c>
      <c r="S730" t="s">
        <v>2398</v>
      </c>
      <c r="T730" t="s">
        <v>3312</v>
      </c>
      <c r="U730" t="s">
        <v>3312</v>
      </c>
      <c r="V730" t="s">
        <v>3312</v>
      </c>
      <c r="W730" t="s">
        <v>4040</v>
      </c>
      <c r="X730">
        <v>17</v>
      </c>
      <c r="Y730" t="s">
        <v>5681</v>
      </c>
      <c r="Z730" t="s">
        <v>7323</v>
      </c>
      <c r="AA730">
        <v>0.9193374505090711</v>
      </c>
      <c r="AB730">
        <f>HYPERLINK("Melting_Curves/meltCurve_P0AEQ3_glnH.pdf", "Melting_Curves/meltCurve_P0AEQ3_glnH.pdf")</f>
        <v>0</v>
      </c>
    </row>
    <row r="731" spans="1:28">
      <c r="A731" t="s">
        <v>757</v>
      </c>
      <c r="B731">
        <v>0.999984544473304</v>
      </c>
      <c r="C731">
        <v>1.08929112127195</v>
      </c>
      <c r="D731">
        <v>0.459657083335297</v>
      </c>
      <c r="E731">
        <v>0.200764193239296</v>
      </c>
      <c r="F731">
        <v>0.07321729596721541</v>
      </c>
      <c r="G731">
        <v>0.0204894968558649</v>
      </c>
      <c r="H731">
        <v>0.0390203516167081</v>
      </c>
      <c r="I731">
        <v>0.0367018672030279</v>
      </c>
      <c r="J731">
        <v>0</v>
      </c>
      <c r="K731">
        <v>0</v>
      </c>
      <c r="L731">
        <v>6778.60581684283</v>
      </c>
      <c r="M731">
        <v>157.925921839779</v>
      </c>
      <c r="N731">
        <v>42.9530834453902</v>
      </c>
      <c r="O731">
        <v>42.9158106047926</v>
      </c>
      <c r="P731">
        <v>-0.871323402103609</v>
      </c>
      <c r="Q731">
        <v>0.0528837996544284</v>
      </c>
      <c r="R731">
        <v>0.976576597868694</v>
      </c>
      <c r="S731" t="s">
        <v>2399</v>
      </c>
      <c r="T731" t="s">
        <v>3312</v>
      </c>
      <c r="U731" t="s">
        <v>3312</v>
      </c>
      <c r="V731" t="s">
        <v>3312</v>
      </c>
      <c r="W731" t="s">
        <v>4041</v>
      </c>
      <c r="X731">
        <v>1</v>
      </c>
      <c r="Y731" t="s">
        <v>5682</v>
      </c>
      <c r="Z731" t="s">
        <v>7324</v>
      </c>
      <c r="AA731">
        <v>0.24004525430299</v>
      </c>
      <c r="AB731">
        <f>HYPERLINK("Melting_Curves/meltCurve_P0AEQ6_glnP.pdf", "Melting_Curves/meltCurve_P0AEQ6_glnP.pdf")</f>
        <v>0</v>
      </c>
    </row>
    <row r="732" spans="1:28">
      <c r="A732" t="s">
        <v>758</v>
      </c>
      <c r="B732">
        <v>0.999984544473304</v>
      </c>
      <c r="C732">
        <v>0.840815338799763</v>
      </c>
      <c r="D732">
        <v>0.8025538463047081</v>
      </c>
      <c r="E732">
        <v>0.684961382149613</v>
      </c>
      <c r="F732">
        <v>0.523524621601031</v>
      </c>
      <c r="G732">
        <v>0.458246226739592</v>
      </c>
      <c r="H732">
        <v>0.365263536982706</v>
      </c>
      <c r="I732">
        <v>0.292463452588642</v>
      </c>
      <c r="J732">
        <v>0.202002591520587</v>
      </c>
      <c r="K732">
        <v>0.197531658788138</v>
      </c>
      <c r="L732">
        <v>354.463848374218</v>
      </c>
      <c r="M732">
        <v>6.90802520415155</v>
      </c>
      <c r="N732">
        <v>51.8632012388116</v>
      </c>
      <c r="O732">
        <v>47.5291646558353</v>
      </c>
      <c r="P732">
        <v>-0.0351176142341221</v>
      </c>
      <c r="Q732">
        <v>0.0354006575811083</v>
      </c>
      <c r="R732">
        <v>0.988635619268785</v>
      </c>
      <c r="S732" t="s">
        <v>2400</v>
      </c>
      <c r="T732" t="s">
        <v>3312</v>
      </c>
      <c r="U732" t="s">
        <v>3312</v>
      </c>
      <c r="V732" t="s">
        <v>3312</v>
      </c>
      <c r="W732" t="s">
        <v>4042</v>
      </c>
      <c r="X732">
        <v>2</v>
      </c>
      <c r="Y732" t="s">
        <v>5683</v>
      </c>
      <c r="Z732" t="s">
        <v>7325</v>
      </c>
      <c r="AA732">
        <v>0.5287151432040333</v>
      </c>
      <c r="AB732">
        <f>HYPERLINK("Melting_Curves/meltCurve_P0AER3_gltJ.pdf", "Melting_Curves/meltCurve_P0AER3_gltJ.pdf")</f>
        <v>0</v>
      </c>
    </row>
    <row r="733" spans="1:28">
      <c r="A733" t="s">
        <v>759</v>
      </c>
      <c r="B733">
        <v>0.999984544473304</v>
      </c>
      <c r="C733">
        <v>1.82338812736685</v>
      </c>
      <c r="D733">
        <v>1.391550609075</v>
      </c>
      <c r="E733">
        <v>1.41488057979387</v>
      </c>
      <c r="F733">
        <v>0.933914643685794</v>
      </c>
      <c r="G733">
        <v>0.393628413409703</v>
      </c>
      <c r="H733">
        <v>0</v>
      </c>
      <c r="I733">
        <v>0.09915584578435691</v>
      </c>
      <c r="J733">
        <v>0</v>
      </c>
      <c r="K733">
        <v>0.129574502213878</v>
      </c>
      <c r="L733">
        <v>3059.65320585806</v>
      </c>
      <c r="M733">
        <v>57.4933303338937</v>
      </c>
      <c r="N733">
        <v>53.3254219183693</v>
      </c>
      <c r="O733">
        <v>53.1532640098801</v>
      </c>
      <c r="P733">
        <v>-0.255569020306106</v>
      </c>
      <c r="Q733">
        <v>0.0548941388086366</v>
      </c>
      <c r="R733">
        <v>0.754298750452394</v>
      </c>
      <c r="S733" t="s">
        <v>2401</v>
      </c>
      <c r="T733" t="s">
        <v>3312</v>
      </c>
      <c r="U733" t="s">
        <v>3312</v>
      </c>
      <c r="V733" t="s">
        <v>3312</v>
      </c>
      <c r="W733" t="s">
        <v>4043</v>
      </c>
      <c r="X733">
        <v>1</v>
      </c>
      <c r="Y733" t="s">
        <v>5684</v>
      </c>
      <c r="Z733" t="s">
        <v>7326</v>
      </c>
      <c r="AA733">
        <v>0.5674789648804901</v>
      </c>
      <c r="AB733">
        <f>HYPERLINK("Melting_Curves/meltCurve_P0AES0_gss.pdf", "Melting_Curves/meltCurve_P0AES0_gss.pdf")</f>
        <v>0</v>
      </c>
    </row>
    <row r="734" spans="1:28">
      <c r="A734" t="s">
        <v>760</v>
      </c>
      <c r="B734">
        <v>0.999984544473304</v>
      </c>
      <c r="C734">
        <v>0.9991617422706029</v>
      </c>
      <c r="D734">
        <v>0.678940055396436</v>
      </c>
      <c r="E734">
        <v>0.781805122396647</v>
      </c>
      <c r="F734">
        <v>0.315699760217944</v>
      </c>
      <c r="G734">
        <v>0.0829265847544698</v>
      </c>
      <c r="H734">
        <v>0.133651362089204</v>
      </c>
      <c r="I734">
        <v>0.0903940004580276</v>
      </c>
      <c r="J734">
        <v>0</v>
      </c>
      <c r="K734">
        <v>0</v>
      </c>
      <c r="L734">
        <v>714.187488436149</v>
      </c>
      <c r="M734">
        <v>14.8237014606681</v>
      </c>
      <c r="N734">
        <v>48.1787556190075</v>
      </c>
      <c r="O734">
        <v>47.3274627121863</v>
      </c>
      <c r="P734">
        <v>-0.0783121987550351</v>
      </c>
      <c r="Q734">
        <v>0</v>
      </c>
      <c r="R734">
        <v>0.951628725496432</v>
      </c>
      <c r="S734" t="s">
        <v>2402</v>
      </c>
      <c r="T734" t="s">
        <v>3312</v>
      </c>
      <c r="U734" t="s">
        <v>3312</v>
      </c>
      <c r="V734" t="s">
        <v>3312</v>
      </c>
      <c r="W734" t="s">
        <v>4044</v>
      </c>
      <c r="X734">
        <v>1</v>
      </c>
      <c r="Y734" t="s">
        <v>5685</v>
      </c>
      <c r="Z734" t="s">
        <v>7327</v>
      </c>
      <c r="AA734">
        <v>0.3949965137692233</v>
      </c>
      <c r="AB734">
        <f>HYPERLINK("Melting_Curves/meltCurve_P0AES2_gudD.pdf", "Melting_Curves/meltCurve_P0AES2_gudD.pdf")</f>
        <v>0</v>
      </c>
    </row>
    <row r="735" spans="1:28">
      <c r="A735" t="s">
        <v>761</v>
      </c>
      <c r="B735">
        <v>0.999984544473304</v>
      </c>
      <c r="C735">
        <v>1.82523382083327</v>
      </c>
      <c r="D735">
        <v>1.12730870545447</v>
      </c>
      <c r="E735">
        <v>1.79909122933371</v>
      </c>
      <c r="F735">
        <v>1.08156935963828</v>
      </c>
      <c r="G735">
        <v>0.629473443427277</v>
      </c>
      <c r="H735">
        <v>0.144357346225225</v>
      </c>
      <c r="I735">
        <v>0.063179138274535</v>
      </c>
      <c r="J735">
        <v>0.0323167915405527</v>
      </c>
      <c r="K735">
        <v>0.0305576413850394</v>
      </c>
      <c r="L735">
        <v>2745.57884724045</v>
      </c>
      <c r="M735">
        <v>50.515560056055</v>
      </c>
      <c r="N735">
        <v>54.4640632175363</v>
      </c>
      <c r="O735">
        <v>54.2661773694519</v>
      </c>
      <c r="P735">
        <v>-0.221151895554517</v>
      </c>
      <c r="Q735">
        <v>0.0497139351278118</v>
      </c>
      <c r="R735">
        <v>0.69731802852068</v>
      </c>
      <c r="S735" t="s">
        <v>2403</v>
      </c>
      <c r="T735" t="s">
        <v>3312</v>
      </c>
      <c r="U735" t="s">
        <v>3312</v>
      </c>
      <c r="V735" t="s">
        <v>3312</v>
      </c>
      <c r="W735" t="s">
        <v>4045</v>
      </c>
      <c r="X735">
        <v>18</v>
      </c>
      <c r="Y735" t="s">
        <v>5686</v>
      </c>
      <c r="Z735" t="s">
        <v>7328</v>
      </c>
      <c r="AA735">
        <v>0.6015603222507704</v>
      </c>
      <c r="AB735">
        <f>HYPERLINK("Melting_Curves/meltCurve_P0AES4_gyrA.pdf", "Melting_Curves/meltCurve_P0AES4_gyrA.pdf")</f>
        <v>0</v>
      </c>
    </row>
    <row r="736" spans="1:28">
      <c r="A736" t="s">
        <v>762</v>
      </c>
      <c r="B736">
        <v>0.999984544473304</v>
      </c>
      <c r="C736">
        <v>0.954991599698221</v>
      </c>
      <c r="D736">
        <v>0.841430107211573</v>
      </c>
      <c r="E736">
        <v>0.378083767792124</v>
      </c>
      <c r="F736">
        <v>0.108164940826526</v>
      </c>
      <c r="G736">
        <v>0.0550527530686104</v>
      </c>
      <c r="H736">
        <v>0.0344215194422541</v>
      </c>
      <c r="I736">
        <v>0.0317046615658017</v>
      </c>
      <c r="J736">
        <v>0.0328278093361272</v>
      </c>
      <c r="K736">
        <v>0.0330273197588871</v>
      </c>
      <c r="L736">
        <v>1201.01195194377</v>
      </c>
      <c r="M736">
        <v>26.3521597128886</v>
      </c>
      <c r="N736">
        <v>45.6909898769894</v>
      </c>
      <c r="O736">
        <v>45.3154621527963</v>
      </c>
      <c r="P736">
        <v>-0.140697897759434</v>
      </c>
      <c r="Q736">
        <v>0.0322284392766391</v>
      </c>
      <c r="R736">
        <v>0.999606288119015</v>
      </c>
      <c r="S736" t="s">
        <v>2404</v>
      </c>
      <c r="T736" t="s">
        <v>3312</v>
      </c>
      <c r="U736" t="s">
        <v>3312</v>
      </c>
      <c r="V736" t="s">
        <v>3312</v>
      </c>
      <c r="W736" t="s">
        <v>4046</v>
      </c>
      <c r="X736">
        <v>15</v>
      </c>
      <c r="Y736" t="s">
        <v>5687</v>
      </c>
      <c r="Z736" t="s">
        <v>7329</v>
      </c>
      <c r="AA736">
        <v>0.3160225029148709</v>
      </c>
      <c r="AB736">
        <f>HYPERLINK("Melting_Curves/meltCurve_P0AES6_gyrB.pdf", "Melting_Curves/meltCurve_P0AES6_gyrB.pdf")</f>
        <v>0</v>
      </c>
    </row>
    <row r="737" spans="1:28">
      <c r="A737" t="s">
        <v>763</v>
      </c>
      <c r="B737">
        <v>0.999984544473304</v>
      </c>
      <c r="C737">
        <v>1.22273443542406</v>
      </c>
      <c r="D737">
        <v>0.79725034645752</v>
      </c>
      <c r="E737">
        <v>1.10707876116659</v>
      </c>
      <c r="F737">
        <v>1.10682129639284</v>
      </c>
      <c r="G737">
        <v>0.891874464749881</v>
      </c>
      <c r="H737">
        <v>0.575088687604983</v>
      </c>
      <c r="I737">
        <v>0.615720208191601</v>
      </c>
      <c r="J737">
        <v>0.324356079504801</v>
      </c>
      <c r="K737">
        <v>0.561779076950173</v>
      </c>
      <c r="L737">
        <v>2501.3645626492</v>
      </c>
      <c r="M737">
        <v>45.1083998553776</v>
      </c>
      <c r="N737">
        <v>61.5555588932153</v>
      </c>
      <c r="O737">
        <v>55.3436525607697</v>
      </c>
      <c r="P737">
        <v>-0.103045999491205</v>
      </c>
      <c r="Q737">
        <v>0.494290718244802</v>
      </c>
      <c r="R737">
        <v>0.792899553112525</v>
      </c>
      <c r="S737" t="s">
        <v>2405</v>
      </c>
      <c r="T737" t="s">
        <v>3312</v>
      </c>
      <c r="U737" t="s">
        <v>3312</v>
      </c>
      <c r="V737" t="s">
        <v>3312</v>
      </c>
      <c r="W737" t="s">
        <v>4047</v>
      </c>
      <c r="X737">
        <v>1</v>
      </c>
      <c r="Y737" t="s">
        <v>5688</v>
      </c>
      <c r="Z737" t="s">
        <v>7330</v>
      </c>
      <c r="AA737">
        <v>0.8068490265810716</v>
      </c>
      <c r="AB737">
        <f>HYPERLINK("Melting_Curves/meltCurve_P0AES9_hdeA.pdf", "Melting_Curves/meltCurve_P0AES9_hdeA.pdf")</f>
        <v>0</v>
      </c>
    </row>
    <row r="738" spans="1:28">
      <c r="A738" t="s">
        <v>764</v>
      </c>
      <c r="B738">
        <v>0.999984544473304</v>
      </c>
      <c r="C738">
        <v>2.58176573205217</v>
      </c>
      <c r="D738">
        <v>0.333237653246994</v>
      </c>
      <c r="E738">
        <v>1.25287702224482</v>
      </c>
      <c r="F738">
        <v>0.298794129715967</v>
      </c>
      <c r="G738">
        <v>0.248092383329956</v>
      </c>
      <c r="H738">
        <v>0.184495545545636</v>
      </c>
      <c r="I738">
        <v>0.128640813696579</v>
      </c>
      <c r="J738">
        <v>0.0777100665219593</v>
      </c>
      <c r="K738">
        <v>0.244453941597336</v>
      </c>
      <c r="L738">
        <v>12462.2587906117</v>
      </c>
      <c r="M738">
        <v>250</v>
      </c>
      <c r="N738">
        <v>49.9361203922076</v>
      </c>
      <c r="O738">
        <v>49.8458451831287</v>
      </c>
      <c r="P738">
        <v>-1.03233461444345</v>
      </c>
      <c r="Q738">
        <v>0.176678539532603</v>
      </c>
      <c r="R738">
        <v>0.456676310575536</v>
      </c>
      <c r="S738" t="s">
        <v>2406</v>
      </c>
      <c r="T738" t="s">
        <v>3312</v>
      </c>
      <c r="U738" t="s">
        <v>3312</v>
      </c>
      <c r="V738" t="s">
        <v>3312</v>
      </c>
      <c r="W738" t="s">
        <v>4048</v>
      </c>
      <c r="X738">
        <v>2</v>
      </c>
      <c r="Y738" t="s">
        <v>5689</v>
      </c>
      <c r="Z738" t="s">
        <v>7331</v>
      </c>
      <c r="AA738">
        <v>0.5293801137365993</v>
      </c>
      <c r="AB738">
        <f>HYPERLINK("Melting_Curves/meltCurve_P0AET2_hdeB.pdf", "Melting_Curves/meltCurve_P0AET2_hdeB.pdf")</f>
        <v>0</v>
      </c>
    </row>
    <row r="739" spans="1:28">
      <c r="A739" t="s">
        <v>765</v>
      </c>
      <c r="B739">
        <v>0.999984544473304</v>
      </c>
      <c r="C739">
        <v>1.36140960464397</v>
      </c>
      <c r="D739">
        <v>0.865302927961427</v>
      </c>
      <c r="E739">
        <v>1.14260854285289</v>
      </c>
      <c r="F739">
        <v>1.04206360739564</v>
      </c>
      <c r="G739">
        <v>0.784805368849575</v>
      </c>
      <c r="H739">
        <v>0.995892962637326</v>
      </c>
      <c r="I739">
        <v>1.10548119702712</v>
      </c>
      <c r="J739">
        <v>1.12694149950324</v>
      </c>
      <c r="K739">
        <v>0.744129301369756</v>
      </c>
      <c r="L739">
        <v>15000</v>
      </c>
      <c r="M739">
        <v>222.81300637435</v>
      </c>
      <c r="Q739">
        <v>0</v>
      </c>
      <c r="R739">
        <v>0.203944541430475</v>
      </c>
      <c r="S739" t="s">
        <v>2407</v>
      </c>
      <c r="T739" t="s">
        <v>3312</v>
      </c>
      <c r="U739" t="s">
        <v>3312</v>
      </c>
      <c r="V739" t="s">
        <v>3312</v>
      </c>
      <c r="W739" t="s">
        <v>4049</v>
      </c>
      <c r="X739">
        <v>2</v>
      </c>
      <c r="Y739" t="s">
        <v>5690</v>
      </c>
      <c r="Z739" t="s">
        <v>7332</v>
      </c>
      <c r="AA739">
        <v>0.9970799004127255</v>
      </c>
      <c r="AB739">
        <f>HYPERLINK("Melting_Curves/meltCurve_P0AET5_hdeD.pdf", "Melting_Curves/meltCurve_P0AET5_hdeD.pdf")</f>
        <v>0</v>
      </c>
    </row>
    <row r="740" spans="1:28">
      <c r="A740" t="s">
        <v>766</v>
      </c>
      <c r="B740">
        <v>0.999984544473304</v>
      </c>
      <c r="C740">
        <v>0.832518547161161</v>
      </c>
      <c r="D740">
        <v>1.24385737206335</v>
      </c>
      <c r="E740">
        <v>1.02693837273419</v>
      </c>
      <c r="F740">
        <v>1.18984180125914</v>
      </c>
      <c r="G740">
        <v>1.13427174579143</v>
      </c>
      <c r="H740">
        <v>0.744926983503725</v>
      </c>
      <c r="I740">
        <v>0.33432616138921</v>
      </c>
      <c r="J740">
        <v>0.0495177507583267</v>
      </c>
      <c r="K740">
        <v>0.0254465129115962</v>
      </c>
      <c r="L740">
        <v>2143.90242194601</v>
      </c>
      <c r="M740">
        <v>35.9800050864422</v>
      </c>
      <c r="N740">
        <v>59.5859396083423</v>
      </c>
      <c r="O740">
        <v>59.4027698202884</v>
      </c>
      <c r="P740">
        <v>-0.151424412805695</v>
      </c>
      <c r="Q740">
        <v>0</v>
      </c>
      <c r="R740">
        <v>0.920235199879765</v>
      </c>
      <c r="S740" t="s">
        <v>2408</v>
      </c>
      <c r="T740" t="s">
        <v>3312</v>
      </c>
      <c r="U740" t="s">
        <v>3312</v>
      </c>
      <c r="V740" t="s">
        <v>3312</v>
      </c>
      <c r="W740" t="s">
        <v>4050</v>
      </c>
      <c r="X740">
        <v>10</v>
      </c>
      <c r="Y740" t="s">
        <v>5691</v>
      </c>
      <c r="Z740" t="s">
        <v>7333</v>
      </c>
      <c r="AA740">
        <v>0.7565873995666149</v>
      </c>
      <c r="AB740">
        <f>HYPERLINK("Melting_Curves/meltCurve_P0AET8_hdhA.pdf", "Melting_Curves/meltCurve_P0AET8_hdhA.pdf")</f>
        <v>0</v>
      </c>
    </row>
    <row r="741" spans="1:28">
      <c r="A741" t="s">
        <v>767</v>
      </c>
      <c r="B741">
        <v>0.999984544473304</v>
      </c>
      <c r="C741">
        <v>0.966157518443694</v>
      </c>
      <c r="D741">
        <v>0.8923470199131111</v>
      </c>
      <c r="E741">
        <v>0.96169563396697</v>
      </c>
      <c r="F741">
        <v>1.03690868112882</v>
      </c>
      <c r="G741">
        <v>0.872782688729743</v>
      </c>
      <c r="H741">
        <v>0.919151455987284</v>
      </c>
      <c r="I741">
        <v>0.8206761781006821</v>
      </c>
      <c r="J741">
        <v>0.658809026375835</v>
      </c>
      <c r="K741">
        <v>0.696275200407224</v>
      </c>
      <c r="L741">
        <v>715.759689781441</v>
      </c>
      <c r="M741">
        <v>11.3487461053914</v>
      </c>
      <c r="O741">
        <v>61.206416290315</v>
      </c>
      <c r="P741">
        <v>-0.0234701139648929</v>
      </c>
      <c r="Q741">
        <v>0.49383224740342</v>
      </c>
      <c r="R741">
        <v>0.79520170867662</v>
      </c>
      <c r="S741" t="s">
        <v>2409</v>
      </c>
      <c r="T741" t="s">
        <v>3312</v>
      </c>
      <c r="U741" t="s">
        <v>3312</v>
      </c>
      <c r="V741" t="s">
        <v>3312</v>
      </c>
      <c r="W741" t="s">
        <v>4051</v>
      </c>
      <c r="X741">
        <v>13</v>
      </c>
      <c r="Y741" t="s">
        <v>5692</v>
      </c>
      <c r="Z741" t="s">
        <v>7334</v>
      </c>
      <c r="AA741">
        <v>0.9070042368772344</v>
      </c>
      <c r="AB741">
        <f>HYPERLINK("Melting_Curves/meltCurve_P0AEU0_hisJ.pdf", "Melting_Curves/meltCurve_P0AEU0_hisJ.pdf")</f>
        <v>0</v>
      </c>
    </row>
    <row r="742" spans="1:28">
      <c r="A742" t="s">
        <v>768</v>
      </c>
      <c r="B742">
        <v>0.999984544473304</v>
      </c>
      <c r="C742">
        <v>0.986190438454142</v>
      </c>
      <c r="D742">
        <v>1.18889912619183</v>
      </c>
      <c r="E742">
        <v>1.08943451865501</v>
      </c>
      <c r="F742">
        <v>1.13011443111876</v>
      </c>
      <c r="G742">
        <v>1.00570788971407</v>
      </c>
      <c r="H742">
        <v>1.00255220717271</v>
      </c>
      <c r="I742">
        <v>0.921201038700073</v>
      </c>
      <c r="J742">
        <v>0.835474787334432</v>
      </c>
      <c r="K742">
        <v>0.790320628465952</v>
      </c>
      <c r="L742">
        <v>2442.39366635628</v>
      </c>
      <c r="M742">
        <v>39.3593655996054</v>
      </c>
      <c r="O742">
        <v>61.8941457236736</v>
      </c>
      <c r="P742">
        <v>-0.0346755213830155</v>
      </c>
      <c r="Q742">
        <v>0.781886014400385</v>
      </c>
      <c r="R742">
        <v>0.557171790202053</v>
      </c>
      <c r="S742" t="s">
        <v>2410</v>
      </c>
      <c r="T742" t="s">
        <v>3312</v>
      </c>
      <c r="U742" t="s">
        <v>3312</v>
      </c>
      <c r="V742" t="s">
        <v>3312</v>
      </c>
      <c r="W742" t="s">
        <v>4052</v>
      </c>
      <c r="X742">
        <v>7</v>
      </c>
      <c r="Y742" t="s">
        <v>5693</v>
      </c>
      <c r="Z742" t="s">
        <v>7335</v>
      </c>
      <c r="AA742">
        <v>0.9642497721161758</v>
      </c>
      <c r="AB742">
        <f>HYPERLINK("Melting_Curves/meltCurve_P0AEU7_skp.pdf", "Melting_Curves/meltCurve_P0AEU7_skp.pdf")</f>
        <v>0</v>
      </c>
    </row>
    <row r="743" spans="1:28">
      <c r="A743" t="s">
        <v>769</v>
      </c>
      <c r="B743">
        <v>0.999984544473304</v>
      </c>
      <c r="C743">
        <v>0.669018727176384</v>
      </c>
      <c r="D743">
        <v>0.46877868743092</v>
      </c>
      <c r="E743">
        <v>0.216353395513271</v>
      </c>
      <c r="F743">
        <v>0.166142479277269</v>
      </c>
      <c r="G743">
        <v>0.09034336563058271</v>
      </c>
      <c r="H743">
        <v>0.076848907713029</v>
      </c>
      <c r="I743">
        <v>0.0618021806787809</v>
      </c>
      <c r="J743">
        <v>0.0423218177971586</v>
      </c>
      <c r="K743">
        <v>0.0613605613727738</v>
      </c>
      <c r="L743">
        <v>688.021962191286</v>
      </c>
      <c r="M743">
        <v>16.3354356735128</v>
      </c>
      <c r="N743">
        <v>42.4670282899638</v>
      </c>
      <c r="O743">
        <v>41.5023551741967</v>
      </c>
      <c r="P743">
        <v>-0.09223205618797969</v>
      </c>
      <c r="Q743">
        <v>0.0627563487770887</v>
      </c>
      <c r="R743">
        <v>0.985072959044394</v>
      </c>
      <c r="S743" t="s">
        <v>2411</v>
      </c>
      <c r="T743" t="s">
        <v>3312</v>
      </c>
      <c r="U743" t="s">
        <v>3312</v>
      </c>
      <c r="V743" t="s">
        <v>3312</v>
      </c>
      <c r="W743" t="s">
        <v>4053</v>
      </c>
      <c r="X743">
        <v>1</v>
      </c>
      <c r="Y743" t="s">
        <v>5694</v>
      </c>
      <c r="Z743" t="s">
        <v>7336</v>
      </c>
      <c r="AA743">
        <v>0.2448255140156924</v>
      </c>
      <c r="AB743">
        <f>HYPERLINK("Melting_Curves/meltCurve_P0AEV1_rssB.pdf", "Melting_Curves/meltCurve_P0AEV1_rssB.pdf")</f>
        <v>0</v>
      </c>
    </row>
    <row r="744" spans="1:28">
      <c r="A744" t="s">
        <v>770</v>
      </c>
      <c r="B744">
        <v>0.999984544473304</v>
      </c>
      <c r="C744">
        <v>1.31815838052984</v>
      </c>
      <c r="D744">
        <v>0.939635408578849</v>
      </c>
      <c r="E744">
        <v>1.09622660922705</v>
      </c>
      <c r="F744">
        <v>1.12410333905733</v>
      </c>
      <c r="G744">
        <v>0.744363827543765</v>
      </c>
      <c r="H744">
        <v>0.739937577591807</v>
      </c>
      <c r="I744">
        <v>0.7255110931602941</v>
      </c>
      <c r="J744">
        <v>0.613305441164434</v>
      </c>
      <c r="K744">
        <v>0.78506391481139</v>
      </c>
      <c r="L744">
        <v>13331.8000080936</v>
      </c>
      <c r="M744">
        <v>250</v>
      </c>
      <c r="O744">
        <v>53.3237885493162</v>
      </c>
      <c r="P744">
        <v>-0.332925465474819</v>
      </c>
      <c r="Q744">
        <v>0.715954452233449</v>
      </c>
      <c r="R744">
        <v>0.676717785395106</v>
      </c>
      <c r="S744" t="s">
        <v>2412</v>
      </c>
      <c r="T744" t="s">
        <v>3312</v>
      </c>
      <c r="U744" t="s">
        <v>3312</v>
      </c>
      <c r="V744" t="s">
        <v>3312</v>
      </c>
      <c r="W744" t="s">
        <v>4054</v>
      </c>
      <c r="X744">
        <v>1</v>
      </c>
      <c r="Y744" t="s">
        <v>5695</v>
      </c>
      <c r="Z744" t="s">
        <v>7337</v>
      </c>
      <c r="AA744">
        <v>0.8705699848265197</v>
      </c>
      <c r="AB744">
        <f>HYPERLINK("Melting_Curves/meltCurve_P0AEV9_hycI.pdf", "Melting_Curves/meltCurve_P0AEV9_hycI.pdf")</f>
        <v>0</v>
      </c>
    </row>
    <row r="745" spans="1:28">
      <c r="A745" t="s">
        <v>771</v>
      </c>
      <c r="B745">
        <v>0.999984544473304</v>
      </c>
      <c r="C745">
        <v>0.858740524576645</v>
      </c>
      <c r="D745">
        <v>0.800969426065877</v>
      </c>
      <c r="E745">
        <v>0.750447972787272</v>
      </c>
      <c r="F745">
        <v>0.770159138425581</v>
      </c>
      <c r="G745">
        <v>0.712600668226326</v>
      </c>
      <c r="H745">
        <v>0.559359955882042</v>
      </c>
      <c r="I745">
        <v>0.584334521148676</v>
      </c>
      <c r="J745">
        <v>0.366856217346984</v>
      </c>
      <c r="K745">
        <v>0.370508675691578</v>
      </c>
      <c r="L745">
        <v>268.042802463849</v>
      </c>
      <c r="M745">
        <v>4.39089249252438</v>
      </c>
      <c r="N745">
        <v>61.0451759036057</v>
      </c>
      <c r="O745">
        <v>51.5312897334594</v>
      </c>
      <c r="P745">
        <v>-0.0215041730660786</v>
      </c>
      <c r="Q745">
        <v>0</v>
      </c>
      <c r="R745">
        <v>0.911772439890614</v>
      </c>
      <c r="S745" t="s">
        <v>2413</v>
      </c>
      <c r="T745" t="s">
        <v>3312</v>
      </c>
      <c r="U745" t="s">
        <v>3312</v>
      </c>
      <c r="V745" t="s">
        <v>3312</v>
      </c>
      <c r="W745" t="s">
        <v>4055</v>
      </c>
      <c r="X745">
        <v>5</v>
      </c>
      <c r="Y745" t="s">
        <v>5696</v>
      </c>
      <c r="Z745" t="s">
        <v>7338</v>
      </c>
      <c r="AA745">
        <v>0.6811080152056209</v>
      </c>
      <c r="AB745">
        <f>HYPERLINK("Melting_Curves/meltCurve_P0AEW4_cpdA.pdf", "Melting_Curves/meltCurve_P0AEW4_cpdA.pdf")</f>
        <v>0</v>
      </c>
    </row>
    <row r="746" spans="1:28">
      <c r="A746" t="s">
        <v>772</v>
      </c>
      <c r="B746">
        <v>0.999984544473304</v>
      </c>
      <c r="C746">
        <v>0.828670580714411</v>
      </c>
      <c r="D746">
        <v>0.730136229862694</v>
      </c>
      <c r="E746">
        <v>0.323404935151601</v>
      </c>
      <c r="F746">
        <v>0.188364742777691</v>
      </c>
      <c r="G746">
        <v>0.167133752889226</v>
      </c>
      <c r="H746">
        <v>0.125758759118522</v>
      </c>
      <c r="I746">
        <v>0.0862664069625472</v>
      </c>
      <c r="J746">
        <v>0.0286589479161674</v>
      </c>
      <c r="K746">
        <v>0.0102100547622743</v>
      </c>
      <c r="L746">
        <v>712.294079265371</v>
      </c>
      <c r="M746">
        <v>15.9405704475713</v>
      </c>
      <c r="N746">
        <v>45.0148851778151</v>
      </c>
      <c r="O746">
        <v>43.9988617361097</v>
      </c>
      <c r="P746">
        <v>-0.0855783189834792</v>
      </c>
      <c r="Q746">
        <v>0.0552286090462365</v>
      </c>
      <c r="R746">
        <v>0.984288581394291</v>
      </c>
      <c r="S746" t="s">
        <v>2414</v>
      </c>
      <c r="T746" t="s">
        <v>3312</v>
      </c>
      <c r="U746" t="s">
        <v>3312</v>
      </c>
      <c r="V746" t="s">
        <v>3312</v>
      </c>
      <c r="W746" t="s">
        <v>4056</v>
      </c>
      <c r="X746">
        <v>1</v>
      </c>
      <c r="Y746" t="s">
        <v>5697</v>
      </c>
      <c r="Z746" t="s">
        <v>7339</v>
      </c>
      <c r="AA746">
        <v>0.3173178018390116</v>
      </c>
      <c r="AB746">
        <f>HYPERLINK("Melting_Curves/meltCurve_P0AEX5_prkB.pdf", "Melting_Curves/meltCurve_P0AEX5_prkB.pdf")</f>
        <v>0</v>
      </c>
    </row>
    <row r="747" spans="1:28">
      <c r="A747" t="s">
        <v>773</v>
      </c>
      <c r="B747">
        <v>0.999984544473304</v>
      </c>
      <c r="C747">
        <v>0.88606028662528</v>
      </c>
      <c r="D747">
        <v>1.11338004551575</v>
      </c>
      <c r="E747">
        <v>0.944878786614937</v>
      </c>
      <c r="F747">
        <v>1.24120157184732</v>
      </c>
      <c r="G747">
        <v>1.07552847286034</v>
      </c>
      <c r="H747">
        <v>1.19297586758054</v>
      </c>
      <c r="I747">
        <v>0.808671879120979</v>
      </c>
      <c r="J747">
        <v>0.452578822329068</v>
      </c>
      <c r="K747">
        <v>0.267442856391521</v>
      </c>
      <c r="L747">
        <v>3086.46906618882</v>
      </c>
      <c r="M747">
        <v>49.2779814633161</v>
      </c>
      <c r="N747">
        <v>63.5222837403587</v>
      </c>
      <c r="O747">
        <v>62.5309489322025</v>
      </c>
      <c r="P747">
        <v>-0.147954969807887</v>
      </c>
      <c r="Q747">
        <v>0.249015012886455</v>
      </c>
      <c r="R747">
        <v>0.850010958200162</v>
      </c>
      <c r="S747" t="s">
        <v>2415</v>
      </c>
      <c r="T747" t="s">
        <v>3312</v>
      </c>
      <c r="U747" t="s">
        <v>3312</v>
      </c>
      <c r="V747" t="s">
        <v>3312</v>
      </c>
      <c r="W747" t="s">
        <v>4057</v>
      </c>
      <c r="X747">
        <v>16</v>
      </c>
      <c r="Y747" t="s">
        <v>5698</v>
      </c>
      <c r="Z747" t="s">
        <v>7340</v>
      </c>
      <c r="AA747">
        <v>0.8913327646157095</v>
      </c>
      <c r="AB747">
        <f>HYPERLINK("Melting_Curves/meltCurve_P0AEX9_malE.pdf", "Melting_Curves/meltCurve_P0AEX9_malE.pdf")</f>
        <v>0</v>
      </c>
    </row>
    <row r="748" spans="1:28">
      <c r="A748" t="s">
        <v>774</v>
      </c>
      <c r="B748">
        <v>0.999984544473304</v>
      </c>
      <c r="C748">
        <v>1.029878576166</v>
      </c>
      <c r="D748">
        <v>0.671777712316212</v>
      </c>
      <c r="E748">
        <v>0.482748423540296</v>
      </c>
      <c r="F748">
        <v>0.350998944082337</v>
      </c>
      <c r="G748">
        <v>0.442471049249699</v>
      </c>
      <c r="H748">
        <v>0.516031150018339</v>
      </c>
      <c r="I748">
        <v>0.571090995168909</v>
      </c>
      <c r="J748">
        <v>0.539142437163822</v>
      </c>
      <c r="K748">
        <v>0.558402425149192</v>
      </c>
      <c r="L748">
        <v>10723.5344266398</v>
      </c>
      <c r="M748">
        <v>250</v>
      </c>
      <c r="N748">
        <v>43.6793214411403</v>
      </c>
      <c r="O748">
        <v>42.8914028837418</v>
      </c>
      <c r="P748">
        <v>-0.736726771451051</v>
      </c>
      <c r="Q748">
        <v>0.494412203102148</v>
      </c>
      <c r="R748">
        <v>0.920342060130906</v>
      </c>
      <c r="S748" t="s">
        <v>2416</v>
      </c>
      <c r="T748" t="s">
        <v>3312</v>
      </c>
      <c r="U748" t="s">
        <v>3312</v>
      </c>
      <c r="V748" t="s">
        <v>3312</v>
      </c>
      <c r="W748" t="s">
        <v>4058</v>
      </c>
      <c r="X748">
        <v>1</v>
      </c>
      <c r="Y748" t="s">
        <v>5699</v>
      </c>
      <c r="Z748" t="s">
        <v>7341</v>
      </c>
      <c r="AA748">
        <v>0.5937837329378047</v>
      </c>
      <c r="AB748">
        <f>HYPERLINK("Melting_Curves/meltCurve_P0AEY1_marC.pdf", "Melting_Curves/meltCurve_P0AEY1_marC.pdf")</f>
        <v>0</v>
      </c>
    </row>
    <row r="749" spans="1:28">
      <c r="A749" t="s">
        <v>775</v>
      </c>
      <c r="B749">
        <v>0.999984544473304</v>
      </c>
      <c r="C749">
        <v>0.745388335509685</v>
      </c>
      <c r="D749">
        <v>0.767374427197007</v>
      </c>
      <c r="E749">
        <v>0.630775573587651</v>
      </c>
      <c r="F749">
        <v>0.426097142773446</v>
      </c>
      <c r="G749">
        <v>0.337308550207398</v>
      </c>
      <c r="H749">
        <v>0.282215326589278</v>
      </c>
      <c r="I749">
        <v>0.236152598599306</v>
      </c>
      <c r="J749">
        <v>0.203542320096896</v>
      </c>
      <c r="K749">
        <v>0.273425104901147</v>
      </c>
      <c r="L749">
        <v>443.254834449191</v>
      </c>
      <c r="M749">
        <v>9.553504223197789</v>
      </c>
      <c r="N749">
        <v>48.6238473830586</v>
      </c>
      <c r="O749">
        <v>44.5007406765747</v>
      </c>
      <c r="P749">
        <v>-0.0441868170946863</v>
      </c>
      <c r="Q749">
        <v>0.177178040258358</v>
      </c>
      <c r="R749">
        <v>0.963406047861403</v>
      </c>
      <c r="S749" t="s">
        <v>2417</v>
      </c>
      <c r="T749" t="s">
        <v>3312</v>
      </c>
      <c r="U749" t="s">
        <v>3312</v>
      </c>
      <c r="V749" t="s">
        <v>3312</v>
      </c>
      <c r="W749" t="s">
        <v>4059</v>
      </c>
      <c r="X749">
        <v>2</v>
      </c>
      <c r="Y749" t="s">
        <v>5700</v>
      </c>
      <c r="Z749" t="s">
        <v>7342</v>
      </c>
      <c r="AA749">
        <v>0.4744577064791949</v>
      </c>
      <c r="AB749">
        <f>HYPERLINK("Melting_Curves/meltCurve_P0AEY3_mazG.pdf", "Melting_Curves/meltCurve_P0AEY3_mazG.pdf")</f>
        <v>0</v>
      </c>
    </row>
    <row r="750" spans="1:28">
      <c r="A750" t="s">
        <v>776</v>
      </c>
      <c r="B750">
        <v>0.999984544473304</v>
      </c>
      <c r="C750">
        <v>0.808565542174695</v>
      </c>
      <c r="D750">
        <v>1.07255681484252</v>
      </c>
      <c r="E750">
        <v>1.06757185314582</v>
      </c>
      <c r="F750">
        <v>1.10986721252256</v>
      </c>
      <c r="G750">
        <v>0.89262736168334</v>
      </c>
      <c r="H750">
        <v>0.655149474309212</v>
      </c>
      <c r="I750">
        <v>0.5745305846566841</v>
      </c>
      <c r="J750">
        <v>0.442265071840241</v>
      </c>
      <c r="K750">
        <v>0.417818642611883</v>
      </c>
      <c r="L750">
        <v>1570.39130118518</v>
      </c>
      <c r="M750">
        <v>27.5711363133625</v>
      </c>
      <c r="N750">
        <v>61.4226107671453</v>
      </c>
      <c r="O750">
        <v>56.6606918668436</v>
      </c>
      <c r="P750">
        <v>-0.0690234554132174</v>
      </c>
      <c r="Q750">
        <v>0.432612275450847</v>
      </c>
      <c r="R750">
        <v>0.893367184198348</v>
      </c>
      <c r="S750" t="s">
        <v>2418</v>
      </c>
      <c r="T750" t="s">
        <v>3312</v>
      </c>
      <c r="U750" t="s">
        <v>3312</v>
      </c>
      <c r="V750" t="s">
        <v>3312</v>
      </c>
      <c r="W750" t="s">
        <v>4060</v>
      </c>
      <c r="X750">
        <v>3</v>
      </c>
      <c r="Y750" t="s">
        <v>5701</v>
      </c>
      <c r="Z750" t="s">
        <v>7343</v>
      </c>
      <c r="AA750">
        <v>0.813877547471657</v>
      </c>
      <c r="AB750">
        <f>HYPERLINK("Melting_Curves/meltCurve_P0AEY5_mdaB.pdf", "Melting_Curves/meltCurve_P0AEY5_mdaB.pdf")</f>
        <v>0</v>
      </c>
    </row>
    <row r="751" spans="1:28">
      <c r="A751" t="s">
        <v>777</v>
      </c>
      <c r="B751">
        <v>0.999984544473304</v>
      </c>
      <c r="C751">
        <v>0.816449834181468</v>
      </c>
      <c r="D751">
        <v>0.944244364826581</v>
      </c>
      <c r="E751">
        <v>0.743333678167179</v>
      </c>
      <c r="F751">
        <v>0.652483916467636</v>
      </c>
      <c r="G751">
        <v>0.403762371410187</v>
      </c>
      <c r="H751">
        <v>0.286806698096915</v>
      </c>
      <c r="I751">
        <v>0.174047943933801</v>
      </c>
      <c r="J751">
        <v>0.101852069033562</v>
      </c>
      <c r="K751">
        <v>0.0886627789058123</v>
      </c>
      <c r="L751">
        <v>535.139108455569</v>
      </c>
      <c r="M751">
        <v>10.2680165558114</v>
      </c>
      <c r="N751">
        <v>52.1170866248823</v>
      </c>
      <c r="O751">
        <v>50.2563875021856</v>
      </c>
      <c r="P751">
        <v>-0.0511006185045948</v>
      </c>
      <c r="Q751">
        <v>0</v>
      </c>
      <c r="R751">
        <v>0.975267523241709</v>
      </c>
      <c r="S751" t="s">
        <v>2419</v>
      </c>
      <c r="T751" t="s">
        <v>3312</v>
      </c>
      <c r="U751" t="s">
        <v>3312</v>
      </c>
      <c r="V751" t="s">
        <v>3312</v>
      </c>
      <c r="W751" t="s">
        <v>4061</v>
      </c>
      <c r="X751">
        <v>11</v>
      </c>
      <c r="Y751" t="s">
        <v>5702</v>
      </c>
      <c r="Z751" t="s">
        <v>7344</v>
      </c>
      <c r="AA751">
        <v>0.5297654826171644</v>
      </c>
      <c r="AB751">
        <f>HYPERLINK("Melting_Curves/meltCurve_P0AEZ3_minD.pdf", "Melting_Curves/meltCurve_P0AEZ3_minD.pdf")</f>
        <v>0</v>
      </c>
    </row>
    <row r="752" spans="1:28">
      <c r="A752" t="s">
        <v>778</v>
      </c>
      <c r="B752">
        <v>0.999984544473304</v>
      </c>
      <c r="C752">
        <v>0.970005708320095</v>
      </c>
      <c r="D752">
        <v>0.981740737491537</v>
      </c>
      <c r="E752">
        <v>0.962979123265323</v>
      </c>
      <c r="F752">
        <v>0.866059641207223</v>
      </c>
      <c r="G752">
        <v>0.762078398401175</v>
      </c>
      <c r="H752">
        <v>0.656559670770288</v>
      </c>
      <c r="I752">
        <v>0.618693890241184</v>
      </c>
      <c r="J752">
        <v>0.502147851755865</v>
      </c>
      <c r="K752">
        <v>0.458490163635515</v>
      </c>
      <c r="L752">
        <v>544.279178521904</v>
      </c>
      <c r="M752">
        <v>9.386550376087991</v>
      </c>
      <c r="N752">
        <v>64.81899050330129</v>
      </c>
      <c r="O752">
        <v>55.53583383007</v>
      </c>
      <c r="P752">
        <v>-0.0289983882862089</v>
      </c>
      <c r="Q752">
        <v>0.314144969613066</v>
      </c>
      <c r="R752">
        <v>0.991201439453992</v>
      </c>
      <c r="S752" t="s">
        <v>2420</v>
      </c>
      <c r="T752" t="s">
        <v>3312</v>
      </c>
      <c r="U752" t="s">
        <v>3312</v>
      </c>
      <c r="V752" t="s">
        <v>3312</v>
      </c>
      <c r="W752" t="s">
        <v>4062</v>
      </c>
      <c r="X752">
        <v>6</v>
      </c>
      <c r="Y752" t="s">
        <v>5703</v>
      </c>
      <c r="Z752" t="s">
        <v>7345</v>
      </c>
      <c r="AA752">
        <v>0.7859725160720927</v>
      </c>
      <c r="AB752">
        <f>HYPERLINK("Melting_Curves/meltCurve_P0AEZ9_moaB.pdf", "Melting_Curves/meltCurve_P0AEZ9_moaB.pdf")</f>
        <v>0</v>
      </c>
    </row>
    <row r="753" spans="1:28">
      <c r="A753" t="s">
        <v>779</v>
      </c>
      <c r="B753">
        <v>0.999984544473304</v>
      </c>
      <c r="C753">
        <v>0.882833624210913</v>
      </c>
      <c r="D753">
        <v>1.01001167333407</v>
      </c>
      <c r="E753">
        <v>1.10924796416012</v>
      </c>
      <c r="F753">
        <v>1.1551020229548</v>
      </c>
      <c r="G753">
        <v>1.01525806788572</v>
      </c>
      <c r="H753">
        <v>0.977633428546311</v>
      </c>
      <c r="I753">
        <v>0.922468873656624</v>
      </c>
      <c r="J753">
        <v>0.660886907220252</v>
      </c>
      <c r="K753">
        <v>0.549620353006616</v>
      </c>
      <c r="L753">
        <v>3174.74960343466</v>
      </c>
      <c r="M753">
        <v>50.4550218751628</v>
      </c>
      <c r="O753">
        <v>62.8237612704499</v>
      </c>
      <c r="P753">
        <v>-0.094733138063453</v>
      </c>
      <c r="Q753">
        <v>0.528174843889667</v>
      </c>
      <c r="R753">
        <v>0.843922139500335</v>
      </c>
      <c r="S753" t="s">
        <v>2421</v>
      </c>
      <c r="T753" t="s">
        <v>3312</v>
      </c>
      <c r="U753" t="s">
        <v>3312</v>
      </c>
      <c r="V753" t="s">
        <v>3312</v>
      </c>
      <c r="W753" t="s">
        <v>4063</v>
      </c>
      <c r="X753">
        <v>3</v>
      </c>
      <c r="Y753" t="s">
        <v>5704</v>
      </c>
      <c r="Z753" t="s">
        <v>7346</v>
      </c>
      <c r="AA753">
        <v>0.9361005528752303</v>
      </c>
      <c r="AB753">
        <f>HYPERLINK("Melting_Curves/meltCurve_P0AF03_mog.pdf", "Melting_Curves/meltCurve_P0AF03_mog.pdf")</f>
        <v>0</v>
      </c>
    </row>
    <row r="754" spans="1:28">
      <c r="A754" t="s">
        <v>780</v>
      </c>
      <c r="B754">
        <v>0.999984544473304</v>
      </c>
      <c r="C754">
        <v>0.909543843811032</v>
      </c>
      <c r="D754">
        <v>0.843402496526379</v>
      </c>
      <c r="E754">
        <v>0.409225532373548</v>
      </c>
      <c r="F754">
        <v>0.252158176617942</v>
      </c>
      <c r="G754">
        <v>0.0780979457571046</v>
      </c>
      <c r="H754">
        <v>0.0575533124107118</v>
      </c>
      <c r="I754">
        <v>0.026505523634183</v>
      </c>
      <c r="J754">
        <v>0.0257220775713588</v>
      </c>
      <c r="K754">
        <v>0.0281544948382059</v>
      </c>
      <c r="L754">
        <v>842.6757569928581</v>
      </c>
      <c r="M754">
        <v>18.2872723386049</v>
      </c>
      <c r="N754">
        <v>46.2094960349733</v>
      </c>
      <c r="O754">
        <v>45.5394930305192</v>
      </c>
      <c r="P754">
        <v>-0.0978874823290215</v>
      </c>
      <c r="Q754">
        <v>0.0249963310121945</v>
      </c>
      <c r="R754">
        <v>0.993409871782726</v>
      </c>
      <c r="S754" t="s">
        <v>2422</v>
      </c>
      <c r="T754" t="s">
        <v>3312</v>
      </c>
      <c r="U754" t="s">
        <v>3312</v>
      </c>
      <c r="V754" t="s">
        <v>3312</v>
      </c>
      <c r="W754" t="s">
        <v>4064</v>
      </c>
      <c r="X754">
        <v>4</v>
      </c>
      <c r="Y754" t="s">
        <v>5705</v>
      </c>
      <c r="Z754" t="s">
        <v>7347</v>
      </c>
      <c r="AA754">
        <v>0.3353525081747689</v>
      </c>
      <c r="AB754">
        <f>HYPERLINK("Melting_Curves/meltCurve_P0AF08_mrp.pdf", "Melting_Curves/meltCurve_P0AF08_mrp.pdf")</f>
        <v>0</v>
      </c>
    </row>
    <row r="755" spans="1:28">
      <c r="A755" t="s">
        <v>781</v>
      </c>
      <c r="B755">
        <v>0.999984544473304</v>
      </c>
      <c r="C755">
        <v>0.731372137214564</v>
      </c>
      <c r="D755">
        <v>1.31790070505894</v>
      </c>
      <c r="E755">
        <v>0.962579770908995</v>
      </c>
      <c r="F755">
        <v>1.01379479912292</v>
      </c>
      <c r="G755">
        <v>0.744394525025216</v>
      </c>
      <c r="H755">
        <v>0.188709068519579</v>
      </c>
      <c r="I755">
        <v>0.0331408284616264</v>
      </c>
      <c r="J755">
        <v>0.0126672075219701</v>
      </c>
      <c r="K755">
        <v>0.0164854884941006</v>
      </c>
      <c r="L755">
        <v>2263.81114206079</v>
      </c>
      <c r="M755">
        <v>40.9995544665953</v>
      </c>
      <c r="N755">
        <v>55.2526412297268</v>
      </c>
      <c r="O755">
        <v>55.0846425407016</v>
      </c>
      <c r="P755">
        <v>-0.183547029356973</v>
      </c>
      <c r="Q755">
        <v>0.0135890810303496</v>
      </c>
      <c r="R755">
        <v>0.9199145257426951</v>
      </c>
      <c r="S755" t="s">
        <v>2423</v>
      </c>
      <c r="T755" t="s">
        <v>3312</v>
      </c>
      <c r="U755" t="s">
        <v>3312</v>
      </c>
      <c r="V755" t="s">
        <v>3312</v>
      </c>
      <c r="W755" t="s">
        <v>4065</v>
      </c>
      <c r="X755">
        <v>1</v>
      </c>
      <c r="Y755" t="s">
        <v>5706</v>
      </c>
      <c r="Z755" t="s">
        <v>7348</v>
      </c>
      <c r="AA755">
        <v>0.6160532518945173</v>
      </c>
      <c r="AB755">
        <f>HYPERLINK("Melting_Curves/meltCurve_P0AF12_mtnN.pdf", "Melting_Curves/meltCurve_P0AF12_mtnN.pdf")</f>
        <v>0</v>
      </c>
    </row>
    <row r="756" spans="1:28">
      <c r="A756" t="s">
        <v>782</v>
      </c>
      <c r="B756">
        <v>0.999984544473304</v>
      </c>
      <c r="C756">
        <v>0.872416279557664</v>
      </c>
      <c r="D756">
        <v>0.707077923497054</v>
      </c>
      <c r="E756">
        <v>0.531388940169917</v>
      </c>
      <c r="F756">
        <v>0.37639187559857</v>
      </c>
      <c r="G756">
        <v>0.228567689363128</v>
      </c>
      <c r="H756">
        <v>0.15330276097991</v>
      </c>
      <c r="I756">
        <v>0.104753834842145</v>
      </c>
      <c r="J756">
        <v>0.0565426708596952</v>
      </c>
      <c r="K756">
        <v>0.06873580167807621</v>
      </c>
      <c r="L756">
        <v>493.002273426765</v>
      </c>
      <c r="M756">
        <v>10.4656206893563</v>
      </c>
      <c r="N756">
        <v>47.281767453079</v>
      </c>
      <c r="O756">
        <v>45.4843789938515</v>
      </c>
      <c r="P756">
        <v>-0.0564538430347009</v>
      </c>
      <c r="Q756">
        <v>0.0189901850970283</v>
      </c>
      <c r="R756">
        <v>0.995828832544119</v>
      </c>
      <c r="S756" t="s">
        <v>2424</v>
      </c>
      <c r="T756" t="s">
        <v>3312</v>
      </c>
      <c r="U756" t="s">
        <v>3312</v>
      </c>
      <c r="V756" t="s">
        <v>3312</v>
      </c>
      <c r="W756" t="s">
        <v>4066</v>
      </c>
      <c r="X756">
        <v>3</v>
      </c>
      <c r="Y756" t="s">
        <v>5707</v>
      </c>
      <c r="Z756" t="s">
        <v>7349</v>
      </c>
      <c r="AA756">
        <v>0.3888966858715609</v>
      </c>
      <c r="AB756">
        <f>HYPERLINK("Melting_Curves/meltCurve_P0AF18_nagA.pdf", "Melting_Curves/meltCurve_P0AF18_nagA.pdf")</f>
        <v>0</v>
      </c>
    </row>
    <row r="757" spans="1:28">
      <c r="A757" t="s">
        <v>783</v>
      </c>
      <c r="B757">
        <v>0.999984544473304</v>
      </c>
      <c r="C757">
        <v>0.895161018352285</v>
      </c>
      <c r="D757">
        <v>0.726289507645401</v>
      </c>
      <c r="E757">
        <v>0.211595326153629</v>
      </c>
      <c r="F757">
        <v>0.0788399216476996</v>
      </c>
      <c r="G757">
        <v>0.0372946522114289</v>
      </c>
      <c r="H757">
        <v>0.0283727144888676</v>
      </c>
      <c r="I757">
        <v>0.024732447014814</v>
      </c>
      <c r="J757">
        <v>0.0177449140011983</v>
      </c>
      <c r="K757">
        <v>0.0113853933750904</v>
      </c>
      <c r="L757">
        <v>1162.92950104555</v>
      </c>
      <c r="M757">
        <v>26.2347022490165</v>
      </c>
      <c r="N757">
        <v>44.4021677943871</v>
      </c>
      <c r="O757">
        <v>44.072752485346</v>
      </c>
      <c r="P757">
        <v>-0.145622166689429</v>
      </c>
      <c r="Q757">
        <v>0.0214642269870165</v>
      </c>
      <c r="R757">
        <v>0.996827377533011</v>
      </c>
      <c r="S757" t="s">
        <v>2425</v>
      </c>
      <c r="T757" t="s">
        <v>3312</v>
      </c>
      <c r="U757" t="s">
        <v>3312</v>
      </c>
      <c r="V757" t="s">
        <v>3312</v>
      </c>
      <c r="W757" t="s">
        <v>4067</v>
      </c>
      <c r="X757">
        <v>3</v>
      </c>
      <c r="Y757" t="s">
        <v>5708</v>
      </c>
      <c r="Z757" t="s">
        <v>7350</v>
      </c>
      <c r="AA757">
        <v>0.2677215763482723</v>
      </c>
      <c r="AB757">
        <f>HYPERLINK("Melting_Curves/meltCurve_P0AF20_nagC.pdf", "Melting_Curves/meltCurve_P0AF20_nagC.pdf")</f>
        <v>0</v>
      </c>
    </row>
    <row r="758" spans="1:28">
      <c r="A758" t="s">
        <v>784</v>
      </c>
      <c r="B758">
        <v>0.999984544473304</v>
      </c>
      <c r="C758">
        <v>0.9246018798643461</v>
      </c>
      <c r="D758">
        <v>0.497872188749465</v>
      </c>
      <c r="E758">
        <v>0.529878025702924</v>
      </c>
      <c r="F758">
        <v>0.363994107537117</v>
      </c>
      <c r="G758">
        <v>0.272015424740276</v>
      </c>
      <c r="H758">
        <v>0.231127491259989</v>
      </c>
      <c r="I758">
        <v>0.198420453724457</v>
      </c>
      <c r="J758">
        <v>0.14135860337238</v>
      </c>
      <c r="K758">
        <v>0.20588684491463</v>
      </c>
      <c r="L758">
        <v>558.769535036194</v>
      </c>
      <c r="M758">
        <v>12.6352865814009</v>
      </c>
      <c r="N758">
        <v>45.8501567065458</v>
      </c>
      <c r="O758">
        <v>43.159097843251</v>
      </c>
      <c r="P758">
        <v>-0.0599777653694913</v>
      </c>
      <c r="Q758">
        <v>0.180683245178391</v>
      </c>
      <c r="R758">
        <v>0.941769756680401</v>
      </c>
      <c r="S758" t="s">
        <v>2426</v>
      </c>
      <c r="T758" t="s">
        <v>3312</v>
      </c>
      <c r="U758" t="s">
        <v>3312</v>
      </c>
      <c r="V758" t="s">
        <v>3312</v>
      </c>
      <c r="W758" t="s">
        <v>4068</v>
      </c>
      <c r="X758">
        <v>1</v>
      </c>
      <c r="Y758" t="s">
        <v>5709</v>
      </c>
      <c r="Z758" t="s">
        <v>7351</v>
      </c>
      <c r="AA758">
        <v>0.4062639448323244</v>
      </c>
      <c r="AB758">
        <f>HYPERLINK("Melting_Curves/meltCurve_P0AF24_nagD.pdf", "Melting_Curves/meltCurve_P0AF24_nagD.pdf")</f>
        <v>0</v>
      </c>
    </row>
    <row r="759" spans="1:28">
      <c r="A759" t="s">
        <v>785</v>
      </c>
      <c r="B759">
        <v>0.999984544473304</v>
      </c>
      <c r="C759">
        <v>0.857963247028274</v>
      </c>
      <c r="D759">
        <v>1.03231409409989</v>
      </c>
      <c r="E759">
        <v>1.0224648169585</v>
      </c>
      <c r="F759">
        <v>1.25047909368948</v>
      </c>
      <c r="G759">
        <v>1.06489709416103</v>
      </c>
      <c r="H759">
        <v>1.109798968868</v>
      </c>
      <c r="I759">
        <v>0.883860117425908</v>
      </c>
      <c r="J759">
        <v>0.33225456844781</v>
      </c>
      <c r="K759">
        <v>0.0881976768151503</v>
      </c>
      <c r="L759">
        <v>3713.83920423842</v>
      </c>
      <c r="M759">
        <v>58.8457944478396</v>
      </c>
      <c r="N759">
        <v>63.2474778827206</v>
      </c>
      <c r="O759">
        <v>63.0386171234966</v>
      </c>
      <c r="P759">
        <v>-0.219495709560397</v>
      </c>
      <c r="Q759">
        <v>0.0594604118216737</v>
      </c>
      <c r="R759">
        <v>0.916001002928497</v>
      </c>
      <c r="S759" t="s">
        <v>2427</v>
      </c>
      <c r="T759" t="s">
        <v>3312</v>
      </c>
      <c r="U759" t="s">
        <v>3312</v>
      </c>
      <c r="V759" t="s">
        <v>3312</v>
      </c>
      <c r="W759" t="s">
        <v>4069</v>
      </c>
      <c r="X759">
        <v>7</v>
      </c>
      <c r="Y759" t="s">
        <v>5710</v>
      </c>
      <c r="Z759" t="s">
        <v>7352</v>
      </c>
      <c r="AA759">
        <v>0.8787013849315336</v>
      </c>
      <c r="AB759">
        <f>HYPERLINK("Melting_Curves/meltCurve_P0AF28_narL.pdf", "Melting_Curves/meltCurve_P0AF28_narL.pdf")</f>
        <v>0</v>
      </c>
    </row>
    <row r="760" spans="1:28">
      <c r="A760" t="s">
        <v>786</v>
      </c>
      <c r="B760">
        <v>0.999984544473304</v>
      </c>
      <c r="C760">
        <v>0.939637416747173</v>
      </c>
      <c r="D760">
        <v>0.633387899554547</v>
      </c>
      <c r="E760">
        <v>1.09442467733251</v>
      </c>
      <c r="F760">
        <v>0.944372907276406</v>
      </c>
      <c r="G760">
        <v>0.786048257040203</v>
      </c>
      <c r="H760">
        <v>0.546291569826249</v>
      </c>
      <c r="I760">
        <v>0.61688044685335</v>
      </c>
      <c r="J760">
        <v>0.359379247030297</v>
      </c>
      <c r="K760">
        <v>0.603721637000504</v>
      </c>
      <c r="L760">
        <v>1860.55485381944</v>
      </c>
      <c r="M760">
        <v>34.4383514293037</v>
      </c>
      <c r="O760">
        <v>53.8444963977324</v>
      </c>
      <c r="P760">
        <v>-0.0774148825603897</v>
      </c>
      <c r="Q760">
        <v>0.515848162459813</v>
      </c>
      <c r="R760">
        <v>0.622580560653658</v>
      </c>
      <c r="S760" t="s">
        <v>2428</v>
      </c>
      <c r="T760" t="s">
        <v>3312</v>
      </c>
      <c r="U760" t="s">
        <v>3312</v>
      </c>
      <c r="V760" t="s">
        <v>3312</v>
      </c>
      <c r="W760" t="s">
        <v>4070</v>
      </c>
      <c r="X760">
        <v>2</v>
      </c>
      <c r="Y760" t="s">
        <v>5711</v>
      </c>
      <c r="Z760" t="s">
        <v>7353</v>
      </c>
      <c r="AA760">
        <v>0.7930091489417053</v>
      </c>
      <c r="AB760">
        <f>HYPERLINK("Melting_Curves/meltCurve_P0AF36_zapB.pdf", "Melting_Curves/meltCurve_P0AF36_zapB.pdf")</f>
        <v>0</v>
      </c>
    </row>
    <row r="761" spans="1:28">
      <c r="A761" t="s">
        <v>787</v>
      </c>
      <c r="B761">
        <v>0.999984544473304</v>
      </c>
      <c r="C761">
        <v>0.905189699652852</v>
      </c>
      <c r="D761">
        <v>0.813552147082623</v>
      </c>
      <c r="E761">
        <v>0.624755618709399</v>
      </c>
      <c r="F761">
        <v>0.364988043898527</v>
      </c>
      <c r="G761">
        <v>0.19211269710543</v>
      </c>
      <c r="H761">
        <v>0.120581946815408</v>
      </c>
      <c r="I761">
        <v>0.0867366505002452</v>
      </c>
      <c r="J761">
        <v>0.06669358829599289</v>
      </c>
      <c r="K761">
        <v>0.0347304462052447</v>
      </c>
      <c r="L761">
        <v>627.288118102188</v>
      </c>
      <c r="M761">
        <v>13.0877507381469</v>
      </c>
      <c r="N761">
        <v>48.0842644451278</v>
      </c>
      <c r="O761">
        <v>46.8518416286258</v>
      </c>
      <c r="P761">
        <v>-0.06840650896276761</v>
      </c>
      <c r="Q761">
        <v>0.0206355529159032</v>
      </c>
      <c r="R761">
        <v>0.998034268098842</v>
      </c>
      <c r="S761" t="s">
        <v>2429</v>
      </c>
      <c r="T761" t="s">
        <v>3312</v>
      </c>
      <c r="U761" t="s">
        <v>3312</v>
      </c>
      <c r="V761" t="s">
        <v>3312</v>
      </c>
      <c r="W761" t="s">
        <v>4071</v>
      </c>
      <c r="X761">
        <v>2</v>
      </c>
      <c r="Y761" t="s">
        <v>5712</v>
      </c>
      <c r="Z761" t="s">
        <v>7354</v>
      </c>
      <c r="AA761">
        <v>0.4044037212509189</v>
      </c>
      <c r="AB761">
        <f>HYPERLINK("Melting_Curves/meltCurve_P0AF48_yjbQ.pdf", "Melting_Curves/meltCurve_P0AF48_yjbQ.pdf")</f>
        <v>0</v>
      </c>
    </row>
    <row r="762" spans="1:28">
      <c r="A762" t="s">
        <v>788</v>
      </c>
      <c r="B762">
        <v>0.999984544473304</v>
      </c>
      <c r="C762">
        <v>0.9864090740727079</v>
      </c>
      <c r="D762">
        <v>0.862150148755642</v>
      </c>
      <c r="E762">
        <v>1.03226242939365</v>
      </c>
      <c r="F762">
        <v>1.0393458011119</v>
      </c>
      <c r="G762">
        <v>0.887420104709384</v>
      </c>
      <c r="H762">
        <v>0.83602202338655</v>
      </c>
      <c r="I762">
        <v>0.799217323205561</v>
      </c>
      <c r="J762">
        <v>0.553434755648466</v>
      </c>
      <c r="K762">
        <v>0.669348375807466</v>
      </c>
      <c r="L762">
        <v>1044.95255091044</v>
      </c>
      <c r="M762">
        <v>17.690516635062</v>
      </c>
      <c r="O762">
        <v>58.329249712911</v>
      </c>
      <c r="P762">
        <v>-0.0324120785478581</v>
      </c>
      <c r="Q762">
        <v>0.572545701532193</v>
      </c>
      <c r="R762">
        <v>0.808706491376422</v>
      </c>
      <c r="S762" t="s">
        <v>2430</v>
      </c>
      <c r="T762" t="s">
        <v>3312</v>
      </c>
      <c r="U762" t="s">
        <v>3312</v>
      </c>
      <c r="V762" t="s">
        <v>3312</v>
      </c>
      <c r="W762" t="s">
        <v>4072</v>
      </c>
      <c r="X762">
        <v>4</v>
      </c>
      <c r="Y762" t="s">
        <v>5713</v>
      </c>
      <c r="Z762" t="s">
        <v>7355</v>
      </c>
      <c r="AA762">
        <v>0.8879705562886601</v>
      </c>
      <c r="AB762">
        <f>HYPERLINK("Melting_Curves/meltCurve_P0AF50_yjbR.pdf", "Melting_Curves/meltCurve_P0AF50_yjbR.pdf")</f>
        <v>0</v>
      </c>
    </row>
    <row r="763" spans="1:28">
      <c r="A763" t="s">
        <v>789</v>
      </c>
      <c r="B763">
        <v>0.999984544473304</v>
      </c>
      <c r="C763">
        <v>1.14909788872398</v>
      </c>
      <c r="D763">
        <v>0.9299669288915861</v>
      </c>
      <c r="E763">
        <v>0.96803991329021</v>
      </c>
      <c r="F763">
        <v>0.858176606832683</v>
      </c>
      <c r="G763">
        <v>0.685227244189469</v>
      </c>
      <c r="H763">
        <v>0.684083906610267</v>
      </c>
      <c r="I763">
        <v>0.5644169895272449</v>
      </c>
      <c r="J763">
        <v>0.460315283939977</v>
      </c>
      <c r="K763">
        <v>0.483742639268207</v>
      </c>
      <c r="L763">
        <v>677.732488527142</v>
      </c>
      <c r="M763">
        <v>12.3720949177411</v>
      </c>
      <c r="N763">
        <v>64.2042609756988</v>
      </c>
      <c r="O763">
        <v>53.4070085577842</v>
      </c>
      <c r="P763">
        <v>-0.0336738957648091</v>
      </c>
      <c r="Q763">
        <v>0.418679868660811</v>
      </c>
      <c r="R763">
        <v>0.929214649478618</v>
      </c>
      <c r="S763" t="s">
        <v>2431</v>
      </c>
      <c r="T763" t="s">
        <v>3312</v>
      </c>
      <c r="U763" t="s">
        <v>3312</v>
      </c>
      <c r="V763" t="s">
        <v>3312</v>
      </c>
      <c r="W763" t="s">
        <v>4073</v>
      </c>
      <c r="X763">
        <v>2</v>
      </c>
      <c r="Y763" t="s">
        <v>5714</v>
      </c>
      <c r="Z763" t="s">
        <v>7356</v>
      </c>
      <c r="AA763">
        <v>0.7719957708294114</v>
      </c>
      <c r="AB763">
        <f>HYPERLINK("Melting_Curves/meltCurve_P0AF54_yjcH.pdf", "Melting_Curves/meltCurve_P0AF54_yjcH.pdf")</f>
        <v>0</v>
      </c>
    </row>
    <row r="764" spans="1:28">
      <c r="A764" t="s">
        <v>790</v>
      </c>
      <c r="B764">
        <v>0.999984544473304</v>
      </c>
      <c r="C764">
        <v>0.91856237202054</v>
      </c>
      <c r="D764">
        <v>0.812486537449612</v>
      </c>
      <c r="E764">
        <v>1.11976916312404</v>
      </c>
      <c r="F764">
        <v>0.839402251461748</v>
      </c>
      <c r="G764">
        <v>0.821664005596339</v>
      </c>
      <c r="H764">
        <v>0.705450334147704</v>
      </c>
      <c r="I764">
        <v>0.532285923705887</v>
      </c>
      <c r="J764">
        <v>0.409575813983106</v>
      </c>
      <c r="K764">
        <v>0.524425582122799</v>
      </c>
      <c r="L764">
        <v>857.236007678365</v>
      </c>
      <c r="M764">
        <v>15.2112597508508</v>
      </c>
      <c r="N764">
        <v>63.4614602218169</v>
      </c>
      <c r="O764">
        <v>55.4082918862991</v>
      </c>
      <c r="P764">
        <v>-0.0405686630189889</v>
      </c>
      <c r="Q764">
        <v>0.408957470196472</v>
      </c>
      <c r="R764">
        <v>0.8249259329358229</v>
      </c>
      <c r="S764" t="s">
        <v>2432</v>
      </c>
      <c r="T764" t="s">
        <v>3312</v>
      </c>
      <c r="U764" t="s">
        <v>3312</v>
      </c>
      <c r="V764" t="s">
        <v>3312</v>
      </c>
      <c r="W764" t="s">
        <v>4074</v>
      </c>
      <c r="X764">
        <v>2</v>
      </c>
      <c r="Y764" t="s">
        <v>5715</v>
      </c>
      <c r="Z764" t="s">
        <v>7357</v>
      </c>
      <c r="AA764">
        <v>0.7964524216752129</v>
      </c>
      <c r="AB764">
        <f>HYPERLINK("Melting_Curves/meltCurve_P0AF59_yjdI.pdf", "Melting_Curves/meltCurve_P0AF59_yjdI.pdf")</f>
        <v>0</v>
      </c>
    </row>
    <row r="765" spans="1:28">
      <c r="A765" t="s">
        <v>791</v>
      </c>
      <c r="B765">
        <v>0.999984544473304</v>
      </c>
      <c r="C765">
        <v>1.09389731028973</v>
      </c>
      <c r="D765">
        <v>0.755948721898723</v>
      </c>
      <c r="E765">
        <v>0.596541109057164</v>
      </c>
      <c r="F765">
        <v>0.445844511997179</v>
      </c>
      <c r="G765">
        <v>0.223867471017645</v>
      </c>
      <c r="H765">
        <v>0.153401363046237</v>
      </c>
      <c r="I765">
        <v>0.112372710452827</v>
      </c>
      <c r="J765">
        <v>0.100005405911926</v>
      </c>
      <c r="K765">
        <v>0.0680599792431375</v>
      </c>
      <c r="L765">
        <v>649.780902885949</v>
      </c>
      <c r="M765">
        <v>13.5426231350288</v>
      </c>
      <c r="N765">
        <v>48.4554268799125</v>
      </c>
      <c r="O765">
        <v>46.9704950790733</v>
      </c>
      <c r="P765">
        <v>-0.0676101387932275</v>
      </c>
      <c r="Q765">
        <v>0.0621600207768829</v>
      </c>
      <c r="R765">
        <v>0.975201172598717</v>
      </c>
      <c r="S765" t="s">
        <v>2433</v>
      </c>
      <c r="T765" t="s">
        <v>3312</v>
      </c>
      <c r="U765" t="s">
        <v>3312</v>
      </c>
      <c r="V765" t="s">
        <v>3312</v>
      </c>
      <c r="W765" t="s">
        <v>4075</v>
      </c>
      <c r="X765">
        <v>2</v>
      </c>
      <c r="Y765" t="s">
        <v>5716</v>
      </c>
      <c r="Z765" t="s">
        <v>7358</v>
      </c>
      <c r="AA765">
        <v>0.4298532792994954</v>
      </c>
      <c r="AB765">
        <f>HYPERLINK("Melting_Curves/meltCurve_P0AF63_nsrR.pdf", "Melting_Curves/meltCurve_P0AF63_nsrR.pdf")</f>
        <v>0</v>
      </c>
    </row>
    <row r="766" spans="1:28">
      <c r="A766" t="s">
        <v>792</v>
      </c>
      <c r="B766">
        <v>0.999984544473304</v>
      </c>
      <c r="C766">
        <v>0.928950261887398</v>
      </c>
      <c r="D766">
        <v>0.7934761743276481</v>
      </c>
      <c r="E766">
        <v>0.90453326113399</v>
      </c>
      <c r="F766">
        <v>0.7753892128322249</v>
      </c>
      <c r="G766">
        <v>0.579820574254317</v>
      </c>
      <c r="H766">
        <v>0.481467988345193</v>
      </c>
      <c r="I766">
        <v>0.284455345761637</v>
      </c>
      <c r="J766">
        <v>0.157323383305619</v>
      </c>
      <c r="K766">
        <v>0.193520341201323</v>
      </c>
      <c r="L766">
        <v>524.761643625633</v>
      </c>
      <c r="M766">
        <v>9.414402862475409</v>
      </c>
      <c r="N766">
        <v>55.7402974766605</v>
      </c>
      <c r="O766">
        <v>53.398891593219</v>
      </c>
      <c r="P766">
        <v>-0.0441028134242686</v>
      </c>
      <c r="Q766">
        <v>0</v>
      </c>
      <c r="R766">
        <v>0.960432800758638</v>
      </c>
      <c r="S766" t="s">
        <v>2434</v>
      </c>
      <c r="T766" t="s">
        <v>3312</v>
      </c>
      <c r="U766" t="s">
        <v>3312</v>
      </c>
      <c r="V766" t="s">
        <v>3312</v>
      </c>
      <c r="W766" t="s">
        <v>4076</v>
      </c>
      <c r="X766">
        <v>1</v>
      </c>
      <c r="Y766" t="s">
        <v>5717</v>
      </c>
      <c r="Z766" t="s">
        <v>7359</v>
      </c>
      <c r="AA766">
        <v>0.6307949933025896</v>
      </c>
      <c r="AB766">
        <f>HYPERLINK("Melting_Curves/meltCurve_P0AF67_tsaE.pdf", "Melting_Curves/meltCurve_P0AF67_tsaE.pdf")</f>
        <v>0</v>
      </c>
    </row>
    <row r="767" spans="1:28">
      <c r="A767" t="s">
        <v>793</v>
      </c>
      <c r="B767">
        <v>0.999984544473304</v>
      </c>
      <c r="C767">
        <v>0.926582683700978</v>
      </c>
      <c r="D767">
        <v>0.942898177529776</v>
      </c>
      <c r="E767">
        <v>1.0272341069566</v>
      </c>
      <c r="F767">
        <v>1.06460074664371</v>
      </c>
      <c r="G767">
        <v>0.934605385240472</v>
      </c>
      <c r="H767">
        <v>0.857591139218905</v>
      </c>
      <c r="I767">
        <v>0.800618617874298</v>
      </c>
      <c r="J767">
        <v>0.607399364110449</v>
      </c>
      <c r="K767">
        <v>0.934972838479974</v>
      </c>
      <c r="L767">
        <v>2046.0271335795</v>
      </c>
      <c r="M767">
        <v>36.5982232912268</v>
      </c>
      <c r="O767">
        <v>55.7389715821672</v>
      </c>
      <c r="P767">
        <v>-0.0361232329179686</v>
      </c>
      <c r="Q767">
        <v>0.779938408884792</v>
      </c>
      <c r="R767">
        <v>0.551856202972858</v>
      </c>
      <c r="S767" t="s">
        <v>2435</v>
      </c>
      <c r="T767" t="s">
        <v>3312</v>
      </c>
      <c r="U767" t="s">
        <v>3312</v>
      </c>
      <c r="V767" t="s">
        <v>3312</v>
      </c>
      <c r="W767" t="s">
        <v>4077</v>
      </c>
      <c r="X767">
        <v>1</v>
      </c>
      <c r="Y767" t="s">
        <v>5718</v>
      </c>
      <c r="Z767" t="s">
        <v>7360</v>
      </c>
      <c r="AA767">
        <v>0.9195922209481636</v>
      </c>
      <c r="AB767">
        <f>HYPERLINK("Melting_Curves/meltCurve_P0AF90_rraB.pdf", "Melting_Curves/meltCurve_P0AF90_rraB.pdf")</f>
        <v>0</v>
      </c>
    </row>
    <row r="768" spans="1:28">
      <c r="A768" t="s">
        <v>794</v>
      </c>
      <c r="B768">
        <v>0.999984544473304</v>
      </c>
      <c r="C768">
        <v>0.919759277269571</v>
      </c>
      <c r="D768">
        <v>0.939148908580031</v>
      </c>
      <c r="E768">
        <v>1.17334849233415</v>
      </c>
      <c r="F768">
        <v>1.0161151225606</v>
      </c>
      <c r="G768">
        <v>0.928845635369132</v>
      </c>
      <c r="H768">
        <v>0.781371302742933</v>
      </c>
      <c r="I768">
        <v>0.782928547306149</v>
      </c>
      <c r="J768">
        <v>0.485500629086456</v>
      </c>
      <c r="K768">
        <v>0.717656127285497</v>
      </c>
      <c r="L768">
        <v>1454.16768012851</v>
      </c>
      <c r="M768">
        <v>25.3812645698122</v>
      </c>
      <c r="O768">
        <v>56.9408581539986</v>
      </c>
      <c r="P768">
        <v>-0.0421895211339555</v>
      </c>
      <c r="Q768">
        <v>0.62140942466431</v>
      </c>
      <c r="R768">
        <v>0.74309801320104</v>
      </c>
      <c r="S768" t="s">
        <v>2436</v>
      </c>
      <c r="T768" t="s">
        <v>3312</v>
      </c>
      <c r="U768" t="s">
        <v>3312</v>
      </c>
      <c r="V768" t="s">
        <v>3312</v>
      </c>
      <c r="W768" t="s">
        <v>4078</v>
      </c>
      <c r="X768">
        <v>5</v>
      </c>
      <c r="Y768" t="s">
        <v>5719</v>
      </c>
      <c r="Z768" t="s">
        <v>7361</v>
      </c>
      <c r="AA768">
        <v>0.8801970952151258</v>
      </c>
      <c r="AB768">
        <f>HYPERLINK("Melting_Curves/meltCurve_P0AF93_ridA.pdf", "Melting_Curves/meltCurve_P0AF93_ridA.pdf")</f>
        <v>0</v>
      </c>
    </row>
    <row r="769" spans="1:28">
      <c r="A769" t="s">
        <v>795</v>
      </c>
      <c r="B769">
        <v>0.999984544473304</v>
      </c>
      <c r="C769">
        <v>0.730507284987686</v>
      </c>
      <c r="D769">
        <v>0.645973207761111</v>
      </c>
      <c r="E769">
        <v>0.511382993799845</v>
      </c>
      <c r="F769">
        <v>0.483621780493775</v>
      </c>
      <c r="G769">
        <v>0.34321700954822</v>
      </c>
      <c r="H769">
        <v>0.34765499408242</v>
      </c>
      <c r="I769">
        <v>0.262928390341363</v>
      </c>
      <c r="J769">
        <v>0.194905583711101</v>
      </c>
      <c r="K769">
        <v>0.280915464873994</v>
      </c>
      <c r="L769">
        <v>402.995989293847</v>
      </c>
      <c r="M769">
        <v>9.04292837601634</v>
      </c>
      <c r="N769">
        <v>47.5139460196098</v>
      </c>
      <c r="O769">
        <v>42.5474003166029</v>
      </c>
      <c r="P769">
        <v>-0.0417527880742755</v>
      </c>
      <c r="Q769">
        <v>0.214764362019974</v>
      </c>
      <c r="R769">
        <v>0.950764728069068</v>
      </c>
      <c r="S769" t="s">
        <v>2437</v>
      </c>
      <c r="T769" t="s">
        <v>3312</v>
      </c>
      <c r="U769" t="s">
        <v>3312</v>
      </c>
      <c r="V769" t="s">
        <v>3312</v>
      </c>
      <c r="W769" t="s">
        <v>4079</v>
      </c>
      <c r="X769">
        <v>1</v>
      </c>
      <c r="Y769" t="s">
        <v>5720</v>
      </c>
      <c r="Z769" t="s">
        <v>7362</v>
      </c>
      <c r="AA769">
        <v>0.4597871559151022</v>
      </c>
      <c r="AB769">
        <f>HYPERLINK("Melting_Curves/meltCurve_P0AF98_lptF.pdf", "Melting_Curves/meltCurve_P0AF98_lptF.pdf")</f>
        <v>0</v>
      </c>
    </row>
    <row r="770" spans="1:28">
      <c r="A770" t="s">
        <v>796</v>
      </c>
      <c r="B770">
        <v>0.999984544473304</v>
      </c>
      <c r="C770">
        <v>1.25143453684127</v>
      </c>
      <c r="D770">
        <v>0.632399691041192</v>
      </c>
      <c r="E770">
        <v>0.415744887624056</v>
      </c>
      <c r="F770">
        <v>0.133278508517518</v>
      </c>
      <c r="G770">
        <v>0.0968398402720668</v>
      </c>
      <c r="H770">
        <v>0.0591867267980949</v>
      </c>
      <c r="I770">
        <v>0.0387595120979264</v>
      </c>
      <c r="J770">
        <v>0.0378098494472325</v>
      </c>
      <c r="K770">
        <v>0.0369692688071837</v>
      </c>
      <c r="L770">
        <v>1041.74329263458</v>
      </c>
      <c r="M770">
        <v>23.0762470815173</v>
      </c>
      <c r="N770">
        <v>45.3516676926293</v>
      </c>
      <c r="O770">
        <v>44.8086252338645</v>
      </c>
      <c r="P770">
        <v>-0.122282232876283</v>
      </c>
      <c r="Q770">
        <v>0.0502447458435491</v>
      </c>
      <c r="R770">
        <v>0.938625016878204</v>
      </c>
      <c r="S770" t="s">
        <v>2438</v>
      </c>
      <c r="T770" t="s">
        <v>3312</v>
      </c>
      <c r="U770" t="s">
        <v>3312</v>
      </c>
      <c r="V770" t="s">
        <v>3312</v>
      </c>
      <c r="W770" t="s">
        <v>4080</v>
      </c>
      <c r="X770">
        <v>1</v>
      </c>
      <c r="Y770" t="s">
        <v>5721</v>
      </c>
      <c r="Z770" t="s">
        <v>7363</v>
      </c>
      <c r="AA770">
        <v>0.3172868029721929</v>
      </c>
      <c r="AB770">
        <f>HYPERLINK("Melting_Curves/meltCurve_P0AFA7_nhaB.pdf", "Melting_Curves/meltCurve_P0AFA7_nhaB.pdf")</f>
        <v>0</v>
      </c>
    </row>
    <row r="771" spans="1:28">
      <c r="A771" t="s">
        <v>797</v>
      </c>
      <c r="B771">
        <v>0.999984544473304</v>
      </c>
      <c r="C771">
        <v>1.02289957401048</v>
      </c>
      <c r="D771">
        <v>0.9706569569097</v>
      </c>
      <c r="E771">
        <v>0.9143265973356181</v>
      </c>
      <c r="F771">
        <v>0.723745113691627</v>
      </c>
      <c r="G771">
        <v>0.697093257688449</v>
      </c>
      <c r="H771">
        <v>0.495508389277067</v>
      </c>
      <c r="I771">
        <v>0.625117082899291</v>
      </c>
      <c r="J771">
        <v>0.315855118659559</v>
      </c>
      <c r="K771">
        <v>0.339994313070487</v>
      </c>
      <c r="L771">
        <v>474.18204927037</v>
      </c>
      <c r="M771">
        <v>8.3313587578879</v>
      </c>
      <c r="N771">
        <v>59.6622036940526</v>
      </c>
      <c r="O771">
        <v>53.9192891357827</v>
      </c>
      <c r="P771">
        <v>-0.0325071695794848</v>
      </c>
      <c r="Q771">
        <v>0.159290895510149</v>
      </c>
      <c r="R771">
        <v>0.9285512372608909</v>
      </c>
      <c r="S771" t="s">
        <v>2439</v>
      </c>
      <c r="T771" t="s">
        <v>3312</v>
      </c>
      <c r="U771" t="s">
        <v>3312</v>
      </c>
      <c r="V771" t="s">
        <v>3312</v>
      </c>
      <c r="W771" t="s">
        <v>4081</v>
      </c>
      <c r="X771">
        <v>1</v>
      </c>
      <c r="Y771" t="s">
        <v>5722</v>
      </c>
      <c r="Z771" t="s">
        <v>7364</v>
      </c>
      <c r="AA771">
        <v>0.7106249415444814</v>
      </c>
      <c r="AB771">
        <f>HYPERLINK("Melting_Curves/meltCurve_P0AFB5_glnL.pdf", "Melting_Curves/meltCurve_P0AFB5_glnL.pdf")</f>
        <v>0</v>
      </c>
    </row>
    <row r="772" spans="1:28">
      <c r="A772" t="s">
        <v>798</v>
      </c>
      <c r="B772">
        <v>0.999984544473304</v>
      </c>
      <c r="C772">
        <v>0.738677179902311</v>
      </c>
      <c r="D772">
        <v>0.613412997256133</v>
      </c>
      <c r="E772">
        <v>0.396324235044365</v>
      </c>
      <c r="F772">
        <v>0.261221088029427</v>
      </c>
      <c r="G772">
        <v>0.137616396428849</v>
      </c>
      <c r="H772">
        <v>0.0866362754741011</v>
      </c>
      <c r="I772">
        <v>0.0680486242905293</v>
      </c>
      <c r="J772">
        <v>0.0449755271186578</v>
      </c>
      <c r="K772">
        <v>0.0455066656327843</v>
      </c>
      <c r="L772">
        <v>508.882325097194</v>
      </c>
      <c r="M772">
        <v>11.4049327227322</v>
      </c>
      <c r="N772">
        <v>44.7971439414629</v>
      </c>
      <c r="O772">
        <v>43.3137721172311</v>
      </c>
      <c r="P772">
        <v>-0.06439089373344969</v>
      </c>
      <c r="Q772">
        <v>0.0221093657616975</v>
      </c>
      <c r="R772">
        <v>0.988763142308584</v>
      </c>
      <c r="S772" t="s">
        <v>2440</v>
      </c>
      <c r="T772" t="s">
        <v>3312</v>
      </c>
      <c r="U772" t="s">
        <v>3312</v>
      </c>
      <c r="V772" t="s">
        <v>3312</v>
      </c>
      <c r="W772" t="s">
        <v>4082</v>
      </c>
      <c r="X772">
        <v>6</v>
      </c>
      <c r="Y772" t="s">
        <v>5723</v>
      </c>
      <c r="Z772" t="s">
        <v>7365</v>
      </c>
      <c r="AA772">
        <v>0.3103226422788227</v>
      </c>
      <c r="AB772">
        <f>HYPERLINK("Melting_Curves/meltCurve_P0AFC7_nuoB.pdf", "Melting_Curves/meltCurve_P0AFC7_nuoB.pdf")</f>
        <v>0</v>
      </c>
    </row>
    <row r="773" spans="1:28">
      <c r="A773" t="s">
        <v>799</v>
      </c>
      <c r="B773">
        <v>0.999984544473304</v>
      </c>
      <c r="C773">
        <v>0.994116241189977</v>
      </c>
      <c r="D773">
        <v>0.978691989099112</v>
      </c>
      <c r="E773">
        <v>1.02413522177919</v>
      </c>
      <c r="F773">
        <v>1.20388737297835</v>
      </c>
      <c r="G773">
        <v>1.02148005373493</v>
      </c>
      <c r="H773">
        <v>0.949726747011061</v>
      </c>
      <c r="I773">
        <v>1.0078023329738</v>
      </c>
      <c r="J773">
        <v>0.671771829901317</v>
      </c>
      <c r="K773">
        <v>0.910682912254452</v>
      </c>
      <c r="L773">
        <v>15000</v>
      </c>
      <c r="M773">
        <v>241.21899913226</v>
      </c>
      <c r="O773">
        <v>62.179882474096</v>
      </c>
      <c r="P773">
        <v>-0.202465498530606</v>
      </c>
      <c r="Q773">
        <v>0.791238984063713</v>
      </c>
      <c r="R773">
        <v>0.522953090936471</v>
      </c>
      <c r="S773" t="s">
        <v>2441</v>
      </c>
      <c r="T773" t="s">
        <v>3312</v>
      </c>
      <c r="U773" t="s">
        <v>3312</v>
      </c>
      <c r="V773" t="s">
        <v>3312</v>
      </c>
      <c r="W773" t="s">
        <v>4083</v>
      </c>
      <c r="X773">
        <v>2</v>
      </c>
      <c r="Y773" t="s">
        <v>5724</v>
      </c>
      <c r="Z773" t="s">
        <v>7366</v>
      </c>
      <c r="AA773">
        <v>0.9665124592587031</v>
      </c>
      <c r="AB773">
        <f>HYPERLINK("Melting_Curves/meltCurve_P0AFD1_nuoE.pdf", "Melting_Curves/meltCurve_P0AFD1_nuoE.pdf")</f>
        <v>0</v>
      </c>
    </row>
    <row r="774" spans="1:28">
      <c r="A774" t="s">
        <v>800</v>
      </c>
      <c r="B774">
        <v>0.999984544473304</v>
      </c>
      <c r="C774">
        <v>1.35519890446928</v>
      </c>
      <c r="D774">
        <v>0.417308118166784</v>
      </c>
      <c r="E774">
        <v>0.405466044874349</v>
      </c>
      <c r="F774">
        <v>0.174495313977789</v>
      </c>
      <c r="G774">
        <v>0.0903014182322443</v>
      </c>
      <c r="H774">
        <v>0.0691826177694842</v>
      </c>
      <c r="I774">
        <v>0.0404598716445484</v>
      </c>
      <c r="J774">
        <v>0.0267287518784818</v>
      </c>
      <c r="K774">
        <v>0.0238364510581308</v>
      </c>
      <c r="L774">
        <v>1244.68699138547</v>
      </c>
      <c r="M774">
        <v>28.5583255790666</v>
      </c>
      <c r="N774">
        <v>43.8704424859271</v>
      </c>
      <c r="O774">
        <v>43.3720053776117</v>
      </c>
      <c r="P774">
        <v>-0.15061395589653</v>
      </c>
      <c r="Q774">
        <v>0.08504753491318789</v>
      </c>
      <c r="R774">
        <v>0.85897717022396</v>
      </c>
      <c r="S774" t="s">
        <v>2442</v>
      </c>
      <c r="T774" t="s">
        <v>3312</v>
      </c>
      <c r="U774" t="s">
        <v>3312</v>
      </c>
      <c r="V774" t="s">
        <v>3312</v>
      </c>
      <c r="W774" t="s">
        <v>4084</v>
      </c>
      <c r="X774">
        <v>2</v>
      </c>
      <c r="Y774" t="s">
        <v>5725</v>
      </c>
      <c r="Z774" t="s">
        <v>7367</v>
      </c>
      <c r="AA774">
        <v>0.2914970587148932</v>
      </c>
      <c r="AB774">
        <f>HYPERLINK("Melting_Curves/meltCurve_P0AFD4_nuoH.pdf", "Melting_Curves/meltCurve_P0AFD4_nuoH.pdf")</f>
        <v>0</v>
      </c>
    </row>
    <row r="775" spans="1:28">
      <c r="A775" t="s">
        <v>801</v>
      </c>
      <c r="B775">
        <v>0.999984544473304</v>
      </c>
      <c r="C775">
        <v>0.717454962266676</v>
      </c>
      <c r="D775">
        <v>0.667017747534836</v>
      </c>
      <c r="E775">
        <v>0.389556069183077</v>
      </c>
      <c r="F775">
        <v>0.297053212184983</v>
      </c>
      <c r="G775">
        <v>0.142070886012929</v>
      </c>
      <c r="H775">
        <v>0.153927935583627</v>
      </c>
      <c r="I775">
        <v>0.08511860964819271</v>
      </c>
      <c r="J775">
        <v>0.0531353105984565</v>
      </c>
      <c r="K775">
        <v>0.10117749219122</v>
      </c>
      <c r="L775">
        <v>508.972311210386</v>
      </c>
      <c r="M775">
        <v>11.4140351168271</v>
      </c>
      <c r="N775">
        <v>45.0593879269083</v>
      </c>
      <c r="O775">
        <v>43.2888717663274</v>
      </c>
      <c r="P775">
        <v>-0.0622544351819035</v>
      </c>
      <c r="Q775">
        <v>0.0558516678407223</v>
      </c>
      <c r="R775">
        <v>0.977680848772054</v>
      </c>
      <c r="S775" t="s">
        <v>2443</v>
      </c>
      <c r="T775" t="s">
        <v>3312</v>
      </c>
      <c r="U775" t="s">
        <v>3312</v>
      </c>
      <c r="V775" t="s">
        <v>3312</v>
      </c>
      <c r="W775" t="s">
        <v>4085</v>
      </c>
      <c r="X775">
        <v>2</v>
      </c>
      <c r="Y775" t="s">
        <v>5726</v>
      </c>
      <c r="Z775" t="s">
        <v>7368</v>
      </c>
      <c r="AA775">
        <v>0.3332614180221429</v>
      </c>
      <c r="AB775">
        <f>HYPERLINK("Melting_Curves/meltCurve_P0AFD6_nuoI.pdf", "Melting_Curves/meltCurve_P0AFD6_nuoI.pdf")</f>
        <v>0</v>
      </c>
    </row>
    <row r="776" spans="1:28">
      <c r="A776" t="s">
        <v>802</v>
      </c>
      <c r="B776">
        <v>0.999984544473304</v>
      </c>
      <c r="C776">
        <v>1.17503676510903</v>
      </c>
      <c r="D776">
        <v>1.6439472238048</v>
      </c>
      <c r="E776">
        <v>2.19394888665868</v>
      </c>
      <c r="F776">
        <v>2.32590591567432</v>
      </c>
      <c r="G776">
        <v>2.45495491647212</v>
      </c>
      <c r="H776">
        <v>2.33937832413189</v>
      </c>
      <c r="I776">
        <v>2.32436507062602</v>
      </c>
      <c r="J776">
        <v>2.16701131445958</v>
      </c>
      <c r="K776">
        <v>2.34490316276499</v>
      </c>
      <c r="L776">
        <v>9999.686763506401</v>
      </c>
      <c r="M776">
        <v>250</v>
      </c>
      <c r="O776">
        <v>39.9961867596984</v>
      </c>
      <c r="P776">
        <v>0.7813244728640391</v>
      </c>
      <c r="Q776">
        <v>1.5</v>
      </c>
      <c r="R776">
        <v>-0.837083347955929</v>
      </c>
      <c r="S776" t="s">
        <v>2444</v>
      </c>
      <c r="T776" t="s">
        <v>3312</v>
      </c>
      <c r="U776" t="s">
        <v>3312</v>
      </c>
      <c r="V776" t="s">
        <v>3312</v>
      </c>
      <c r="W776" t="s">
        <v>4086</v>
      </c>
      <c r="X776">
        <v>1</v>
      </c>
      <c r="Y776" t="s">
        <v>5727</v>
      </c>
      <c r="Z776" t="s">
        <v>7369</v>
      </c>
      <c r="AA776">
        <v>1.449985783840032</v>
      </c>
      <c r="AB776">
        <f>HYPERLINK("Melting_Curves/meltCurve_P0AFE0_nuoJ.pdf", "Melting_Curves/meltCurve_P0AFE0_nuoJ.pdf")</f>
        <v>0</v>
      </c>
    </row>
    <row r="777" spans="1:28">
      <c r="A777" t="s">
        <v>803</v>
      </c>
      <c r="B777">
        <v>0.999984544473304</v>
      </c>
      <c r="C777">
        <v>1.33467814068979</v>
      </c>
      <c r="D777">
        <v>0.450240455765094</v>
      </c>
      <c r="E777">
        <v>0.689624765899484</v>
      </c>
      <c r="F777">
        <v>0.313084581789575</v>
      </c>
      <c r="G777">
        <v>0.165808152201823</v>
      </c>
      <c r="H777">
        <v>0.139685703121617</v>
      </c>
      <c r="I777">
        <v>0.0631202067600953</v>
      </c>
      <c r="J777">
        <v>0.0477737435258245</v>
      </c>
      <c r="K777">
        <v>0.0334997116529763</v>
      </c>
      <c r="L777">
        <v>659.823434249879</v>
      </c>
      <c r="M777">
        <v>13.9789794514881</v>
      </c>
      <c r="N777">
        <v>47.4231764733343</v>
      </c>
      <c r="O777">
        <v>46.2666473748263</v>
      </c>
      <c r="P777">
        <v>-0.07315163072112001</v>
      </c>
      <c r="Q777">
        <v>0.0316802979909681</v>
      </c>
      <c r="R777">
        <v>0.830932201228095</v>
      </c>
      <c r="S777" t="s">
        <v>2445</v>
      </c>
      <c r="T777" t="s">
        <v>3312</v>
      </c>
      <c r="U777" t="s">
        <v>3312</v>
      </c>
      <c r="V777" t="s">
        <v>3312</v>
      </c>
      <c r="W777" t="s">
        <v>4087</v>
      </c>
      <c r="X777">
        <v>2</v>
      </c>
      <c r="Y777" t="s">
        <v>5728</v>
      </c>
      <c r="Z777" t="s">
        <v>7370</v>
      </c>
      <c r="AA777">
        <v>0.385480542575407</v>
      </c>
      <c r="AB777">
        <f>HYPERLINK("Melting_Curves/meltCurve_P0AFE4_nuoK.pdf", "Melting_Curves/meltCurve_P0AFE4_nuoK.pdf")</f>
        <v>0</v>
      </c>
    </row>
    <row r="778" spans="1:28">
      <c r="A778" t="s">
        <v>804</v>
      </c>
      <c r="B778">
        <v>0.999984544473304</v>
      </c>
      <c r="C778">
        <v>1.37104471579921</v>
      </c>
      <c r="D778">
        <v>0.543733166220431</v>
      </c>
      <c r="E778">
        <v>0.32405540660053</v>
      </c>
      <c r="F778">
        <v>0.184822147232981</v>
      </c>
      <c r="G778">
        <v>0.160263289166462</v>
      </c>
      <c r="H778">
        <v>0.133453800732273</v>
      </c>
      <c r="I778">
        <v>0.103372374747249</v>
      </c>
      <c r="J778">
        <v>0.0684511729632334</v>
      </c>
      <c r="K778">
        <v>0.0693428150215436</v>
      </c>
      <c r="L778">
        <v>10743.7588424776</v>
      </c>
      <c r="M778">
        <v>250</v>
      </c>
      <c r="N778">
        <v>43.0360063498105</v>
      </c>
      <c r="O778">
        <v>42.9722852847994</v>
      </c>
      <c r="P778">
        <v>-1.23755823364297</v>
      </c>
      <c r="Q778">
        <v>0.149108714070546</v>
      </c>
      <c r="R778">
        <v>0.897922829360642</v>
      </c>
      <c r="S778" t="s">
        <v>2446</v>
      </c>
      <c r="T778" t="s">
        <v>3312</v>
      </c>
      <c r="U778" t="s">
        <v>3312</v>
      </c>
      <c r="V778" t="s">
        <v>3312</v>
      </c>
      <c r="W778" t="s">
        <v>4088</v>
      </c>
      <c r="X778">
        <v>1</v>
      </c>
      <c r="Y778" t="s">
        <v>5729</v>
      </c>
      <c r="Z778" t="s">
        <v>7371</v>
      </c>
      <c r="AA778">
        <v>0.3186430730448601</v>
      </c>
      <c r="AB778">
        <f>HYPERLINK("Melting_Curves/meltCurve_P0AFE8_nuoM.pdf", "Melting_Curves/meltCurve_P0AFE8_nuoM.pdf")</f>
        <v>0</v>
      </c>
    </row>
    <row r="779" spans="1:28">
      <c r="A779" t="s">
        <v>805</v>
      </c>
      <c r="B779">
        <v>0.999984544473304</v>
      </c>
      <c r="C779">
        <v>1.49431137955567</v>
      </c>
      <c r="D779">
        <v>0.959775700543687</v>
      </c>
      <c r="E779">
        <v>1.07090075936873</v>
      </c>
      <c r="F779">
        <v>0.649320242459211</v>
      </c>
      <c r="G779">
        <v>0.374167412622865</v>
      </c>
      <c r="H779">
        <v>0.178379084245829</v>
      </c>
      <c r="I779">
        <v>0.0911960482236357</v>
      </c>
      <c r="J779">
        <v>0.0706694358088135</v>
      </c>
      <c r="K779">
        <v>0.0656474489194869</v>
      </c>
      <c r="L779">
        <v>1273.98877967125</v>
      </c>
      <c r="M779">
        <v>24.5560110267875</v>
      </c>
      <c r="N779">
        <v>52.2209416598672</v>
      </c>
      <c r="O779">
        <v>51.5405374423867</v>
      </c>
      <c r="P779">
        <v>-0.110312135355019</v>
      </c>
      <c r="Q779">
        <v>0.0738781410221116</v>
      </c>
      <c r="R779">
        <v>0.88674969818173</v>
      </c>
      <c r="S779" t="s">
        <v>2447</v>
      </c>
      <c r="T779" t="s">
        <v>3312</v>
      </c>
      <c r="U779" t="s">
        <v>3312</v>
      </c>
      <c r="V779" t="s">
        <v>3312</v>
      </c>
      <c r="W779" t="s">
        <v>4089</v>
      </c>
      <c r="X779">
        <v>2</v>
      </c>
      <c r="Y779" t="s">
        <v>5730</v>
      </c>
      <c r="Z779" t="s">
        <v>7372</v>
      </c>
      <c r="AA779">
        <v>0.5417351651278065</v>
      </c>
      <c r="AB779">
        <f>HYPERLINK("Melting_Curves/meltCurve_P0AFF0_nuoN.pdf", "Melting_Curves/meltCurve_P0AFF0_nuoN.pdf")</f>
        <v>0</v>
      </c>
    </row>
    <row r="780" spans="1:28">
      <c r="A780" t="s">
        <v>806</v>
      </c>
      <c r="B780">
        <v>0.999984544473304</v>
      </c>
      <c r="C780">
        <v>1.30545378948785</v>
      </c>
      <c r="D780">
        <v>0.606845347810983</v>
      </c>
      <c r="E780">
        <v>0.366892024202689</v>
      </c>
      <c r="F780">
        <v>0.189263945310458</v>
      </c>
      <c r="G780">
        <v>0.0869802422225108</v>
      </c>
      <c r="H780">
        <v>0.113057663241114</v>
      </c>
      <c r="I780">
        <v>0.09714849832848289</v>
      </c>
      <c r="J780">
        <v>0.0951589536352492</v>
      </c>
      <c r="K780">
        <v>0.0315436033573857</v>
      </c>
      <c r="L780">
        <v>1187.77368711191</v>
      </c>
      <c r="M780">
        <v>26.6987733783553</v>
      </c>
      <c r="N780">
        <v>44.8504432456429</v>
      </c>
      <c r="O780">
        <v>44.2406168104891</v>
      </c>
      <c r="P780">
        <v>-0.136232293930087</v>
      </c>
      <c r="Q780">
        <v>0.09704642195508981</v>
      </c>
      <c r="R780">
        <v>0.915487167900668</v>
      </c>
      <c r="S780" t="s">
        <v>2448</v>
      </c>
      <c r="T780" t="s">
        <v>3312</v>
      </c>
      <c r="U780" t="s">
        <v>3312</v>
      </c>
      <c r="V780" t="s">
        <v>3312</v>
      </c>
      <c r="W780" t="s">
        <v>4090</v>
      </c>
      <c r="X780">
        <v>2</v>
      </c>
      <c r="Y780" t="s">
        <v>5731</v>
      </c>
      <c r="Z780" t="s">
        <v>7373</v>
      </c>
      <c r="AA780">
        <v>0.3288580276122323</v>
      </c>
      <c r="AB780">
        <f>HYPERLINK("Melting_Curves/meltCurve_P0AFF2_nupC.pdf", "Melting_Curves/meltCurve_P0AFF2_nupC.pdf")</f>
        <v>0</v>
      </c>
    </row>
    <row r="781" spans="1:28">
      <c r="A781" t="s">
        <v>807</v>
      </c>
      <c r="B781">
        <v>0.999984544473304</v>
      </c>
      <c r="C781">
        <v>1.13133689395243</v>
      </c>
      <c r="D781">
        <v>0.984535052852494</v>
      </c>
      <c r="E781">
        <v>0.891356650616643</v>
      </c>
      <c r="F781">
        <v>0.814523306632252</v>
      </c>
      <c r="G781">
        <v>0.5959257867969751</v>
      </c>
      <c r="H781">
        <v>0.672299782253263</v>
      </c>
      <c r="I781">
        <v>0.575571306332744</v>
      </c>
      <c r="J781">
        <v>0.631423848568102</v>
      </c>
      <c r="K781">
        <v>0.5312559329752879</v>
      </c>
      <c r="L781">
        <v>1041.35160867347</v>
      </c>
      <c r="M781">
        <v>20.8857251855434</v>
      </c>
      <c r="O781">
        <v>49.4091642761783</v>
      </c>
      <c r="P781">
        <v>-0.044079122736579</v>
      </c>
      <c r="Q781">
        <v>0.5829012538977471</v>
      </c>
      <c r="R781">
        <v>0.916716710493557</v>
      </c>
      <c r="S781" t="s">
        <v>2449</v>
      </c>
      <c r="T781" t="s">
        <v>3312</v>
      </c>
      <c r="U781" t="s">
        <v>3312</v>
      </c>
      <c r="V781" t="s">
        <v>3312</v>
      </c>
      <c r="W781" t="s">
        <v>4091</v>
      </c>
      <c r="X781">
        <v>13</v>
      </c>
      <c r="Y781" t="s">
        <v>5732</v>
      </c>
      <c r="Z781" t="s">
        <v>7374</v>
      </c>
      <c r="AA781">
        <v>0.7667774560310152</v>
      </c>
      <c r="AB781">
        <f>HYPERLINK("Melting_Curves/meltCurve_P0AFF6_nusA.pdf", "Melting_Curves/meltCurve_P0AFF6_nusA.pdf")</f>
        <v>0</v>
      </c>
    </row>
    <row r="782" spans="1:28">
      <c r="A782" t="s">
        <v>808</v>
      </c>
      <c r="B782">
        <v>0.999984544473304</v>
      </c>
      <c r="C782">
        <v>0.9802439208309019</v>
      </c>
      <c r="D782">
        <v>0.824963520449506</v>
      </c>
      <c r="E782">
        <v>0.91287525085942</v>
      </c>
      <c r="F782">
        <v>0.760865463446267</v>
      </c>
      <c r="G782">
        <v>0.428041439007541</v>
      </c>
      <c r="H782">
        <v>0.244855863755697</v>
      </c>
      <c r="I782">
        <v>0.154406929016232</v>
      </c>
      <c r="J782">
        <v>0.095962963843934</v>
      </c>
      <c r="K782">
        <v>0.0920992420209072</v>
      </c>
      <c r="L782">
        <v>846.201577699358</v>
      </c>
      <c r="M782">
        <v>16.022767743276</v>
      </c>
      <c r="N782">
        <v>53.1536948959098</v>
      </c>
      <c r="O782">
        <v>52.0103446843677</v>
      </c>
      <c r="P782">
        <v>-0.07325861509359199</v>
      </c>
      <c r="Q782">
        <v>0.0488762716040642</v>
      </c>
      <c r="R782">
        <v>0.9797794007066249</v>
      </c>
      <c r="S782" t="s">
        <v>2450</v>
      </c>
      <c r="T782" t="s">
        <v>3312</v>
      </c>
      <c r="U782" t="s">
        <v>3312</v>
      </c>
      <c r="V782" t="s">
        <v>3312</v>
      </c>
      <c r="W782" t="s">
        <v>4092</v>
      </c>
      <c r="X782">
        <v>5</v>
      </c>
      <c r="Y782" t="s">
        <v>5733</v>
      </c>
      <c r="Z782" t="s">
        <v>7375</v>
      </c>
      <c r="AA782">
        <v>0.5662636272870728</v>
      </c>
      <c r="AB782">
        <f>HYPERLINK("Melting_Curves/meltCurve_P0AFG0_nusG.pdf", "Melting_Curves/meltCurve_P0AFG0_nusG.pdf")</f>
        <v>0</v>
      </c>
    </row>
    <row r="783" spans="1:28">
      <c r="A783" t="s">
        <v>809</v>
      </c>
      <c r="B783">
        <v>0.999984544473304</v>
      </c>
      <c r="C783">
        <v>0.903033268480354</v>
      </c>
      <c r="D783">
        <v>0.0899626036034261</v>
      </c>
      <c r="E783">
        <v>0.0610545173583612</v>
      </c>
      <c r="F783">
        <v>0.0344520646427407</v>
      </c>
      <c r="G783">
        <v>0.0218657447498496</v>
      </c>
      <c r="H783">
        <v>0.0167395871569549</v>
      </c>
      <c r="I783">
        <v>0.0132954316316236</v>
      </c>
      <c r="J783">
        <v>0.0101807124664074</v>
      </c>
      <c r="K783">
        <v>0.0103111813867858</v>
      </c>
      <c r="L783">
        <v>2663.21308350071</v>
      </c>
      <c r="M783">
        <v>64.5453086329274</v>
      </c>
      <c r="N783">
        <v>41.2923487876712</v>
      </c>
      <c r="O783">
        <v>41.2215886872021</v>
      </c>
      <c r="P783">
        <v>-0.382134745565116</v>
      </c>
      <c r="Q783">
        <v>0.0238053467911223</v>
      </c>
      <c r="R783">
        <v>0.998540285684303</v>
      </c>
      <c r="S783" t="s">
        <v>2451</v>
      </c>
      <c r="T783" t="s">
        <v>3312</v>
      </c>
      <c r="U783" t="s">
        <v>3312</v>
      </c>
      <c r="V783" t="s">
        <v>3312</v>
      </c>
      <c r="W783" t="s">
        <v>4093</v>
      </c>
      <c r="X783">
        <v>13</v>
      </c>
      <c r="Y783" t="s">
        <v>5734</v>
      </c>
      <c r="Z783" t="s">
        <v>7376</v>
      </c>
      <c r="AA783">
        <v>0.1635355249360358</v>
      </c>
      <c r="AB783">
        <f>HYPERLINK("Melting_Curves/meltCurve_P0AFG3_sucA.pdf", "Melting_Curves/meltCurve_P0AFG3_sucA.pdf")</f>
        <v>0</v>
      </c>
    </row>
    <row r="784" spans="1:28">
      <c r="A784" t="s">
        <v>810</v>
      </c>
      <c r="B784">
        <v>0.999984544473304</v>
      </c>
      <c r="C784">
        <v>1.77950663901762</v>
      </c>
      <c r="D784">
        <v>1.80265781039684</v>
      </c>
      <c r="E784">
        <v>1.67273676115549</v>
      </c>
      <c r="F784">
        <v>1.21847604432339</v>
      </c>
      <c r="G784">
        <v>1.11941734932598</v>
      </c>
      <c r="H784">
        <v>0.568383294698961</v>
      </c>
      <c r="I784">
        <v>0.285640620892239</v>
      </c>
      <c r="J784">
        <v>0.146297544849453</v>
      </c>
      <c r="K784">
        <v>0.0932508610793209</v>
      </c>
      <c r="L784">
        <v>3394.47851997916</v>
      </c>
      <c r="M784">
        <v>59.0969542590435</v>
      </c>
      <c r="N784">
        <v>57.8228262685691</v>
      </c>
      <c r="O784">
        <v>57.3734755166223</v>
      </c>
      <c r="P784">
        <v>-0.215743877237356</v>
      </c>
      <c r="Q784">
        <v>0.162192193838556</v>
      </c>
      <c r="R784">
        <v>0.554109731571222</v>
      </c>
      <c r="S784" t="s">
        <v>2452</v>
      </c>
      <c r="T784" t="s">
        <v>3312</v>
      </c>
      <c r="U784" t="s">
        <v>3312</v>
      </c>
      <c r="V784" t="s">
        <v>3312</v>
      </c>
      <c r="W784" t="s">
        <v>4094</v>
      </c>
      <c r="X784">
        <v>16</v>
      </c>
      <c r="Y784" t="s">
        <v>5735</v>
      </c>
      <c r="Z784" t="s">
        <v>7377</v>
      </c>
      <c r="AA784">
        <v>0.7345034128508384</v>
      </c>
      <c r="AB784">
        <f>HYPERLINK("Melting_Curves/meltCurve_P0AFG6_sucB.pdf", "Melting_Curves/meltCurve_P0AFG6_sucB.pdf")</f>
        <v>0</v>
      </c>
    </row>
    <row r="785" spans="1:28">
      <c r="A785" t="s">
        <v>811</v>
      </c>
      <c r="B785">
        <v>0.999984544473304</v>
      </c>
      <c r="C785">
        <v>2.59559003107709</v>
      </c>
      <c r="D785">
        <v>1.49389902932066</v>
      </c>
      <c r="E785">
        <v>0.935425834034026</v>
      </c>
      <c r="F785">
        <v>0.142347476482965</v>
      </c>
      <c r="G785">
        <v>0.060775639947724</v>
      </c>
      <c r="H785">
        <v>0.0349901033477323</v>
      </c>
      <c r="I785">
        <v>0.022524586825212</v>
      </c>
      <c r="J785">
        <v>0.0154982802963049</v>
      </c>
      <c r="K785">
        <v>0.0166914934296463</v>
      </c>
      <c r="L785">
        <v>3081.6408579887</v>
      </c>
      <c r="M785">
        <v>63.420969628891</v>
      </c>
      <c r="N785">
        <v>48.6372097431567</v>
      </c>
      <c r="O785">
        <v>48.5420095190269</v>
      </c>
      <c r="P785">
        <v>-0.316929157775666</v>
      </c>
      <c r="Q785">
        <v>0.0296980182429692</v>
      </c>
      <c r="R785">
        <v>0.594193052501901</v>
      </c>
      <c r="S785" t="s">
        <v>2453</v>
      </c>
      <c r="T785" t="s">
        <v>3312</v>
      </c>
      <c r="U785" t="s">
        <v>3312</v>
      </c>
      <c r="V785" t="s">
        <v>3312</v>
      </c>
      <c r="W785" t="s">
        <v>4095</v>
      </c>
      <c r="X785">
        <v>27</v>
      </c>
      <c r="Y785" t="s">
        <v>5736</v>
      </c>
      <c r="Z785" t="s">
        <v>7378</v>
      </c>
      <c r="AA785">
        <v>0.4058560248147148</v>
      </c>
      <c r="AB785">
        <f>HYPERLINK("Melting_Curves/meltCurve_P0AFG8_aceE.pdf", "Melting_Curves/meltCurve_P0AFG8_aceE.pdf")</f>
        <v>0</v>
      </c>
    </row>
    <row r="786" spans="1:28">
      <c r="A786" t="s">
        <v>812</v>
      </c>
      <c r="B786">
        <v>0.999984544473304</v>
      </c>
      <c r="C786">
        <v>0.695121226266961</v>
      </c>
      <c r="D786">
        <v>0.352867435104939</v>
      </c>
      <c r="E786">
        <v>0.315456498624793</v>
      </c>
      <c r="F786">
        <v>0.218209812640052</v>
      </c>
      <c r="G786">
        <v>0.134552081206531</v>
      </c>
      <c r="H786">
        <v>0.131764931047875</v>
      </c>
      <c r="I786">
        <v>0.09146333131890109</v>
      </c>
      <c r="J786">
        <v>0.0745038774643193</v>
      </c>
      <c r="K786">
        <v>0.0654041837145409</v>
      </c>
      <c r="L786">
        <v>719.227046521891</v>
      </c>
      <c r="M786">
        <v>17.2971849080898</v>
      </c>
      <c r="N786">
        <v>42.1926979579118</v>
      </c>
      <c r="O786">
        <v>41.0367348306744</v>
      </c>
      <c r="P786">
        <v>-0.0936886669032463</v>
      </c>
      <c r="Q786">
        <v>0.110963505820665</v>
      </c>
      <c r="R786">
        <v>0.964008413688865</v>
      </c>
      <c r="S786" t="s">
        <v>2454</v>
      </c>
      <c r="T786" t="s">
        <v>3312</v>
      </c>
      <c r="U786" t="s">
        <v>3312</v>
      </c>
      <c r="V786" t="s">
        <v>3312</v>
      </c>
      <c r="W786" t="s">
        <v>4096</v>
      </c>
      <c r="X786">
        <v>4</v>
      </c>
      <c r="Y786" t="s">
        <v>5737</v>
      </c>
      <c r="Z786" t="s">
        <v>7379</v>
      </c>
      <c r="AA786">
        <v>0.2663221920850647</v>
      </c>
      <c r="AB786">
        <f>HYPERLINK("Melting_Curves/meltCurve_P0AFH2_oppB.pdf", "Melting_Curves/meltCurve_P0AFH2_oppB.pdf")</f>
        <v>0</v>
      </c>
    </row>
    <row r="787" spans="1:28">
      <c r="A787" t="s">
        <v>813</v>
      </c>
      <c r="B787">
        <v>0.999984544473304</v>
      </c>
      <c r="C787">
        <v>1.07661458582319</v>
      </c>
      <c r="D787">
        <v>1.05712096411943</v>
      </c>
      <c r="E787">
        <v>0.758026287100157</v>
      </c>
      <c r="F787">
        <v>0.549820237214524</v>
      </c>
      <c r="G787">
        <v>0.391503855573208</v>
      </c>
      <c r="H787">
        <v>0.262678842055276</v>
      </c>
      <c r="I787">
        <v>0.14125783952592</v>
      </c>
      <c r="J787">
        <v>0.068588356163701</v>
      </c>
      <c r="K787">
        <v>0.06345752526513181</v>
      </c>
      <c r="L787">
        <v>724.939966990815</v>
      </c>
      <c r="M787">
        <v>14.1416533157132</v>
      </c>
      <c r="N787">
        <v>51.5957343560423</v>
      </c>
      <c r="O787">
        <v>50.2703389975289</v>
      </c>
      <c r="P787">
        <v>-0.0672693603127119</v>
      </c>
      <c r="Q787">
        <v>0.0436129950414916</v>
      </c>
      <c r="R787">
        <v>0.9797063658666409</v>
      </c>
      <c r="S787" t="s">
        <v>2455</v>
      </c>
      <c r="T787" t="s">
        <v>3312</v>
      </c>
      <c r="U787" t="s">
        <v>3312</v>
      </c>
      <c r="V787" t="s">
        <v>3312</v>
      </c>
      <c r="W787" t="s">
        <v>4097</v>
      </c>
      <c r="X787">
        <v>3</v>
      </c>
      <c r="Y787" t="s">
        <v>5738</v>
      </c>
      <c r="Z787" t="s">
        <v>7380</v>
      </c>
      <c r="AA787">
        <v>0.5187574755366446</v>
      </c>
      <c r="AB787">
        <f>HYPERLINK("Melting_Curves/meltCurve_P0AFH6_oppC.pdf", "Melting_Curves/meltCurve_P0AFH6_oppC.pdf")</f>
        <v>0</v>
      </c>
    </row>
    <row r="788" spans="1:28">
      <c r="A788" t="s">
        <v>814</v>
      </c>
      <c r="B788">
        <v>0.999984544473304</v>
      </c>
      <c r="C788">
        <v>0.929098965774049</v>
      </c>
      <c r="D788">
        <v>0.90674367964987</v>
      </c>
      <c r="E788">
        <v>0.978969688465037</v>
      </c>
      <c r="F788">
        <v>0.990051092131656</v>
      </c>
      <c r="G788">
        <v>0.843100971562838</v>
      </c>
      <c r="H788">
        <v>0.765562704625618</v>
      </c>
      <c r="I788">
        <v>0.718757511710955</v>
      </c>
      <c r="J788">
        <v>0.514889412495351</v>
      </c>
      <c r="K788">
        <v>0.718860462546021</v>
      </c>
      <c r="L788">
        <v>1123.66818410096</v>
      </c>
      <c r="M788">
        <v>20.258642562689</v>
      </c>
      <c r="O788">
        <v>54.9341456145448</v>
      </c>
      <c r="P788">
        <v>-0.0347202713769459</v>
      </c>
      <c r="Q788">
        <v>0.62341614359794</v>
      </c>
      <c r="R788">
        <v>0.810111883119498</v>
      </c>
      <c r="S788" t="s">
        <v>2456</v>
      </c>
      <c r="T788" t="s">
        <v>3312</v>
      </c>
      <c r="U788" t="s">
        <v>3312</v>
      </c>
      <c r="V788" t="s">
        <v>3312</v>
      </c>
      <c r="W788" t="s">
        <v>4098</v>
      </c>
      <c r="X788">
        <v>13</v>
      </c>
      <c r="Y788" t="s">
        <v>5739</v>
      </c>
      <c r="Z788" t="s">
        <v>7381</v>
      </c>
      <c r="AA788">
        <v>0.8592679061141983</v>
      </c>
      <c r="AB788">
        <f>HYPERLINK("Melting_Curves/meltCurve_P0AFH8_osmY.pdf", "Melting_Curves/meltCurve_P0AFH8_osmY.pdf")</f>
        <v>0</v>
      </c>
    </row>
    <row r="789" spans="1:28">
      <c r="A789" t="s">
        <v>815</v>
      </c>
      <c r="B789">
        <v>0.999984544473304</v>
      </c>
      <c r="C789">
        <v>1.19623585550721</v>
      </c>
      <c r="D789">
        <v>0.483864691656918</v>
      </c>
      <c r="E789">
        <v>0.196757173180691</v>
      </c>
      <c r="F789">
        <v>0.0839875052764894</v>
      </c>
      <c r="G789">
        <v>0.0627684246224658</v>
      </c>
      <c r="H789">
        <v>0.0402013868110247</v>
      </c>
      <c r="I789">
        <v>0.0306429608249066</v>
      </c>
      <c r="J789">
        <v>0.0239532431149198</v>
      </c>
      <c r="K789">
        <v>0.0236941046524188</v>
      </c>
      <c r="L789">
        <v>10740.9178455219</v>
      </c>
      <c r="M789">
        <v>250</v>
      </c>
      <c r="N789">
        <v>42.9880141136859</v>
      </c>
      <c r="O789">
        <v>42.9609222623583</v>
      </c>
      <c r="P789">
        <v>-1.3587920038389</v>
      </c>
      <c r="Q789">
        <v>0.06600068460783499</v>
      </c>
      <c r="R789">
        <v>0.964525537883316</v>
      </c>
      <c r="S789" t="s">
        <v>2457</v>
      </c>
      <c r="T789" t="s">
        <v>3312</v>
      </c>
      <c r="U789" t="s">
        <v>3312</v>
      </c>
      <c r="V789" t="s">
        <v>3312</v>
      </c>
      <c r="W789" t="s">
        <v>4099</v>
      </c>
      <c r="X789">
        <v>7</v>
      </c>
      <c r="Y789" t="s">
        <v>5740</v>
      </c>
      <c r="Z789" t="s">
        <v>7382</v>
      </c>
      <c r="AA789">
        <v>0.2517399416293594</v>
      </c>
      <c r="AB789">
        <f>HYPERLINK("Melting_Curves/meltCurve_P0AFI2_parC.pdf", "Melting_Curves/meltCurve_P0AFI2_parC.pdf")</f>
        <v>0</v>
      </c>
    </row>
    <row r="790" spans="1:28">
      <c r="A790" t="s">
        <v>816</v>
      </c>
      <c r="B790">
        <v>0.999984544473304</v>
      </c>
      <c r="C790">
        <v>0.8884417012621481</v>
      </c>
      <c r="D790">
        <v>0.807291046441259</v>
      </c>
      <c r="E790">
        <v>0.986356406716278</v>
      </c>
      <c r="F790">
        <v>0.818922923387887</v>
      </c>
      <c r="G790">
        <v>0.613359441056334</v>
      </c>
      <c r="H790">
        <v>0.35040922241634</v>
      </c>
      <c r="I790">
        <v>0.153461273274098</v>
      </c>
      <c r="J790">
        <v>0.072249431107776</v>
      </c>
      <c r="K790">
        <v>0.0849702724806366</v>
      </c>
      <c r="L790">
        <v>877.859119075463</v>
      </c>
      <c r="M790">
        <v>15.9306614204517</v>
      </c>
      <c r="N790">
        <v>55.1050022017234</v>
      </c>
      <c r="O790">
        <v>54.2586206263536</v>
      </c>
      <c r="P790">
        <v>-0.0734073784955195</v>
      </c>
      <c r="Q790">
        <v>0</v>
      </c>
      <c r="R790">
        <v>0.96205328693856</v>
      </c>
      <c r="S790" t="s">
        <v>2458</v>
      </c>
      <c r="T790" t="s">
        <v>3312</v>
      </c>
      <c r="U790" t="s">
        <v>3312</v>
      </c>
      <c r="V790" t="s">
        <v>3312</v>
      </c>
      <c r="W790" t="s">
        <v>4100</v>
      </c>
      <c r="X790">
        <v>5</v>
      </c>
      <c r="Y790" t="s">
        <v>5741</v>
      </c>
      <c r="Z790" t="s">
        <v>7383</v>
      </c>
      <c r="AA790">
        <v>0.6169965138658109</v>
      </c>
      <c r="AB790">
        <f>HYPERLINK("Melting_Curves/meltCurve_P0AFI7_pdxH.pdf", "Melting_Curves/meltCurve_P0AFI7_pdxH.pdf")</f>
        <v>0</v>
      </c>
    </row>
    <row r="791" spans="1:28">
      <c r="A791" t="s">
        <v>817</v>
      </c>
      <c r="B791">
        <v>0.999984544473304</v>
      </c>
      <c r="C791">
        <v>1.69865610044133</v>
      </c>
      <c r="D791">
        <v>0.888498920579719</v>
      </c>
      <c r="E791">
        <v>0.943670093957774</v>
      </c>
      <c r="F791">
        <v>0.69448065902698</v>
      </c>
      <c r="G791">
        <v>0.433421955183708</v>
      </c>
      <c r="H791">
        <v>0.318782354502652</v>
      </c>
      <c r="I791">
        <v>0.292677317771766</v>
      </c>
      <c r="J791">
        <v>0.239743869346317</v>
      </c>
      <c r="K791">
        <v>0.232917490432394</v>
      </c>
      <c r="L791">
        <v>1170.78896916842</v>
      </c>
      <c r="M791">
        <v>22.8843657182271</v>
      </c>
      <c r="N791">
        <v>52.7438555982213</v>
      </c>
      <c r="O791">
        <v>50.7752171642806</v>
      </c>
      <c r="P791">
        <v>-0.0846891648155481</v>
      </c>
      <c r="Q791">
        <v>0.248390167560595</v>
      </c>
      <c r="R791">
        <v>0.747497233134814</v>
      </c>
      <c r="S791" t="s">
        <v>2459</v>
      </c>
      <c r="T791" t="s">
        <v>3312</v>
      </c>
      <c r="U791" t="s">
        <v>3312</v>
      </c>
      <c r="V791" t="s">
        <v>3312</v>
      </c>
      <c r="W791" t="s">
        <v>4101</v>
      </c>
      <c r="X791">
        <v>1</v>
      </c>
      <c r="Y791" t="s">
        <v>5742</v>
      </c>
      <c r="Z791" t="s">
        <v>7384</v>
      </c>
      <c r="AA791">
        <v>0.6109714737738223</v>
      </c>
      <c r="AB791">
        <f>HYPERLINK("Melting_Curves/meltCurve_P0AFI9_perM.pdf", "Melting_Curves/meltCurve_P0AFI9_perM.pdf")</f>
        <v>0</v>
      </c>
    </row>
    <row r="792" spans="1:28">
      <c r="A792" t="s">
        <v>818</v>
      </c>
      <c r="B792">
        <v>0.999984544473304</v>
      </c>
      <c r="C792">
        <v>1.14424676884279</v>
      </c>
      <c r="D792">
        <v>0.735618750662728</v>
      </c>
      <c r="E792">
        <v>1.13436283972439</v>
      </c>
      <c r="F792">
        <v>1.17643279692974</v>
      </c>
      <c r="G792">
        <v>0.906044076017493</v>
      </c>
      <c r="H792">
        <v>0.885029241930782</v>
      </c>
      <c r="I792">
        <v>0.83660350960979</v>
      </c>
      <c r="J792">
        <v>0.509083255943784</v>
      </c>
      <c r="K792">
        <v>0.701413048010003</v>
      </c>
      <c r="L792">
        <v>1677.42284906949</v>
      </c>
      <c r="M792">
        <v>27.9708529240125</v>
      </c>
      <c r="O792">
        <v>59.6663689076935</v>
      </c>
      <c r="P792">
        <v>-0.0472461798872221</v>
      </c>
      <c r="Q792">
        <v>0.5968684244067189</v>
      </c>
      <c r="R792">
        <v>0.569835989616449</v>
      </c>
      <c r="S792" t="s">
        <v>2460</v>
      </c>
      <c r="T792" t="s">
        <v>3312</v>
      </c>
      <c r="U792" t="s">
        <v>3312</v>
      </c>
      <c r="V792" t="s">
        <v>3312</v>
      </c>
      <c r="W792" t="s">
        <v>4102</v>
      </c>
      <c r="X792">
        <v>4</v>
      </c>
      <c r="Y792" t="s">
        <v>5743</v>
      </c>
      <c r="Z792" t="s">
        <v>7385</v>
      </c>
      <c r="AA792">
        <v>0.9069543905824858</v>
      </c>
      <c r="AB792">
        <f>HYPERLINK("Melting_Curves/meltCurve_P0AFJ1_phnA.pdf", "Melting_Curves/meltCurve_P0AFJ1_phnA.pdf")</f>
        <v>0</v>
      </c>
    </row>
    <row r="793" spans="1:28">
      <c r="A793" t="s">
        <v>819</v>
      </c>
      <c r="B793">
        <v>0.999984544473304</v>
      </c>
      <c r="C793">
        <v>1.14577624615206</v>
      </c>
      <c r="D793">
        <v>0.338853235091275</v>
      </c>
      <c r="E793">
        <v>0.792332364264575</v>
      </c>
      <c r="F793">
        <v>0.282661618687369</v>
      </c>
      <c r="G793">
        <v>0.132784076369801</v>
      </c>
      <c r="H793">
        <v>0.09819279625796801</v>
      </c>
      <c r="I793">
        <v>0.0310451215006122</v>
      </c>
      <c r="J793">
        <v>0.0226405388674595</v>
      </c>
      <c r="K793">
        <v>0.042349162810488</v>
      </c>
      <c r="L793">
        <v>559.969217879021</v>
      </c>
      <c r="M793">
        <v>11.927631587193</v>
      </c>
      <c r="N793">
        <v>46.9472260590959</v>
      </c>
      <c r="O793">
        <v>45.6859661421264</v>
      </c>
      <c r="P793">
        <v>-0.06528578553611319</v>
      </c>
      <c r="Q793">
        <v>0</v>
      </c>
      <c r="R793">
        <v>0.811357838211189</v>
      </c>
      <c r="S793" t="s">
        <v>2461</v>
      </c>
      <c r="T793" t="s">
        <v>3312</v>
      </c>
      <c r="U793" t="s">
        <v>3312</v>
      </c>
      <c r="V793" t="s">
        <v>3312</v>
      </c>
      <c r="W793" t="s">
        <v>4103</v>
      </c>
      <c r="X793">
        <v>1</v>
      </c>
      <c r="Y793" t="s">
        <v>5744</v>
      </c>
      <c r="Z793" t="s">
        <v>7386</v>
      </c>
      <c r="AA793">
        <v>0.3648357737814379</v>
      </c>
      <c r="AB793">
        <f>HYPERLINK("Melting_Curves/meltCurve_P0AFJ5_phoB.pdf", "Melting_Curves/meltCurve_P0AFJ5_phoB.pdf")</f>
        <v>0</v>
      </c>
    </row>
    <row r="794" spans="1:28">
      <c r="A794" t="s">
        <v>820</v>
      </c>
      <c r="B794">
        <v>0.999984544473304</v>
      </c>
      <c r="C794">
        <v>1.19032100952586</v>
      </c>
      <c r="D794">
        <v>0.473145661071936</v>
      </c>
      <c r="E794">
        <v>0.331448073403506</v>
      </c>
      <c r="F794">
        <v>0.126283749541846</v>
      </c>
      <c r="G794">
        <v>0.0501487041449557</v>
      </c>
      <c r="H794">
        <v>0.0269123813475119</v>
      </c>
      <c r="I794">
        <v>0.0305224722610772</v>
      </c>
      <c r="J794">
        <v>0.0186488346253475</v>
      </c>
      <c r="K794">
        <v>0.0243946211826086</v>
      </c>
      <c r="L794">
        <v>1111.84443736919</v>
      </c>
      <c r="M794">
        <v>25.39804050103</v>
      </c>
      <c r="N794">
        <v>43.9482947628506</v>
      </c>
      <c r="O794">
        <v>43.5080942696868</v>
      </c>
      <c r="P794">
        <v>-0.139054595198425</v>
      </c>
      <c r="Q794">
        <v>0.0471825518466515</v>
      </c>
      <c r="R794">
        <v>0.933790615379929</v>
      </c>
      <c r="S794" t="s">
        <v>2462</v>
      </c>
      <c r="T794" t="s">
        <v>3312</v>
      </c>
      <c r="U794" t="s">
        <v>3312</v>
      </c>
      <c r="V794" t="s">
        <v>3312</v>
      </c>
      <c r="W794" t="s">
        <v>4104</v>
      </c>
      <c r="X794">
        <v>1</v>
      </c>
      <c r="Y794" t="s">
        <v>5745</v>
      </c>
      <c r="Z794" t="s">
        <v>7387</v>
      </c>
      <c r="AA794">
        <v>0.2699948149308634</v>
      </c>
      <c r="AB794">
        <f>HYPERLINK("Melting_Curves/meltCurve_P0AFJ7_pitA.pdf", "Melting_Curves/meltCurve_P0AFJ7_pitA.pdf")</f>
        <v>0</v>
      </c>
    </row>
    <row r="795" spans="1:28">
      <c r="A795" t="s">
        <v>821</v>
      </c>
      <c r="B795">
        <v>0.999984544473304</v>
      </c>
      <c r="C795">
        <v>1.04857930148252</v>
      </c>
      <c r="D795">
        <v>0.926132625919757</v>
      </c>
      <c r="E795">
        <v>0.890827514218903</v>
      </c>
      <c r="F795">
        <v>0.78277241336694</v>
      </c>
      <c r="G795">
        <v>0.675292875160331</v>
      </c>
      <c r="H795">
        <v>0.537838837428355</v>
      </c>
      <c r="I795">
        <v>0.399541879550408</v>
      </c>
      <c r="J795">
        <v>0.204504844809625</v>
      </c>
      <c r="K795">
        <v>0.131770590993801</v>
      </c>
      <c r="L795">
        <v>601.1685061418031</v>
      </c>
      <c r="M795">
        <v>10.4813152720701</v>
      </c>
      <c r="N795">
        <v>57.356208719399</v>
      </c>
      <c r="O795">
        <v>55.3863171919173</v>
      </c>
      <c r="P795">
        <v>-0.047329256519666</v>
      </c>
      <c r="Q795">
        <v>0</v>
      </c>
      <c r="R795">
        <v>0.9835353953285511</v>
      </c>
      <c r="S795" t="s">
        <v>2463</v>
      </c>
      <c r="T795" t="s">
        <v>3312</v>
      </c>
      <c r="U795" t="s">
        <v>3312</v>
      </c>
      <c r="V795" t="s">
        <v>3312</v>
      </c>
      <c r="W795" t="s">
        <v>4105</v>
      </c>
      <c r="X795">
        <v>14</v>
      </c>
      <c r="Y795" t="s">
        <v>5746</v>
      </c>
      <c r="Z795" t="s">
        <v>7388</v>
      </c>
      <c r="AA795">
        <v>0.6768647591899237</v>
      </c>
      <c r="AB795">
        <f>HYPERLINK("Melting_Curves/meltCurve_P0AFK0_pmbA.pdf", "Melting_Curves/meltCurve_P0AFK0_pmbA.pdf")</f>
        <v>0</v>
      </c>
    </row>
    <row r="796" spans="1:28">
      <c r="A796" t="s">
        <v>822</v>
      </c>
      <c r="B796">
        <v>0.999984544473304</v>
      </c>
      <c r="C796">
        <v>1.08846045409547</v>
      </c>
      <c r="D796">
        <v>0.657033469067951</v>
      </c>
      <c r="E796">
        <v>0.379825029017582</v>
      </c>
      <c r="F796">
        <v>0.403990216469605</v>
      </c>
      <c r="G796">
        <v>0.398069854250156</v>
      </c>
      <c r="H796">
        <v>0.373783096063597</v>
      </c>
      <c r="I796">
        <v>0.406688871366049</v>
      </c>
      <c r="J796">
        <v>0.377072554862677</v>
      </c>
      <c r="K796">
        <v>0.2734785763796</v>
      </c>
      <c r="L796">
        <v>10741.8514581616</v>
      </c>
      <c r="M796">
        <v>250</v>
      </c>
      <c r="N796">
        <v>43.2045891199385</v>
      </c>
      <c r="O796">
        <v>42.9646563669083</v>
      </c>
      <c r="P796">
        <v>-0.9116903534462381</v>
      </c>
      <c r="Q796">
        <v>0.373272599134165</v>
      </c>
      <c r="R796">
        <v>0.972017230772851</v>
      </c>
      <c r="S796" t="s">
        <v>2464</v>
      </c>
      <c r="T796" t="s">
        <v>3312</v>
      </c>
      <c r="U796" t="s">
        <v>3312</v>
      </c>
      <c r="V796" t="s">
        <v>3312</v>
      </c>
      <c r="W796" t="s">
        <v>4106</v>
      </c>
      <c r="X796">
        <v>1</v>
      </c>
      <c r="Y796" t="s">
        <v>5747</v>
      </c>
      <c r="Z796" t="s">
        <v>7389</v>
      </c>
      <c r="AA796">
        <v>0.4979844170946965</v>
      </c>
      <c r="AB796">
        <f>HYPERLINK("Melting_Curves/meltCurve_P0AFK2_pnuC.pdf", "Melting_Curves/meltCurve_P0AFK2_pnuC.pdf")</f>
        <v>0</v>
      </c>
    </row>
    <row r="797" spans="1:28">
      <c r="A797" t="s">
        <v>823</v>
      </c>
      <c r="B797">
        <v>0.999984544473304</v>
      </c>
      <c r="C797">
        <v>0.8775958421178151</v>
      </c>
      <c r="D797">
        <v>1.02204346306527</v>
      </c>
      <c r="E797">
        <v>0.943443299146265</v>
      </c>
      <c r="F797">
        <v>1.27092165128245</v>
      </c>
      <c r="G797">
        <v>1.07608244068547</v>
      </c>
      <c r="H797">
        <v>1.20977522830785</v>
      </c>
      <c r="I797">
        <v>1.22231857820323</v>
      </c>
      <c r="J797">
        <v>1.18161068300092</v>
      </c>
      <c r="K797">
        <v>0.887111288218663</v>
      </c>
      <c r="L797">
        <v>3913.13446057324</v>
      </c>
      <c r="M797">
        <v>81.30579903178651</v>
      </c>
      <c r="O797">
        <v>48.0995105492297</v>
      </c>
      <c r="P797">
        <v>0.0594311445472444</v>
      </c>
      <c r="Q797">
        <v>1.14063491634026</v>
      </c>
      <c r="R797">
        <v>0.368201942366967</v>
      </c>
      <c r="S797" t="s">
        <v>2465</v>
      </c>
      <c r="T797" t="s">
        <v>3312</v>
      </c>
      <c r="U797" t="s">
        <v>3312</v>
      </c>
      <c r="V797" t="s">
        <v>3312</v>
      </c>
      <c r="W797" t="s">
        <v>4107</v>
      </c>
      <c r="X797">
        <v>13</v>
      </c>
      <c r="Y797" t="s">
        <v>5748</v>
      </c>
      <c r="Z797" t="s">
        <v>7390</v>
      </c>
      <c r="AA797">
        <v>1.088353396961377</v>
      </c>
      <c r="AB797">
        <f>HYPERLINK("Melting_Curves/meltCurve_P0AFK9_potD.pdf", "Melting_Curves/meltCurve_P0AFK9_potD.pdf")</f>
        <v>0</v>
      </c>
    </row>
    <row r="798" spans="1:28">
      <c r="A798" t="s">
        <v>824</v>
      </c>
      <c r="B798">
        <v>0.999984544473304</v>
      </c>
      <c r="C798">
        <v>0.863695097622767</v>
      </c>
      <c r="D798">
        <v>1.04598335700356</v>
      </c>
      <c r="E798">
        <v>1.01485992995068</v>
      </c>
      <c r="F798">
        <v>1.19848498517667</v>
      </c>
      <c r="G798">
        <v>0.943932217645187</v>
      </c>
      <c r="H798">
        <v>1.08456197873411</v>
      </c>
      <c r="I798">
        <v>0.849257195312223</v>
      </c>
      <c r="J798">
        <v>0.875507367318708</v>
      </c>
      <c r="K798">
        <v>0.791266101337999</v>
      </c>
      <c r="L798">
        <v>15000</v>
      </c>
      <c r="M798">
        <v>248.152537320059</v>
      </c>
      <c r="O798">
        <v>60.4427644921099</v>
      </c>
      <c r="P798">
        <v>-0.171011997410261</v>
      </c>
      <c r="Q798">
        <v>0.833385735265484</v>
      </c>
      <c r="R798">
        <v>0.47536703255085</v>
      </c>
      <c r="S798" t="s">
        <v>2466</v>
      </c>
      <c r="T798" t="s">
        <v>3312</v>
      </c>
      <c r="U798" t="s">
        <v>3312</v>
      </c>
      <c r="V798" t="s">
        <v>3312</v>
      </c>
      <c r="W798" t="s">
        <v>4108</v>
      </c>
      <c r="X798">
        <v>3</v>
      </c>
      <c r="Y798" t="s">
        <v>5749</v>
      </c>
      <c r="Z798" t="s">
        <v>7391</v>
      </c>
      <c r="AA798">
        <v>0.9636221195258201</v>
      </c>
      <c r="AB798">
        <f>HYPERLINK("Melting_Curves/meltCurve_P0AFL3_ppiA.pdf", "Melting_Curves/meltCurve_P0AFL3_ppiA.pdf")</f>
        <v>0</v>
      </c>
    </row>
    <row r="799" spans="1:28">
      <c r="A799" t="s">
        <v>825</v>
      </c>
      <c r="B799">
        <v>0.999984544473304</v>
      </c>
      <c r="C799">
        <v>1.36146377701965</v>
      </c>
      <c r="D799">
        <v>1.18733542309195</v>
      </c>
      <c r="E799">
        <v>1.2191744849631</v>
      </c>
      <c r="F799">
        <v>1.57142466359672</v>
      </c>
      <c r="G799">
        <v>1.71626859258347</v>
      </c>
      <c r="H799">
        <v>1.24439585296125</v>
      </c>
      <c r="I799">
        <v>1.07455778844327</v>
      </c>
      <c r="J799">
        <v>0.855038525789282</v>
      </c>
      <c r="K799">
        <v>0.913667263384536</v>
      </c>
      <c r="L799">
        <v>15000</v>
      </c>
      <c r="M799">
        <v>239.491118511592</v>
      </c>
      <c r="O799">
        <v>62.6284353199679</v>
      </c>
      <c r="P799">
        <v>-0.110670542235285</v>
      </c>
      <c r="Q799">
        <v>0.884235825910516</v>
      </c>
      <c r="R799">
        <v>-0.629149485239027</v>
      </c>
      <c r="S799" t="s">
        <v>2467</v>
      </c>
      <c r="T799" t="s">
        <v>3312</v>
      </c>
      <c r="U799" t="s">
        <v>3312</v>
      </c>
      <c r="V799" t="s">
        <v>3312</v>
      </c>
      <c r="W799" t="s">
        <v>4109</v>
      </c>
      <c r="X799">
        <v>6</v>
      </c>
      <c r="Y799" t="s">
        <v>5750</v>
      </c>
      <c r="Z799" t="s">
        <v>7392</v>
      </c>
      <c r="AA799">
        <v>0.9831617001916064</v>
      </c>
      <c r="AB799">
        <f>HYPERLINK("Melting_Curves/meltCurve_P0AFM4_psiF.pdf", "Melting_Curves/meltCurve_P0AFM4_psiF.pdf")</f>
        <v>0</v>
      </c>
    </row>
    <row r="800" spans="1:28">
      <c r="A800" t="s">
        <v>826</v>
      </c>
      <c r="B800">
        <v>0.999984544473304</v>
      </c>
      <c r="C800">
        <v>0.971428660804757</v>
      </c>
      <c r="D800">
        <v>1.08570865211896</v>
      </c>
      <c r="E800">
        <v>0.945095566597014</v>
      </c>
      <c r="F800">
        <v>1.13373383750226</v>
      </c>
      <c r="G800">
        <v>0.887357126305212</v>
      </c>
      <c r="H800">
        <v>0.850404471331467</v>
      </c>
      <c r="I800">
        <v>0.626369472818229</v>
      </c>
      <c r="J800">
        <v>0.559466620091277</v>
      </c>
      <c r="K800">
        <v>0.491512607642528</v>
      </c>
      <c r="L800">
        <v>1387.61376591669</v>
      </c>
      <c r="M800">
        <v>23.4534952081275</v>
      </c>
      <c r="N800">
        <v>66.9493505403421</v>
      </c>
      <c r="O800">
        <v>58.7393849550588</v>
      </c>
      <c r="P800">
        <v>-0.0531753056713715</v>
      </c>
      <c r="Q800">
        <v>0.467298062020231</v>
      </c>
      <c r="R800">
        <v>0.917694945120242</v>
      </c>
      <c r="S800" t="s">
        <v>2468</v>
      </c>
      <c r="T800" t="s">
        <v>3312</v>
      </c>
      <c r="U800" t="s">
        <v>3312</v>
      </c>
      <c r="V800" t="s">
        <v>3312</v>
      </c>
      <c r="W800" t="s">
        <v>4110</v>
      </c>
      <c r="X800">
        <v>6</v>
      </c>
      <c r="Y800" t="s">
        <v>5751</v>
      </c>
      <c r="Z800" t="s">
        <v>7393</v>
      </c>
      <c r="AA800">
        <v>0.8633171109420377</v>
      </c>
      <c r="AB800">
        <f>HYPERLINK("Melting_Curves/meltCurve_P0AFM6_pspA.pdf", "Melting_Curves/meltCurve_P0AFM6_pspA.pdf")</f>
        <v>0</v>
      </c>
    </row>
    <row r="801" spans="1:28">
      <c r="A801" t="s">
        <v>827</v>
      </c>
      <c r="B801">
        <v>0.999984544473304</v>
      </c>
      <c r="C801">
        <v>0.9634094253232111</v>
      </c>
      <c r="D801">
        <v>0.815291634637675</v>
      </c>
      <c r="E801">
        <v>0.864438854664777</v>
      </c>
      <c r="F801">
        <v>0.805972500715931</v>
      </c>
      <c r="G801">
        <v>0.714120039178199</v>
      </c>
      <c r="H801">
        <v>0.643122146141124</v>
      </c>
      <c r="I801">
        <v>0.430488569139955</v>
      </c>
      <c r="J801">
        <v>0.353519326117411</v>
      </c>
      <c r="K801">
        <v>0.305480726528714</v>
      </c>
      <c r="L801">
        <v>412.898945798736</v>
      </c>
      <c r="M801">
        <v>6.91056045068417</v>
      </c>
      <c r="N801">
        <v>59.7489808355736</v>
      </c>
      <c r="O801">
        <v>55.347112936241</v>
      </c>
      <c r="P801">
        <v>-0.0312752969760605</v>
      </c>
      <c r="Q801">
        <v>0</v>
      </c>
      <c r="R801">
        <v>0.957111827497793</v>
      </c>
      <c r="S801" t="s">
        <v>2469</v>
      </c>
      <c r="T801" t="s">
        <v>3312</v>
      </c>
      <c r="U801" t="s">
        <v>3312</v>
      </c>
      <c r="V801" t="s">
        <v>3312</v>
      </c>
      <c r="W801" t="s">
        <v>4111</v>
      </c>
      <c r="X801">
        <v>2</v>
      </c>
      <c r="Y801" t="s">
        <v>5752</v>
      </c>
      <c r="Z801" t="s">
        <v>7394</v>
      </c>
      <c r="AA801">
        <v>0.7055165746221171</v>
      </c>
      <c r="AB801">
        <f>HYPERLINK("Melting_Curves/meltCurve_P0AFN2_pspC.pdf", "Melting_Curves/meltCurve_P0AFN2_pspC.pdf")</f>
        <v>0</v>
      </c>
    </row>
    <row r="802" spans="1:28">
      <c r="A802" t="s">
        <v>828</v>
      </c>
      <c r="B802">
        <v>0.999984544473304</v>
      </c>
      <c r="C802">
        <v>0.553859004350809</v>
      </c>
      <c r="D802">
        <v>0.437215188536026</v>
      </c>
      <c r="E802">
        <v>0.281498372888848</v>
      </c>
      <c r="F802">
        <v>0.232240859955762</v>
      </c>
      <c r="G802">
        <v>0.154924226588165</v>
      </c>
      <c r="H802">
        <v>0.178005744626506</v>
      </c>
      <c r="I802">
        <v>0.120746876789107</v>
      </c>
      <c r="J802">
        <v>0.0854689405891044</v>
      </c>
      <c r="K802">
        <v>0.07509717006497291</v>
      </c>
      <c r="L802">
        <v>622.6947967938301</v>
      </c>
      <c r="M802">
        <v>15.1195783943528</v>
      </c>
      <c r="N802">
        <v>41.9799106364219</v>
      </c>
      <c r="O802">
        <v>40.4843550398241</v>
      </c>
      <c r="P802">
        <v>-0.08174799293313111</v>
      </c>
      <c r="Q802">
        <v>0.124528111597908</v>
      </c>
      <c r="R802">
        <v>0.944880098471882</v>
      </c>
      <c r="S802" t="s">
        <v>2470</v>
      </c>
      <c r="T802" t="s">
        <v>3312</v>
      </c>
      <c r="U802" t="s">
        <v>3312</v>
      </c>
      <c r="V802" t="s">
        <v>3312</v>
      </c>
      <c r="W802" t="s">
        <v>4112</v>
      </c>
      <c r="X802">
        <v>2</v>
      </c>
      <c r="Y802" t="s">
        <v>5753</v>
      </c>
      <c r="Z802" t="s">
        <v>7395</v>
      </c>
      <c r="AA802">
        <v>0.273892943494166</v>
      </c>
      <c r="AB802">
        <f>HYPERLINK("Melting_Curves/meltCurve_P0AFP6_ybgI.pdf", "Melting_Curves/meltCurve_P0AFP6_ybgI.pdf")</f>
        <v>0</v>
      </c>
    </row>
    <row r="803" spans="1:28">
      <c r="A803" t="s">
        <v>829</v>
      </c>
      <c r="B803">
        <v>0.999984544473304</v>
      </c>
      <c r="C803">
        <v>0.96075718851271</v>
      </c>
      <c r="D803">
        <v>0.707227852463356</v>
      </c>
      <c r="E803">
        <v>0.741023410732128</v>
      </c>
      <c r="F803">
        <v>0.58974127195251</v>
      </c>
      <c r="G803">
        <v>0.422847462058369</v>
      </c>
      <c r="H803">
        <v>0.334898968924751</v>
      </c>
      <c r="I803">
        <v>0.266040230888924</v>
      </c>
      <c r="J803">
        <v>0.160759482176251</v>
      </c>
      <c r="K803">
        <v>0.136901985958432</v>
      </c>
      <c r="L803">
        <v>396.949584549885</v>
      </c>
      <c r="M803">
        <v>7.6464382058569</v>
      </c>
      <c r="N803">
        <v>51.9130049155879</v>
      </c>
      <c r="O803">
        <v>48.7197390018211</v>
      </c>
      <c r="P803">
        <v>-0.0392893691650684</v>
      </c>
      <c r="Q803">
        <v>0</v>
      </c>
      <c r="R803">
        <v>0.973934616255497</v>
      </c>
      <c r="S803" t="s">
        <v>2471</v>
      </c>
      <c r="T803" t="s">
        <v>3312</v>
      </c>
      <c r="U803" t="s">
        <v>3312</v>
      </c>
      <c r="V803" t="s">
        <v>3312</v>
      </c>
      <c r="W803" t="s">
        <v>4113</v>
      </c>
      <c r="X803">
        <v>5</v>
      </c>
      <c r="Y803" t="s">
        <v>5754</v>
      </c>
      <c r="Z803" t="s">
        <v>7396</v>
      </c>
      <c r="AA803">
        <v>0.5264017752202909</v>
      </c>
      <c r="AB803">
        <f>HYPERLINK("Melting_Curves/meltCurve_P0AFQ7_ycfH.pdf", "Melting_Curves/meltCurve_P0AFQ7_ycfH.pdf")</f>
        <v>0</v>
      </c>
    </row>
    <row r="804" spans="1:28">
      <c r="A804" t="s">
        <v>830</v>
      </c>
      <c r="B804">
        <v>0.999984544473304</v>
      </c>
      <c r="C804">
        <v>0.995512098101659</v>
      </c>
      <c r="D804">
        <v>0.6776922261930181</v>
      </c>
      <c r="E804">
        <v>0.6397648591841349</v>
      </c>
      <c r="F804">
        <v>0.487202309111349</v>
      </c>
      <c r="G804">
        <v>0.258184773571182</v>
      </c>
      <c r="H804">
        <v>0.170253084161714</v>
      </c>
      <c r="I804">
        <v>0.07101561682056109</v>
      </c>
      <c r="J804">
        <v>0.0558850119369126</v>
      </c>
      <c r="K804">
        <v>0.0605235361801287</v>
      </c>
      <c r="L804">
        <v>516.018454202614</v>
      </c>
      <c r="M804">
        <v>10.5782277387621</v>
      </c>
      <c r="N804">
        <v>48.7811821670866</v>
      </c>
      <c r="O804">
        <v>47.1346586811015</v>
      </c>
      <c r="P804">
        <v>-0.056128409579365</v>
      </c>
      <c r="Q804">
        <v>0</v>
      </c>
      <c r="R804">
        <v>0.975899465306461</v>
      </c>
      <c r="S804" t="s">
        <v>2472</v>
      </c>
      <c r="T804" t="s">
        <v>3312</v>
      </c>
      <c r="U804" t="s">
        <v>3312</v>
      </c>
      <c r="V804" t="s">
        <v>3312</v>
      </c>
      <c r="W804" t="s">
        <v>4114</v>
      </c>
      <c r="X804">
        <v>1</v>
      </c>
      <c r="Y804" t="s">
        <v>5755</v>
      </c>
      <c r="Z804" t="s">
        <v>7397</v>
      </c>
      <c r="AA804">
        <v>0.4280742145786176</v>
      </c>
      <c r="AB804">
        <f>HYPERLINK("Melting_Curves/meltCurve_P0AFR0_rssA.pdf", "Melting_Curves/meltCurve_P0AFR0_rssA.pdf")</f>
        <v>0</v>
      </c>
    </row>
    <row r="805" spans="1:28">
      <c r="A805" t="s">
        <v>831</v>
      </c>
      <c r="B805">
        <v>0.999984544473304</v>
      </c>
      <c r="C805">
        <v>1.26261453005127</v>
      </c>
      <c r="D805">
        <v>0.697754239735948</v>
      </c>
      <c r="E805">
        <v>0.523928183969566</v>
      </c>
      <c r="F805">
        <v>0.12537672541851</v>
      </c>
      <c r="G805">
        <v>0.104431960813025</v>
      </c>
      <c r="H805">
        <v>0.0634706671528697</v>
      </c>
      <c r="I805">
        <v>0.06778015991173909</v>
      </c>
      <c r="J805">
        <v>0.0711671099954118</v>
      </c>
      <c r="K805">
        <v>0.0529899337243918</v>
      </c>
      <c r="L805">
        <v>1066.31499712451</v>
      </c>
      <c r="M805">
        <v>23.2043170238504</v>
      </c>
      <c r="N805">
        <v>46.2036394777931</v>
      </c>
      <c r="O805">
        <v>45.6160906191051</v>
      </c>
      <c r="P805">
        <v>-0.119661827177611</v>
      </c>
      <c r="Q805">
        <v>0.0590706209753299</v>
      </c>
      <c r="R805">
        <v>0.938465234554009</v>
      </c>
      <c r="S805" t="s">
        <v>2473</v>
      </c>
      <c r="T805" t="s">
        <v>3312</v>
      </c>
      <c r="U805" t="s">
        <v>3312</v>
      </c>
      <c r="V805" t="s">
        <v>3312</v>
      </c>
      <c r="W805" t="s">
        <v>4115</v>
      </c>
      <c r="X805">
        <v>1</v>
      </c>
      <c r="Y805" t="s">
        <v>5756</v>
      </c>
      <c r="Z805" t="s">
        <v>7398</v>
      </c>
      <c r="AA805">
        <v>0.3489646328880423</v>
      </c>
      <c r="AB805">
        <f>HYPERLINK("Melting_Curves/meltCurve_P0AFR2_dauA.pdf", "Melting_Curves/meltCurve_P0AFR2_dauA.pdf")</f>
        <v>0</v>
      </c>
    </row>
    <row r="806" spans="1:28">
      <c r="A806" t="s">
        <v>832</v>
      </c>
      <c r="B806">
        <v>0.999984544473304</v>
      </c>
      <c r="C806">
        <v>0.857674235854601</v>
      </c>
      <c r="D806">
        <v>0.97250711711583</v>
      </c>
      <c r="E806">
        <v>0.767869546098406</v>
      </c>
      <c r="F806">
        <v>0.325838753902758</v>
      </c>
      <c r="G806">
        <v>0.102933757039387</v>
      </c>
      <c r="H806">
        <v>0.0522901510060438</v>
      </c>
      <c r="I806">
        <v>0.0355899278716364</v>
      </c>
      <c r="J806">
        <v>0.0249047838795979</v>
      </c>
      <c r="K806">
        <v>0.0230648449488748</v>
      </c>
      <c r="L806">
        <v>1236.2346674019</v>
      </c>
      <c r="M806">
        <v>25.4104713880464</v>
      </c>
      <c r="N806">
        <v>48.7526546417173</v>
      </c>
      <c r="O806">
        <v>48.3522872056592</v>
      </c>
      <c r="P806">
        <v>-0.12798061971637</v>
      </c>
      <c r="Q806">
        <v>0.0259011233634369</v>
      </c>
      <c r="R806">
        <v>0.98829538339018</v>
      </c>
      <c r="S806" t="s">
        <v>2474</v>
      </c>
      <c r="T806" t="s">
        <v>3312</v>
      </c>
      <c r="U806" t="s">
        <v>3312</v>
      </c>
      <c r="V806" t="s">
        <v>3312</v>
      </c>
      <c r="W806" t="s">
        <v>4116</v>
      </c>
      <c r="X806">
        <v>7</v>
      </c>
      <c r="Y806" t="s">
        <v>5757</v>
      </c>
      <c r="Z806" t="s">
        <v>7399</v>
      </c>
      <c r="AA806">
        <v>0.412310455486974</v>
      </c>
      <c r="AB806">
        <f>HYPERLINK("Melting_Curves/meltCurve_P0AFR4_yciO.pdf", "Melting_Curves/meltCurve_P0AFR4_yciO.pdf")</f>
        <v>0</v>
      </c>
    </row>
    <row r="807" spans="1:28">
      <c r="A807" t="s">
        <v>833</v>
      </c>
      <c r="B807">
        <v>0.999984544473304</v>
      </c>
      <c r="C807">
        <v>0.741973885481526</v>
      </c>
      <c r="D807">
        <v>0.827798324872521</v>
      </c>
      <c r="E807">
        <v>0.621805639906685</v>
      </c>
      <c r="F807">
        <v>0.74988522451205</v>
      </c>
      <c r="G807">
        <v>0.695291072581306</v>
      </c>
      <c r="H807">
        <v>0.682546960408935</v>
      </c>
      <c r="I807">
        <v>0.5865168209589759</v>
      </c>
      <c r="J807">
        <v>0.559762619092967</v>
      </c>
      <c r="K807">
        <v>0.320957236759621</v>
      </c>
      <c r="L807">
        <v>186.80447566235</v>
      </c>
      <c r="M807">
        <v>2.87693237459123</v>
      </c>
      <c r="N807">
        <v>64.9318271573992</v>
      </c>
      <c r="O807">
        <v>46.9159196559987</v>
      </c>
      <c r="P807">
        <v>-0.0158639513218085</v>
      </c>
      <c r="Q807">
        <v>0</v>
      </c>
      <c r="R807">
        <v>0.708168454994036</v>
      </c>
      <c r="S807" t="s">
        <v>2475</v>
      </c>
      <c r="T807" t="s">
        <v>3312</v>
      </c>
      <c r="U807" t="s">
        <v>3312</v>
      </c>
      <c r="V807" t="s">
        <v>3312</v>
      </c>
      <c r="W807" t="s">
        <v>4117</v>
      </c>
      <c r="X807">
        <v>1</v>
      </c>
      <c r="Y807" t="s">
        <v>5758</v>
      </c>
      <c r="Z807" t="s">
        <v>7400</v>
      </c>
      <c r="AA807">
        <v>0.6781486762027874</v>
      </c>
      <c r="AB807">
        <f>HYPERLINK("Melting_Curves/meltCurve_P0AFS3_folM.pdf", "Melting_Curves/meltCurve_P0AFS3_folM.pdf")</f>
        <v>0</v>
      </c>
    </row>
    <row r="808" spans="1:28">
      <c r="A808" t="s">
        <v>834</v>
      </c>
      <c r="B808">
        <v>0.999984544473304</v>
      </c>
      <c r="C808">
        <v>0.905307109521068</v>
      </c>
      <c r="D808">
        <v>1.07273695400412</v>
      </c>
      <c r="E808">
        <v>0.9403271882465</v>
      </c>
      <c r="F808">
        <v>1.1075461681692</v>
      </c>
      <c r="G808">
        <v>0.866193438213862</v>
      </c>
      <c r="H808">
        <v>0.991970205255394</v>
      </c>
      <c r="I808">
        <v>0.6742227306394371</v>
      </c>
      <c r="J808">
        <v>0.412555054488401</v>
      </c>
      <c r="K808">
        <v>0.385379293054919</v>
      </c>
      <c r="L808">
        <v>3784.75431120651</v>
      </c>
      <c r="M808">
        <v>62.1590429609907</v>
      </c>
      <c r="N808">
        <v>62.3598646907695</v>
      </c>
      <c r="O808">
        <v>60.8253067354681</v>
      </c>
      <c r="P808">
        <v>-0.157203232360941</v>
      </c>
      <c r="Q808">
        <v>0.384679627013253</v>
      </c>
      <c r="R808">
        <v>0.921995077773914</v>
      </c>
      <c r="S808" t="s">
        <v>2476</v>
      </c>
      <c r="T808" t="s">
        <v>3312</v>
      </c>
      <c r="U808" t="s">
        <v>3312</v>
      </c>
      <c r="V808" t="s">
        <v>3312</v>
      </c>
      <c r="W808" t="s">
        <v>4118</v>
      </c>
      <c r="X808">
        <v>2</v>
      </c>
      <c r="Y808" t="s">
        <v>5759</v>
      </c>
      <c r="Z808" t="s">
        <v>7401</v>
      </c>
      <c r="AA808">
        <v>0.8756238615572041</v>
      </c>
      <c r="AB808">
        <f>HYPERLINK("Melting_Curves/meltCurve_P0AFS7_ydiK.pdf", "Melting_Curves/meltCurve_P0AFS7_ydiK.pdf")</f>
        <v>0</v>
      </c>
    </row>
    <row r="809" spans="1:28">
      <c r="A809" t="s">
        <v>835</v>
      </c>
      <c r="B809">
        <v>0.999984544473304</v>
      </c>
      <c r="C809">
        <v>0.8614779604228699</v>
      </c>
      <c r="D809">
        <v>1.00430720087938</v>
      </c>
      <c r="E809">
        <v>1.05316353230168</v>
      </c>
      <c r="F809">
        <v>0.915203940673048</v>
      </c>
      <c r="G809">
        <v>0.798384672184471</v>
      </c>
      <c r="H809">
        <v>0.678428252978186</v>
      </c>
      <c r="I809">
        <v>0.57569259301811</v>
      </c>
      <c r="J809">
        <v>0.43631055698579</v>
      </c>
      <c r="K809">
        <v>0.368825690634046</v>
      </c>
      <c r="L809">
        <v>711.5886993591849</v>
      </c>
      <c r="M809">
        <v>11.9763500223776</v>
      </c>
      <c r="N809">
        <v>62.297689040402</v>
      </c>
      <c r="O809">
        <v>57.8322859921094</v>
      </c>
      <c r="P809">
        <v>-0.0407718237063623</v>
      </c>
      <c r="Q809">
        <v>0.212663086653182</v>
      </c>
      <c r="R809">
        <v>0.949396301514127</v>
      </c>
      <c r="S809" t="s">
        <v>2477</v>
      </c>
      <c r="T809" t="s">
        <v>3312</v>
      </c>
      <c r="U809" t="s">
        <v>3312</v>
      </c>
      <c r="V809" t="s">
        <v>3312</v>
      </c>
      <c r="W809" t="s">
        <v>4119</v>
      </c>
      <c r="X809">
        <v>3</v>
      </c>
      <c r="Y809" t="s">
        <v>5760</v>
      </c>
      <c r="Z809" t="s">
        <v>7402</v>
      </c>
      <c r="AA809">
        <v>0.791856437135525</v>
      </c>
      <c r="AB809">
        <f>HYPERLINK("Melting_Curves/meltCurve_P0AFT2_yecS.pdf", "Melting_Curves/meltCurve_P0AFT2_yecS.pdf")</f>
        <v>0</v>
      </c>
    </row>
    <row r="810" spans="1:28">
      <c r="A810" t="s">
        <v>836</v>
      </c>
      <c r="B810">
        <v>0.999984544473304</v>
      </c>
      <c r="C810">
        <v>0.871530416283689</v>
      </c>
      <c r="D810">
        <v>0.802692620396255</v>
      </c>
      <c r="E810">
        <v>0.685604153923521</v>
      </c>
      <c r="F810">
        <v>0.380106988821506</v>
      </c>
      <c r="G810">
        <v>0.21433390180989</v>
      </c>
      <c r="H810">
        <v>0.165888191509768</v>
      </c>
      <c r="I810">
        <v>0.112414518491019</v>
      </c>
      <c r="J810">
        <v>0.077693838164301</v>
      </c>
      <c r="K810">
        <v>0.0774840796404962</v>
      </c>
      <c r="L810">
        <v>593.2753284073229</v>
      </c>
      <c r="M810">
        <v>12.3085118965553</v>
      </c>
      <c r="N810">
        <v>48.5127325626256</v>
      </c>
      <c r="O810">
        <v>46.9811177575691</v>
      </c>
      <c r="P810">
        <v>-0.0630160297226664</v>
      </c>
      <c r="Q810">
        <v>0.0380915232923588</v>
      </c>
      <c r="R810">
        <v>0.990973823959725</v>
      </c>
      <c r="S810" t="s">
        <v>2478</v>
      </c>
      <c r="T810" t="s">
        <v>3312</v>
      </c>
      <c r="U810" t="s">
        <v>3312</v>
      </c>
      <c r="V810" t="s">
        <v>3312</v>
      </c>
      <c r="W810" t="s">
        <v>4120</v>
      </c>
      <c r="X810">
        <v>5</v>
      </c>
      <c r="Y810" t="s">
        <v>5761</v>
      </c>
      <c r="Z810" t="s">
        <v>7403</v>
      </c>
      <c r="AA810">
        <v>0.4259546648373652</v>
      </c>
      <c r="AB810">
        <f>HYPERLINK("Melting_Curves/meltCurve_P0AFU8_ribC.pdf", "Melting_Curves/meltCurve_P0AFU8_ribC.pdf")</f>
        <v>0</v>
      </c>
    </row>
    <row r="811" spans="1:28">
      <c r="A811" t="s">
        <v>837</v>
      </c>
      <c r="B811">
        <v>0.999984544473304</v>
      </c>
      <c r="C811">
        <v>1.17970114182312</v>
      </c>
      <c r="D811">
        <v>0.861733823761542</v>
      </c>
      <c r="E811">
        <v>0.9742998630144249</v>
      </c>
      <c r="F811">
        <v>0.774857022783404</v>
      </c>
      <c r="G811">
        <v>0.6290024094055759</v>
      </c>
      <c r="H811">
        <v>0.638803331098945</v>
      </c>
      <c r="I811">
        <v>0.585454007291646</v>
      </c>
      <c r="J811">
        <v>0.402468818291092</v>
      </c>
      <c r="K811">
        <v>0.637596513398793</v>
      </c>
      <c r="L811">
        <v>983.710029238433</v>
      </c>
      <c r="M811">
        <v>19.4539662935718</v>
      </c>
      <c r="O811">
        <v>50.0408227311314</v>
      </c>
      <c r="P811">
        <v>-0.0443797608176202</v>
      </c>
      <c r="Q811">
        <v>0.543389957957653</v>
      </c>
      <c r="R811">
        <v>0.827585791979525</v>
      </c>
      <c r="S811" t="s">
        <v>2479</v>
      </c>
      <c r="T811" t="s">
        <v>3312</v>
      </c>
      <c r="U811" t="s">
        <v>3312</v>
      </c>
      <c r="V811" t="s">
        <v>3312</v>
      </c>
      <c r="W811" t="s">
        <v>4121</v>
      </c>
      <c r="X811">
        <v>2</v>
      </c>
      <c r="Y811" t="s">
        <v>5762</v>
      </c>
      <c r="Z811" t="s">
        <v>7404</v>
      </c>
      <c r="AA811">
        <v>0.7561551688748847</v>
      </c>
      <c r="AB811">
        <f>HYPERLINK("Melting_Curves/meltCurve_P0AFW4_rnk.pdf", "Melting_Curves/meltCurve_P0AFW4_rnk.pdf")</f>
        <v>0</v>
      </c>
    </row>
    <row r="812" spans="1:28">
      <c r="A812" t="s">
        <v>838</v>
      </c>
      <c r="B812">
        <v>0.999984544473304</v>
      </c>
      <c r="C812">
        <v>1.24809526988751</v>
      </c>
      <c r="D812">
        <v>1.04916519165917</v>
      </c>
      <c r="E812">
        <v>1.09941286377254</v>
      </c>
      <c r="F812">
        <v>0.989515799323481</v>
      </c>
      <c r="G812">
        <v>0.789866695509529</v>
      </c>
      <c r="H812">
        <v>0.738960185818097</v>
      </c>
      <c r="I812">
        <v>0.680392413086511</v>
      </c>
      <c r="J812">
        <v>0.393845799003904</v>
      </c>
      <c r="K812">
        <v>0.5792044209467671</v>
      </c>
      <c r="L812">
        <v>1042.47725266129</v>
      </c>
      <c r="M812">
        <v>18.3458343700785</v>
      </c>
      <c r="O812">
        <v>56.1613998615691</v>
      </c>
      <c r="P812">
        <v>-0.0424267738074252</v>
      </c>
      <c r="Q812">
        <v>0.480505943827651</v>
      </c>
      <c r="R812">
        <v>0.815889275416258</v>
      </c>
      <c r="S812" t="s">
        <v>2480</v>
      </c>
      <c r="T812" t="s">
        <v>3312</v>
      </c>
      <c r="U812" t="s">
        <v>3312</v>
      </c>
      <c r="V812" t="s">
        <v>3312</v>
      </c>
      <c r="W812" t="s">
        <v>4122</v>
      </c>
      <c r="X812">
        <v>1</v>
      </c>
      <c r="Y812" t="s">
        <v>5763</v>
      </c>
      <c r="Z812" t="s">
        <v>7405</v>
      </c>
      <c r="AA812">
        <v>0.8286402823729823</v>
      </c>
      <c r="AB812">
        <f>HYPERLINK("Melting_Curves/meltCurve_P0AFW8_rof.pdf", "Melting_Curves/meltCurve_P0AFW8_rof.pdf")</f>
        <v>0</v>
      </c>
    </row>
    <row r="813" spans="1:28">
      <c r="A813" t="s">
        <v>839</v>
      </c>
      <c r="B813">
        <v>0.999984544473304</v>
      </c>
      <c r="C813">
        <v>0.941640952762644</v>
      </c>
      <c r="D813">
        <v>1.30069565908992</v>
      </c>
      <c r="E813">
        <v>1.0095525307953</v>
      </c>
      <c r="F813">
        <v>1.91608442012073</v>
      </c>
      <c r="G813">
        <v>1.51332974001652</v>
      </c>
      <c r="H813">
        <v>1.98664887745278</v>
      </c>
      <c r="I813">
        <v>1.90457487135587</v>
      </c>
      <c r="J813">
        <v>1.86141675466497</v>
      </c>
      <c r="K813">
        <v>0.879869771514128</v>
      </c>
      <c r="L813">
        <v>11833.4699573241</v>
      </c>
      <c r="M813">
        <v>250</v>
      </c>
      <c r="O813">
        <v>47.3308472479671</v>
      </c>
      <c r="P813">
        <v>0.660245897173798</v>
      </c>
      <c r="Q813">
        <v>1.5</v>
      </c>
      <c r="R813">
        <v>0.372159681329153</v>
      </c>
      <c r="S813" t="s">
        <v>2481</v>
      </c>
      <c r="T813" t="s">
        <v>3312</v>
      </c>
      <c r="U813" t="s">
        <v>3312</v>
      </c>
      <c r="V813" t="s">
        <v>3312</v>
      </c>
      <c r="W813" t="s">
        <v>4123</v>
      </c>
      <c r="X813">
        <v>2</v>
      </c>
      <c r="Y813" t="s">
        <v>5764</v>
      </c>
      <c r="Z813" t="s">
        <v>7406</v>
      </c>
      <c r="AA813">
        <v>1.327727134400516</v>
      </c>
      <c r="AB813">
        <f>HYPERLINK("Melting_Curves/meltCurve_P0AFX0_hpf.pdf", "Melting_Curves/meltCurve_P0AFX0_hpf.pdf")</f>
        <v>0</v>
      </c>
    </row>
    <row r="814" spans="1:28">
      <c r="A814" t="s">
        <v>840</v>
      </c>
      <c r="B814">
        <v>0.999984544473304</v>
      </c>
      <c r="C814">
        <v>0.781611535821687</v>
      </c>
      <c r="D814">
        <v>0.402325411133407</v>
      </c>
      <c r="E814">
        <v>0.338260899389462</v>
      </c>
      <c r="F814">
        <v>0.163571834880099</v>
      </c>
      <c r="G814">
        <v>0.103450701738678</v>
      </c>
      <c r="H814">
        <v>0.0625624379805569</v>
      </c>
      <c r="I814">
        <v>0.0476037735693796</v>
      </c>
      <c r="J814">
        <v>0.0344640449785526</v>
      </c>
      <c r="K814">
        <v>0.0259646817691032</v>
      </c>
      <c r="L814">
        <v>644.788757772196</v>
      </c>
      <c r="M814">
        <v>15.0635767202654</v>
      </c>
      <c r="N814">
        <v>43.079688881938</v>
      </c>
      <c r="O814">
        <v>42.0713822436304</v>
      </c>
      <c r="P814">
        <v>-0.0854144796180958</v>
      </c>
      <c r="Q814">
        <v>0.0458712632758391</v>
      </c>
      <c r="R814">
        <v>0.975747044555888</v>
      </c>
      <c r="S814" t="s">
        <v>2482</v>
      </c>
      <c r="T814" t="s">
        <v>3312</v>
      </c>
      <c r="U814" t="s">
        <v>3312</v>
      </c>
      <c r="V814" t="s">
        <v>3312</v>
      </c>
      <c r="W814" t="s">
        <v>4124</v>
      </c>
      <c r="X814">
        <v>1</v>
      </c>
      <c r="Y814" t="s">
        <v>5765</v>
      </c>
      <c r="Z814" t="s">
        <v>7407</v>
      </c>
      <c r="AA814">
        <v>0.2558381034430883</v>
      </c>
      <c r="AB814">
        <f>HYPERLINK("Melting_Curves/meltCurve_P0AFX4_rsd.pdf", "Melting_Curves/meltCurve_P0AFX4_rsd.pdf")</f>
        <v>0</v>
      </c>
    </row>
    <row r="815" spans="1:28">
      <c r="A815" t="s">
        <v>841</v>
      </c>
      <c r="B815">
        <v>0.999984544473304</v>
      </c>
      <c r="C815">
        <v>0.897419322591536</v>
      </c>
      <c r="D815">
        <v>0.728166697879843</v>
      </c>
      <c r="E815">
        <v>0.330127024289611</v>
      </c>
      <c r="F815">
        <v>0.103342845783949</v>
      </c>
      <c r="G815">
        <v>0.0469729786075727</v>
      </c>
      <c r="H815">
        <v>0.0265764258091903</v>
      </c>
      <c r="I815">
        <v>0.0267090362865473</v>
      </c>
      <c r="J815">
        <v>0.0135025248877169</v>
      </c>
      <c r="K815">
        <v>0.00873126299588781</v>
      </c>
      <c r="L815">
        <v>913.0264027105</v>
      </c>
      <c r="M815">
        <v>20.3367468115429</v>
      </c>
      <c r="N815">
        <v>44.9499236664889</v>
      </c>
      <c r="O815">
        <v>44.4680409957173</v>
      </c>
      <c r="P815">
        <v>-0.112943727995204</v>
      </c>
      <c r="Q815">
        <v>0.0121850081656992</v>
      </c>
      <c r="R815">
        <v>0.998899029656931</v>
      </c>
      <c r="S815" t="s">
        <v>2483</v>
      </c>
      <c r="T815" t="s">
        <v>3312</v>
      </c>
      <c r="U815" t="s">
        <v>3312</v>
      </c>
      <c r="V815" t="s">
        <v>3312</v>
      </c>
      <c r="W815" t="s">
        <v>4125</v>
      </c>
      <c r="X815">
        <v>4</v>
      </c>
      <c r="Y815" t="s">
        <v>5766</v>
      </c>
      <c r="Z815" t="s">
        <v>7408</v>
      </c>
      <c r="AA815">
        <v>0.2847024925230802</v>
      </c>
      <c r="AB815">
        <f>HYPERLINK("Melting_Curves/meltCurve_P0AFX9_rseB.pdf", "Melting_Curves/meltCurve_P0AFX9_rseB.pdf")</f>
        <v>0</v>
      </c>
    </row>
    <row r="816" spans="1:28">
      <c r="A816" t="s">
        <v>842</v>
      </c>
      <c r="B816">
        <v>0.999984544473304</v>
      </c>
      <c r="C816">
        <v>1.16399155896458</v>
      </c>
      <c r="D816">
        <v>0.884863532310089</v>
      </c>
      <c r="E816">
        <v>0.95383029286917</v>
      </c>
      <c r="F816">
        <v>1.02606972960888</v>
      </c>
      <c r="G816">
        <v>0.85108545301752</v>
      </c>
      <c r="H816">
        <v>0.584752780214702</v>
      </c>
      <c r="I816">
        <v>0.376095814593484</v>
      </c>
      <c r="J816">
        <v>0.263991650342291</v>
      </c>
      <c r="K816">
        <v>0.220331827103469</v>
      </c>
      <c r="L816">
        <v>1344.50271922269</v>
      </c>
      <c r="M816">
        <v>23.450208671387</v>
      </c>
      <c r="N816">
        <v>58.6316220443791</v>
      </c>
      <c r="O816">
        <v>56.9223036851094</v>
      </c>
      <c r="P816">
        <v>-0.08214821258250229</v>
      </c>
      <c r="Q816">
        <v>0.202397816157687</v>
      </c>
      <c r="R816">
        <v>0.957281912275012</v>
      </c>
      <c r="S816" t="s">
        <v>2484</v>
      </c>
      <c r="T816" t="s">
        <v>3312</v>
      </c>
      <c r="U816" t="s">
        <v>3312</v>
      </c>
      <c r="V816" t="s">
        <v>3312</v>
      </c>
      <c r="W816" t="s">
        <v>4126</v>
      </c>
      <c r="X816">
        <v>1</v>
      </c>
      <c r="Y816" t="s">
        <v>5767</v>
      </c>
      <c r="Z816" t="s">
        <v>7409</v>
      </c>
      <c r="AA816">
        <v>0.749067419545372</v>
      </c>
      <c r="AB816">
        <f>HYPERLINK("Melting_Curves/meltCurve_P0AFY8_seqA.pdf", "Melting_Curves/meltCurve_P0AFY8_seqA.pdf")</f>
        <v>0</v>
      </c>
    </row>
    <row r="817" spans="1:28">
      <c r="A817" t="s">
        <v>843</v>
      </c>
      <c r="B817">
        <v>0.999984544473304</v>
      </c>
      <c r="C817">
        <v>0.691834892384609</v>
      </c>
      <c r="D817">
        <v>1.10844358464531</v>
      </c>
      <c r="E817">
        <v>0.864253646037898</v>
      </c>
      <c r="F817">
        <v>1.39827404275276</v>
      </c>
      <c r="G817">
        <v>1.00577250136567</v>
      </c>
      <c r="H817">
        <v>1.16463276956956</v>
      </c>
      <c r="I817">
        <v>1.08677877110075</v>
      </c>
      <c r="J817">
        <v>0.863551586918165</v>
      </c>
      <c r="K817">
        <v>0.671635287348602</v>
      </c>
      <c r="L817">
        <v>15000</v>
      </c>
      <c r="M817">
        <v>233.668128228992</v>
      </c>
      <c r="O817">
        <v>64.18890174729709</v>
      </c>
      <c r="P817">
        <v>-0.298855177718972</v>
      </c>
      <c r="Q817">
        <v>0.671616549885489</v>
      </c>
      <c r="R817">
        <v>0.280820292911676</v>
      </c>
      <c r="S817" t="s">
        <v>2485</v>
      </c>
      <c r="T817" t="s">
        <v>3312</v>
      </c>
      <c r="U817" t="s">
        <v>3312</v>
      </c>
      <c r="V817" t="s">
        <v>3312</v>
      </c>
      <c r="W817" t="s">
        <v>4127</v>
      </c>
      <c r="X817">
        <v>1</v>
      </c>
      <c r="Y817" t="s">
        <v>5768</v>
      </c>
      <c r="Z817" t="s">
        <v>7410</v>
      </c>
      <c r="AA817">
        <v>0.9693230630803956</v>
      </c>
      <c r="AB817">
        <f>HYPERLINK("Melting_Curves/meltCurve_P0AFZ1_sseB.pdf", "Melting_Curves/meltCurve_P0AFZ1_sseB.pdf")</f>
        <v>0</v>
      </c>
    </row>
    <row r="818" spans="1:28">
      <c r="A818" t="s">
        <v>844</v>
      </c>
      <c r="B818">
        <v>0.999984544473304</v>
      </c>
      <c r="C818">
        <v>1.09665719408294</v>
      </c>
      <c r="D818">
        <v>0.747160963846935</v>
      </c>
      <c r="E818">
        <v>1.02566700376856</v>
      </c>
      <c r="F818">
        <v>0.877759515967158</v>
      </c>
      <c r="G818">
        <v>0.708499580707478</v>
      </c>
      <c r="H818">
        <v>0.642084619540896</v>
      </c>
      <c r="I818">
        <v>0.523938222523289</v>
      </c>
      <c r="J818">
        <v>0.339727374603593</v>
      </c>
      <c r="K818">
        <v>0.553626524615397</v>
      </c>
      <c r="L818">
        <v>805.760632124892</v>
      </c>
      <c r="M818">
        <v>14.8134407806856</v>
      </c>
      <c r="N818">
        <v>61.9863565847071</v>
      </c>
      <c r="O818">
        <v>53.4314815105054</v>
      </c>
      <c r="P818">
        <v>-0.0403058554157322</v>
      </c>
      <c r="Q818">
        <v>0.418535337157727</v>
      </c>
      <c r="R818">
        <v>0.809684917233089</v>
      </c>
      <c r="S818" t="s">
        <v>2486</v>
      </c>
      <c r="T818" t="s">
        <v>3312</v>
      </c>
      <c r="U818" t="s">
        <v>3312</v>
      </c>
      <c r="V818" t="s">
        <v>3312</v>
      </c>
      <c r="W818" t="s">
        <v>4128</v>
      </c>
      <c r="X818">
        <v>2</v>
      </c>
      <c r="Y818" t="s">
        <v>5769</v>
      </c>
      <c r="Z818" t="s">
        <v>7411</v>
      </c>
      <c r="AA818">
        <v>0.764704313627295</v>
      </c>
      <c r="AB818">
        <f>HYPERLINK("Melting_Curves/meltCurve_P0AFZ3_sspB.pdf", "Melting_Curves/meltCurve_P0AFZ3_sspB.pdf")</f>
        <v>0</v>
      </c>
    </row>
    <row r="819" spans="1:28">
      <c r="A819" t="s">
        <v>845</v>
      </c>
      <c r="B819">
        <v>0.999984544473304</v>
      </c>
      <c r="C819">
        <v>0.779534055282101</v>
      </c>
      <c r="D819">
        <v>0.597690086163766</v>
      </c>
      <c r="E819">
        <v>0.396876845826648</v>
      </c>
      <c r="F819">
        <v>0.262130994469757</v>
      </c>
      <c r="G819">
        <v>0.136883973480475</v>
      </c>
      <c r="H819">
        <v>0.105059268944465</v>
      </c>
      <c r="I819">
        <v>0.0806619485006439</v>
      </c>
      <c r="J819">
        <v>0.0577622882087147</v>
      </c>
      <c r="K819">
        <v>0.0515137103784119</v>
      </c>
      <c r="L819">
        <v>540.405828638006</v>
      </c>
      <c r="M819">
        <v>12.150196759424</v>
      </c>
      <c r="N819">
        <v>44.8072674872498</v>
      </c>
      <c r="O819">
        <v>43.3237461655481</v>
      </c>
      <c r="P819">
        <v>-0.0671260780142918</v>
      </c>
      <c r="Q819">
        <v>0.0428187216912468</v>
      </c>
      <c r="R819">
        <v>0.992093039300015</v>
      </c>
      <c r="S819" t="s">
        <v>2487</v>
      </c>
      <c r="T819" t="s">
        <v>3312</v>
      </c>
      <c r="U819" t="s">
        <v>3312</v>
      </c>
      <c r="V819" t="s">
        <v>3312</v>
      </c>
      <c r="W819" t="s">
        <v>4129</v>
      </c>
      <c r="X819">
        <v>4</v>
      </c>
      <c r="Y819" t="s">
        <v>5770</v>
      </c>
      <c r="Z819" t="s">
        <v>7412</v>
      </c>
      <c r="AA819">
        <v>0.3164593071364655</v>
      </c>
      <c r="AB819">
        <f>HYPERLINK("Melting_Curves/meltCurve_P0AG00_wzzE.pdf", "Melting_Curves/meltCurve_P0AG00_wzzE.pdf")</f>
        <v>0</v>
      </c>
    </row>
    <row r="820" spans="1:28">
      <c r="A820" t="s">
        <v>846</v>
      </c>
      <c r="B820">
        <v>0.999984544473304</v>
      </c>
      <c r="C820">
        <v>0.892557352772035</v>
      </c>
      <c r="D820">
        <v>1.0077001066308</v>
      </c>
      <c r="E820">
        <v>1.16324996356247</v>
      </c>
      <c r="F820">
        <v>1.18175280802403</v>
      </c>
      <c r="G820">
        <v>1.10558758332116</v>
      </c>
      <c r="H820">
        <v>0.749104118688108</v>
      </c>
      <c r="I820">
        <v>0.797552693071397</v>
      </c>
      <c r="J820">
        <v>0.5319205542521011</v>
      </c>
      <c r="K820">
        <v>0.469766390341823</v>
      </c>
      <c r="L820">
        <v>1341.48692922235</v>
      </c>
      <c r="M820">
        <v>21.7885533691573</v>
      </c>
      <c r="N820">
        <v>65.7566940698633</v>
      </c>
      <c r="O820">
        <v>61.0568408507125</v>
      </c>
      <c r="P820">
        <v>-0.0557435194315332</v>
      </c>
      <c r="Q820">
        <v>0.375186742251508</v>
      </c>
      <c r="R820">
        <v>0.790942758030487</v>
      </c>
      <c r="S820" t="s">
        <v>2488</v>
      </c>
      <c r="T820" t="s">
        <v>3312</v>
      </c>
      <c r="U820" t="s">
        <v>3312</v>
      </c>
      <c r="V820" t="s">
        <v>3312</v>
      </c>
      <c r="W820" t="s">
        <v>4130</v>
      </c>
      <c r="X820">
        <v>7</v>
      </c>
      <c r="Y820" t="s">
        <v>5771</v>
      </c>
      <c r="Z820" t="s">
        <v>7413</v>
      </c>
      <c r="AA820">
        <v>0.8836754449617835</v>
      </c>
      <c r="AB820">
        <f>HYPERLINK("Melting_Curves/meltCurve_P0AG07_rpe.pdf", "Melting_Curves/meltCurve_P0AG07_rpe.pdf")</f>
        <v>0</v>
      </c>
    </row>
    <row r="821" spans="1:28">
      <c r="A821" t="s">
        <v>847</v>
      </c>
      <c r="B821">
        <v>0.999984544473304</v>
      </c>
      <c r="C821">
        <v>0.844712103210648</v>
      </c>
      <c r="D821">
        <v>0.929977589911944</v>
      </c>
      <c r="E821">
        <v>0.9192299266102399</v>
      </c>
      <c r="F821">
        <v>0.728207252810952</v>
      </c>
      <c r="G821">
        <v>0.6279742907113099</v>
      </c>
      <c r="H821">
        <v>0.453045207872449</v>
      </c>
      <c r="I821">
        <v>0.37808211598242</v>
      </c>
      <c r="J821">
        <v>0.332685587452902</v>
      </c>
      <c r="K821">
        <v>0.197182255290056</v>
      </c>
      <c r="L821">
        <v>452.937983107901</v>
      </c>
      <c r="M821">
        <v>7.95141120757453</v>
      </c>
      <c r="N821">
        <v>56.9632192824827</v>
      </c>
      <c r="O821">
        <v>53.698522236962</v>
      </c>
      <c r="P821">
        <v>-0.0370616065443017</v>
      </c>
      <c r="Q821">
        <v>0</v>
      </c>
      <c r="R821">
        <v>0.967399123188374</v>
      </c>
      <c r="S821" t="s">
        <v>2489</v>
      </c>
      <c r="T821" t="s">
        <v>3312</v>
      </c>
      <c r="U821" t="s">
        <v>3312</v>
      </c>
      <c r="V821" t="s">
        <v>3312</v>
      </c>
      <c r="W821" t="s">
        <v>4131</v>
      </c>
      <c r="X821">
        <v>1</v>
      </c>
      <c r="Y821" t="s">
        <v>5772</v>
      </c>
      <c r="Z821" t="s">
        <v>7414</v>
      </c>
      <c r="AA821">
        <v>0.654545513380922</v>
      </c>
      <c r="AB821">
        <f>HYPERLINK("Melting_Curves/meltCurve_P0AG18_purE.pdf", "Melting_Curves/meltCurve_P0AG18_purE.pdf")</f>
        <v>0</v>
      </c>
    </row>
    <row r="822" spans="1:28">
      <c r="A822" t="s">
        <v>848</v>
      </c>
      <c r="B822">
        <v>0.999984544473304</v>
      </c>
      <c r="C822">
        <v>0.8249028002373821</v>
      </c>
      <c r="D822">
        <v>0.209782846917682</v>
      </c>
      <c r="E822">
        <v>0.209577694467118</v>
      </c>
      <c r="F822">
        <v>0.150187271409741</v>
      </c>
      <c r="G822">
        <v>0.113429879822102</v>
      </c>
      <c r="H822">
        <v>0.0683798106633753</v>
      </c>
      <c r="I822">
        <v>0.0529101428100707</v>
      </c>
      <c r="J822">
        <v>0.0381698108149238</v>
      </c>
      <c r="K822">
        <v>0.0256008168063945</v>
      </c>
      <c r="L822">
        <v>1759.79591040843</v>
      </c>
      <c r="M822">
        <v>42.7047546591453</v>
      </c>
      <c r="N822">
        <v>41.4043691887834</v>
      </c>
      <c r="O822">
        <v>41.1183806027794</v>
      </c>
      <c r="P822">
        <v>-0.235890535889498</v>
      </c>
      <c r="Q822">
        <v>0.09149038606565631</v>
      </c>
      <c r="R822">
        <v>0.976308573317316</v>
      </c>
      <c r="S822" t="s">
        <v>2490</v>
      </c>
      <c r="T822" t="s">
        <v>3312</v>
      </c>
      <c r="U822" t="s">
        <v>3312</v>
      </c>
      <c r="V822" t="s">
        <v>3312</v>
      </c>
      <c r="W822" t="s">
        <v>4132</v>
      </c>
      <c r="X822">
        <v>1</v>
      </c>
      <c r="Y822" t="s">
        <v>5773</v>
      </c>
      <c r="Z822" t="s">
        <v>7415</v>
      </c>
      <c r="AA822">
        <v>0.2213807615946795</v>
      </c>
      <c r="AB822">
        <f>HYPERLINK("Melting_Curves/meltCurve_P0AG20_relA.pdf", "Melting_Curves/meltCurve_P0AG20_relA.pdf")</f>
        <v>0</v>
      </c>
    </row>
    <row r="823" spans="1:28">
      <c r="A823" t="s">
        <v>849</v>
      </c>
      <c r="B823">
        <v>0.999984544473304</v>
      </c>
      <c r="C823">
        <v>0.8848289924267529</v>
      </c>
      <c r="D823">
        <v>1.03836608946061</v>
      </c>
      <c r="E823">
        <v>1.1413343196708</v>
      </c>
      <c r="F823">
        <v>1.18392492548202</v>
      </c>
      <c r="G823">
        <v>0.971980361439566</v>
      </c>
      <c r="H823">
        <v>0.882953063494051</v>
      </c>
      <c r="I823">
        <v>0.718694260435912</v>
      </c>
      <c r="J823">
        <v>0.589652960635445</v>
      </c>
      <c r="K823">
        <v>0.553260162194166</v>
      </c>
      <c r="L823">
        <v>1710.80468104212</v>
      </c>
      <c r="M823">
        <v>28.5451463775414</v>
      </c>
      <c r="O823">
        <v>59.6414691677592</v>
      </c>
      <c r="P823">
        <v>-0.056113015018568</v>
      </c>
      <c r="Q823">
        <v>0.531039590137685</v>
      </c>
      <c r="R823">
        <v>0.835256809041579</v>
      </c>
      <c r="S823" t="s">
        <v>2491</v>
      </c>
      <c r="T823" t="s">
        <v>3312</v>
      </c>
      <c r="U823" t="s">
        <v>3312</v>
      </c>
      <c r="V823" t="s">
        <v>3312</v>
      </c>
      <c r="W823" t="s">
        <v>4133</v>
      </c>
      <c r="X823">
        <v>5</v>
      </c>
      <c r="Y823" t="s">
        <v>5774</v>
      </c>
      <c r="Z823" t="s">
        <v>7416</v>
      </c>
      <c r="AA823">
        <v>0.8912320450476086</v>
      </c>
      <c r="AB823">
        <f>HYPERLINK("Melting_Curves/meltCurve_P0AG27_yibN.pdf", "Melting_Curves/meltCurve_P0AG27_yibN.pdf")</f>
        <v>0</v>
      </c>
    </row>
    <row r="824" spans="1:28">
      <c r="A824" t="s">
        <v>850</v>
      </c>
      <c r="B824">
        <v>0.999984544473304</v>
      </c>
      <c r="C824">
        <v>0.520429144012398</v>
      </c>
      <c r="D824">
        <v>0.319920466074483</v>
      </c>
      <c r="E824">
        <v>0.214694720971236</v>
      </c>
      <c r="F824">
        <v>0.181453755780524</v>
      </c>
      <c r="G824">
        <v>0.117715056743432</v>
      </c>
      <c r="H824">
        <v>0.0886190989064638</v>
      </c>
      <c r="I824">
        <v>0.0753743628874096</v>
      </c>
      <c r="J824">
        <v>0.0545916998395911</v>
      </c>
      <c r="K824">
        <v>0.0598235075271593</v>
      </c>
      <c r="L824">
        <v>859.221594788962</v>
      </c>
      <c r="M824">
        <v>21.287157062414</v>
      </c>
      <c r="N824">
        <v>40.801454268547</v>
      </c>
      <c r="O824">
        <v>40.0122371712919</v>
      </c>
      <c r="P824">
        <v>-0.119418964623421</v>
      </c>
      <c r="Q824">
        <v>0.102163175237718</v>
      </c>
      <c r="R824">
        <v>0.956579984897335</v>
      </c>
      <c r="S824" t="s">
        <v>2492</v>
      </c>
      <c r="T824" t="s">
        <v>3312</v>
      </c>
      <c r="U824" t="s">
        <v>3312</v>
      </c>
      <c r="V824" t="s">
        <v>3312</v>
      </c>
      <c r="W824" t="s">
        <v>4134</v>
      </c>
      <c r="X824">
        <v>10</v>
      </c>
      <c r="Y824" t="s">
        <v>5775</v>
      </c>
      <c r="Z824" t="s">
        <v>7417</v>
      </c>
      <c r="AA824">
        <v>0.21776488720158</v>
      </c>
      <c r="AB824">
        <f>HYPERLINK("Melting_Curves/meltCurve_P0AG30_rho.pdf", "Melting_Curves/meltCurve_P0AG30_rho.pdf")</f>
        <v>0</v>
      </c>
    </row>
    <row r="825" spans="1:28">
      <c r="A825" t="s">
        <v>851</v>
      </c>
      <c r="B825">
        <v>0.999984544473304</v>
      </c>
      <c r="C825">
        <v>0.84109750105232</v>
      </c>
      <c r="D825">
        <v>0.8540646591365531</v>
      </c>
      <c r="E825">
        <v>0.518436996796939</v>
      </c>
      <c r="F825">
        <v>0.174601635483416</v>
      </c>
      <c r="G825">
        <v>0.0594224757614724</v>
      </c>
      <c r="H825">
        <v>0.032809159220143</v>
      </c>
      <c r="I825">
        <v>0.0296299894132053</v>
      </c>
      <c r="J825">
        <v>0.0174415901500044</v>
      </c>
      <c r="K825">
        <v>0.0179641251468313</v>
      </c>
      <c r="L825">
        <v>884.132965622856</v>
      </c>
      <c r="M825">
        <v>19.0097733102547</v>
      </c>
      <c r="N825">
        <v>46.5410969242132</v>
      </c>
      <c r="O825">
        <v>46.0038703494198</v>
      </c>
      <c r="P825">
        <v>-0.102644768576288</v>
      </c>
      <c r="Q825">
        <v>0.00643321872554752</v>
      </c>
      <c r="R825">
        <v>0.988727702588751</v>
      </c>
      <c r="S825" t="s">
        <v>2493</v>
      </c>
      <c r="T825" t="s">
        <v>3312</v>
      </c>
      <c r="U825" t="s">
        <v>3312</v>
      </c>
      <c r="V825" t="s">
        <v>3312</v>
      </c>
      <c r="W825" t="s">
        <v>4135</v>
      </c>
      <c r="X825">
        <v>4</v>
      </c>
      <c r="Y825" t="s">
        <v>5776</v>
      </c>
      <c r="Z825" t="s">
        <v>7418</v>
      </c>
      <c r="AA825">
        <v>0.3357424460374094</v>
      </c>
      <c r="AB825">
        <f>HYPERLINK("Melting_Curves/meltCurve_P0AG40_ribF.pdf", "Melting_Curves/meltCurve_P0AG40_ribF.pdf")</f>
        <v>0</v>
      </c>
    </row>
    <row r="826" spans="1:28">
      <c r="A826" t="s">
        <v>852</v>
      </c>
      <c r="B826">
        <v>0.999984544473304</v>
      </c>
      <c r="C826">
        <v>1.13356860173185</v>
      </c>
      <c r="D826">
        <v>0.546460401165445</v>
      </c>
      <c r="E826">
        <v>0.525171142163889</v>
      </c>
      <c r="F826">
        <v>0.326169671920824</v>
      </c>
      <c r="G826">
        <v>0.212479134766442</v>
      </c>
      <c r="H826">
        <v>0.107375172653197</v>
      </c>
      <c r="I826">
        <v>0.07880392158622621</v>
      </c>
      <c r="J826">
        <v>0.0729756059309368</v>
      </c>
      <c r="K826">
        <v>0.128940159784227</v>
      </c>
      <c r="L826">
        <v>669.9363542758121</v>
      </c>
      <c r="M826">
        <v>14.6392970947781</v>
      </c>
      <c r="N826">
        <v>46.3798612130811</v>
      </c>
      <c r="O826">
        <v>44.9343584612264</v>
      </c>
      <c r="P826">
        <v>-0.07425011563060881</v>
      </c>
      <c r="Q826">
        <v>0.0884774357479909</v>
      </c>
      <c r="R826">
        <v>0.925537344131701</v>
      </c>
      <c r="S826" t="s">
        <v>2494</v>
      </c>
      <c r="T826" t="s">
        <v>3312</v>
      </c>
      <c r="U826" t="s">
        <v>3312</v>
      </c>
      <c r="V826" t="s">
        <v>3312</v>
      </c>
      <c r="W826" t="s">
        <v>4136</v>
      </c>
      <c r="X826">
        <v>5</v>
      </c>
      <c r="Y826" t="s">
        <v>5777</v>
      </c>
      <c r="Z826" t="s">
        <v>7419</v>
      </c>
      <c r="AA826">
        <v>0.3768958095305566</v>
      </c>
      <c r="AB826">
        <f>HYPERLINK("Melting_Curves/meltCurve_P0AG44_rplQ.pdf", "Melting_Curves/meltCurve_P0AG44_rplQ.pdf")</f>
        <v>0</v>
      </c>
    </row>
    <row r="827" spans="1:28">
      <c r="A827" t="s">
        <v>853</v>
      </c>
      <c r="B827">
        <v>0.999984544473304</v>
      </c>
      <c r="C827">
        <v>0.971524483506477</v>
      </c>
      <c r="D827">
        <v>1.03451503532566</v>
      </c>
      <c r="E827">
        <v>0.945306203577973</v>
      </c>
      <c r="F827">
        <v>0.69118275563084</v>
      </c>
      <c r="G827">
        <v>0.589104787479813</v>
      </c>
      <c r="H827">
        <v>0.511689815853875</v>
      </c>
      <c r="I827">
        <v>0.481496685905812</v>
      </c>
      <c r="J827">
        <v>0.372724958217546</v>
      </c>
      <c r="K827">
        <v>0.440988387368956</v>
      </c>
      <c r="L827">
        <v>989.9947907075079</v>
      </c>
      <c r="M827">
        <v>19.5413530304053</v>
      </c>
      <c r="N827">
        <v>56.3053839332836</v>
      </c>
      <c r="O827">
        <v>50.1399363776625</v>
      </c>
      <c r="P827">
        <v>-0.0555897682004069</v>
      </c>
      <c r="Q827">
        <v>0.429483132815532</v>
      </c>
      <c r="R827">
        <v>0.977520111133389</v>
      </c>
      <c r="S827" t="s">
        <v>2495</v>
      </c>
      <c r="T827" t="s">
        <v>3312</v>
      </c>
      <c r="U827" t="s">
        <v>3312</v>
      </c>
      <c r="V827" t="s">
        <v>3312</v>
      </c>
      <c r="W827" t="s">
        <v>4137</v>
      </c>
      <c r="X827">
        <v>5</v>
      </c>
      <c r="Y827" t="s">
        <v>5778</v>
      </c>
      <c r="Z827" t="s">
        <v>7420</v>
      </c>
      <c r="AA827">
        <v>0.6970758779900801</v>
      </c>
      <c r="AB827">
        <f>HYPERLINK("Melting_Curves/meltCurve_P0AG48_rplU.pdf", "Melting_Curves/meltCurve_P0AG48_rplU.pdf")</f>
        <v>0</v>
      </c>
    </row>
    <row r="828" spans="1:28">
      <c r="A828" t="s">
        <v>854</v>
      </c>
      <c r="B828">
        <v>0.999984544473304</v>
      </c>
      <c r="C828">
        <v>0.914900425985342</v>
      </c>
      <c r="D828">
        <v>0.5690331100685651</v>
      </c>
      <c r="E828">
        <v>0.293807336747059</v>
      </c>
      <c r="F828">
        <v>0.114359109913176</v>
      </c>
      <c r="G828">
        <v>0.0467268246520111</v>
      </c>
      <c r="H828">
        <v>0.0440466882223203</v>
      </c>
      <c r="I828">
        <v>0.0334740635900892</v>
      </c>
      <c r="J828">
        <v>0.0421395014555187</v>
      </c>
      <c r="K828">
        <v>0.0519803347724306</v>
      </c>
      <c r="L828">
        <v>873.681423518713</v>
      </c>
      <c r="M828">
        <v>19.9418652396736</v>
      </c>
      <c r="N828">
        <v>43.9928839332152</v>
      </c>
      <c r="O828">
        <v>43.3779943869119</v>
      </c>
      <c r="P828">
        <v>-0.110396642264121</v>
      </c>
      <c r="Q828">
        <v>0.0394825678492786</v>
      </c>
      <c r="R828">
        <v>0.996322589851081</v>
      </c>
      <c r="S828" t="s">
        <v>2496</v>
      </c>
      <c r="T828" t="s">
        <v>3312</v>
      </c>
      <c r="U828" t="s">
        <v>3312</v>
      </c>
      <c r="V828" t="s">
        <v>3312</v>
      </c>
      <c r="W828" t="s">
        <v>4138</v>
      </c>
      <c r="X828">
        <v>3</v>
      </c>
      <c r="Y828" t="s">
        <v>5779</v>
      </c>
      <c r="Z828" t="s">
        <v>7421</v>
      </c>
      <c r="AA828">
        <v>0.2705759169586537</v>
      </c>
      <c r="AB828">
        <f>HYPERLINK("Melting_Curves/meltCurve_P0AG51_rpmD.pdf", "Melting_Curves/meltCurve_P0AG51_rpmD.pdf")</f>
        <v>0</v>
      </c>
    </row>
    <row r="829" spans="1:28">
      <c r="A829" t="s">
        <v>855</v>
      </c>
      <c r="B829">
        <v>0.999984544473304</v>
      </c>
      <c r="C829">
        <v>0.6940520799430741</v>
      </c>
      <c r="D829">
        <v>0.353308174169712</v>
      </c>
      <c r="E829">
        <v>0.122341002492045</v>
      </c>
      <c r="F829">
        <v>0.0489904232318946</v>
      </c>
      <c r="G829">
        <v>0.0291627511651296</v>
      </c>
      <c r="H829">
        <v>0.0271261709107702</v>
      </c>
      <c r="I829">
        <v>0.0211980948927795</v>
      </c>
      <c r="J829">
        <v>0.0171031100070928</v>
      </c>
      <c r="K829">
        <v>0.0211814017513435</v>
      </c>
      <c r="L829">
        <v>909.366369172294</v>
      </c>
      <c r="M829">
        <v>21.8566658161501</v>
      </c>
      <c r="N829">
        <v>41.699139442616</v>
      </c>
      <c r="O829">
        <v>41.2623207885071</v>
      </c>
      <c r="P829">
        <v>-0.129270129523037</v>
      </c>
      <c r="Q829">
        <v>0.0238469738896315</v>
      </c>
      <c r="R829">
        <v>0.995491743993317</v>
      </c>
      <c r="S829" t="s">
        <v>2497</v>
      </c>
      <c r="T829" t="s">
        <v>3312</v>
      </c>
      <c r="U829" t="s">
        <v>3312</v>
      </c>
      <c r="V829" t="s">
        <v>3312</v>
      </c>
      <c r="W829" t="s">
        <v>4139</v>
      </c>
      <c r="X829">
        <v>11</v>
      </c>
      <c r="Y829" t="s">
        <v>5780</v>
      </c>
      <c r="Z829" t="s">
        <v>7422</v>
      </c>
      <c r="AA829">
        <v>0.1861723359707803</v>
      </c>
      <c r="AB829">
        <f>HYPERLINK("Melting_Curves/meltCurve_P0AG55_rplF.pdf", "Melting_Curves/meltCurve_P0AG55_rplF.pdf")</f>
        <v>0</v>
      </c>
    </row>
    <row r="830" spans="1:28">
      <c r="A830" t="s">
        <v>856</v>
      </c>
      <c r="B830">
        <v>0.999984544473304</v>
      </c>
      <c r="C830">
        <v>0.847403734270437</v>
      </c>
      <c r="D830">
        <v>0.509565980600528</v>
      </c>
      <c r="E830">
        <v>0.6878583778455351</v>
      </c>
      <c r="F830">
        <v>0.6288850258808349</v>
      </c>
      <c r="G830">
        <v>0.594804648610058</v>
      </c>
      <c r="H830">
        <v>0.457987279204526</v>
      </c>
      <c r="I830">
        <v>0.300913764847575</v>
      </c>
      <c r="J830">
        <v>0.15625737640668</v>
      </c>
      <c r="K830">
        <v>0.411835913332862</v>
      </c>
      <c r="L830">
        <v>238.889174687515</v>
      </c>
      <c r="M830">
        <v>4.46834076572763</v>
      </c>
      <c r="N830">
        <v>53.4626133490326</v>
      </c>
      <c r="O830">
        <v>45.3498486728729</v>
      </c>
      <c r="P830">
        <v>-0.0248531684313606</v>
      </c>
      <c r="Q830">
        <v>0</v>
      </c>
      <c r="R830">
        <v>0.761007484579234</v>
      </c>
      <c r="S830" t="s">
        <v>2498</v>
      </c>
      <c r="T830" t="s">
        <v>3312</v>
      </c>
      <c r="U830" t="s">
        <v>3312</v>
      </c>
      <c r="V830" t="s">
        <v>3312</v>
      </c>
      <c r="W830" t="s">
        <v>4140</v>
      </c>
      <c r="X830">
        <v>1</v>
      </c>
      <c r="Y830" t="s">
        <v>5781</v>
      </c>
      <c r="Z830" t="s">
        <v>7423</v>
      </c>
      <c r="AA830">
        <v>0.5525164141776456</v>
      </c>
      <c r="AB830">
        <f>HYPERLINK("Melting_Curves/meltCurve_P0AG59_rpsN.pdf", "Melting_Curves/meltCurve_P0AG59_rpsN.pdf")</f>
        <v>0</v>
      </c>
    </row>
    <row r="831" spans="1:28">
      <c r="A831" t="s">
        <v>857</v>
      </c>
      <c r="B831">
        <v>0.999984544473304</v>
      </c>
      <c r="C831">
        <v>0.574733307845848</v>
      </c>
      <c r="D831">
        <v>1.25707387952374</v>
      </c>
      <c r="E831">
        <v>0.306786449283925</v>
      </c>
      <c r="F831">
        <v>0.120533410469061</v>
      </c>
      <c r="G831">
        <v>0.0341642207707889</v>
      </c>
      <c r="H831">
        <v>0.0154755297793464</v>
      </c>
      <c r="I831">
        <v>0.0150518593614952</v>
      </c>
      <c r="J831">
        <v>0.006454540847567</v>
      </c>
      <c r="K831">
        <v>0.00998973374390919</v>
      </c>
      <c r="L831">
        <v>11606.6048768044</v>
      </c>
      <c r="M831">
        <v>250</v>
      </c>
      <c r="N831">
        <v>46.4393464071546</v>
      </c>
      <c r="O831">
        <v>46.4234485840276</v>
      </c>
      <c r="P831">
        <v>-1.30105109122394</v>
      </c>
      <c r="Q831">
        <v>0.0336115473578356</v>
      </c>
      <c r="R831">
        <v>0.86538897359495</v>
      </c>
      <c r="S831" t="s">
        <v>2499</v>
      </c>
      <c r="T831" t="s">
        <v>3312</v>
      </c>
      <c r="U831" t="s">
        <v>3312</v>
      </c>
      <c r="V831" t="s">
        <v>3312</v>
      </c>
      <c r="W831" t="s">
        <v>4141</v>
      </c>
      <c r="X831">
        <v>2</v>
      </c>
      <c r="Y831" t="s">
        <v>5782</v>
      </c>
      <c r="Z831" t="s">
        <v>7424</v>
      </c>
      <c r="AA831">
        <v>0.337343051796368</v>
      </c>
      <c r="AB831">
        <f>HYPERLINK("Melting_Curves/meltCurve_P0AG63_rpsQ.pdf", "Melting_Curves/meltCurve_P0AG63_rpsQ.pdf")</f>
        <v>0</v>
      </c>
    </row>
    <row r="832" spans="1:28">
      <c r="A832" t="s">
        <v>858</v>
      </c>
      <c r="B832">
        <v>0.999984544473304</v>
      </c>
      <c r="C832">
        <v>1.33897042586489</v>
      </c>
      <c r="D832">
        <v>1.18464194115427</v>
      </c>
      <c r="E832">
        <v>1.36947446232964</v>
      </c>
      <c r="F832">
        <v>1.3578069450908</v>
      </c>
      <c r="G832">
        <v>1.10414101663208</v>
      </c>
      <c r="H832">
        <v>1.16792280587735</v>
      </c>
      <c r="I832">
        <v>0.875054058746579</v>
      </c>
      <c r="J832">
        <v>0.783883762456739</v>
      </c>
      <c r="K832">
        <v>0.582597647131097</v>
      </c>
      <c r="L832">
        <v>2253.73726436539</v>
      </c>
      <c r="M832">
        <v>34.9741616528698</v>
      </c>
      <c r="O832">
        <v>64.23048021367811</v>
      </c>
      <c r="P832">
        <v>-0.070862208987091</v>
      </c>
      <c r="Q832">
        <v>0.479444558267241</v>
      </c>
      <c r="R832">
        <v>0.271714022855357</v>
      </c>
      <c r="S832" t="s">
        <v>2500</v>
      </c>
      <c r="T832" t="s">
        <v>3312</v>
      </c>
      <c r="U832" t="s">
        <v>3312</v>
      </c>
      <c r="V832" t="s">
        <v>3312</v>
      </c>
      <c r="W832" t="s">
        <v>4142</v>
      </c>
      <c r="X832">
        <v>18</v>
      </c>
      <c r="Y832" t="s">
        <v>5783</v>
      </c>
      <c r="Z832" t="s">
        <v>7425</v>
      </c>
      <c r="AA832">
        <v>0.9499962936926953</v>
      </c>
      <c r="AB832">
        <f>HYPERLINK("Melting_Curves/meltCurve_P0AG67_rpsA.pdf", "Melting_Curves/meltCurve_P0AG67_rpsA.pdf")</f>
        <v>0</v>
      </c>
    </row>
    <row r="833" spans="1:28">
      <c r="A833" t="s">
        <v>859</v>
      </c>
      <c r="B833">
        <v>0.999984544473304</v>
      </c>
      <c r="C833">
        <v>0.887688389653885</v>
      </c>
      <c r="D833">
        <v>0.9646371458537309</v>
      </c>
      <c r="E833">
        <v>0.989572050292718</v>
      </c>
      <c r="F833">
        <v>1.08021083492195</v>
      </c>
      <c r="G833">
        <v>0.880798140167581</v>
      </c>
      <c r="H833">
        <v>0.956569322006927</v>
      </c>
      <c r="I833">
        <v>0.869047684633399</v>
      </c>
      <c r="J833">
        <v>0.681717875254089</v>
      </c>
      <c r="K833">
        <v>0.398252827297828</v>
      </c>
      <c r="L833">
        <v>1530.44074999513</v>
      </c>
      <c r="M833">
        <v>23.1989575511569</v>
      </c>
      <c r="N833">
        <v>65.97023848502189</v>
      </c>
      <c r="O833">
        <v>65.4859267106651</v>
      </c>
      <c r="P833">
        <v>-0.08856628542056361</v>
      </c>
      <c r="Q833">
        <v>0</v>
      </c>
      <c r="R833">
        <v>0.902333686380593</v>
      </c>
      <c r="S833" t="s">
        <v>2501</v>
      </c>
      <c r="T833" t="s">
        <v>3312</v>
      </c>
      <c r="U833" t="s">
        <v>3312</v>
      </c>
      <c r="V833" t="s">
        <v>3312</v>
      </c>
      <c r="W833" t="s">
        <v>4143</v>
      </c>
      <c r="X833">
        <v>4</v>
      </c>
      <c r="Y833" t="s">
        <v>5784</v>
      </c>
      <c r="Z833" t="s">
        <v>7426</v>
      </c>
      <c r="AA833">
        <v>0.9215153251718667</v>
      </c>
      <c r="AB833">
        <f>HYPERLINK("Melting_Curves/meltCurve_P0AG78_sbp.pdf", "Melting_Curves/meltCurve_P0AG78_sbp.pdf")</f>
        <v>0</v>
      </c>
    </row>
    <row r="834" spans="1:28">
      <c r="A834" t="s">
        <v>860</v>
      </c>
      <c r="B834">
        <v>0.999984544473304</v>
      </c>
      <c r="C834">
        <v>0.999021660365461</v>
      </c>
      <c r="D834">
        <v>1.11868607023874</v>
      </c>
      <c r="E834">
        <v>1.09014990330594</v>
      </c>
      <c r="F834">
        <v>0.972021401415179</v>
      </c>
      <c r="G834">
        <v>0.221268018694875</v>
      </c>
      <c r="H834">
        <v>0.0595578944983221</v>
      </c>
      <c r="I834">
        <v>0.0305530521173461</v>
      </c>
      <c r="J834">
        <v>0.0252225083787202</v>
      </c>
      <c r="K834">
        <v>0.0219508428167378</v>
      </c>
      <c r="L834">
        <v>3656.22743955334</v>
      </c>
      <c r="M834">
        <v>69.3754110908186</v>
      </c>
      <c r="N834">
        <v>52.7544740515211</v>
      </c>
      <c r="O834">
        <v>52.6583265219769</v>
      </c>
      <c r="P834">
        <v>-0.318397782512606</v>
      </c>
      <c r="Q834">
        <v>0.0333007058807001</v>
      </c>
      <c r="R834">
        <v>0.990308927267268</v>
      </c>
      <c r="S834" t="s">
        <v>2502</v>
      </c>
      <c r="T834" t="s">
        <v>3312</v>
      </c>
      <c r="U834" t="s">
        <v>3312</v>
      </c>
      <c r="V834" t="s">
        <v>3312</v>
      </c>
      <c r="W834" t="s">
        <v>4144</v>
      </c>
      <c r="X834">
        <v>17</v>
      </c>
      <c r="Y834" t="s">
        <v>5785</v>
      </c>
      <c r="Z834" t="s">
        <v>7427</v>
      </c>
      <c r="AA834">
        <v>0.5404373776855479</v>
      </c>
      <c r="AB834">
        <f>HYPERLINK("Melting_Curves/meltCurve_P0AG80_ugpB.pdf", "Melting_Curves/meltCurve_P0AG80_ugpB.pdf")</f>
        <v>0</v>
      </c>
    </row>
    <row r="835" spans="1:28">
      <c r="A835" t="s">
        <v>861</v>
      </c>
      <c r="B835">
        <v>0.999984544473304</v>
      </c>
      <c r="C835">
        <v>0.871168981460715</v>
      </c>
      <c r="D835">
        <v>1.00371021544711</v>
      </c>
      <c r="E835">
        <v>0.883611368983387</v>
      </c>
      <c r="F835">
        <v>1.03962424158373</v>
      </c>
      <c r="G835">
        <v>0.899890621250562</v>
      </c>
      <c r="H835">
        <v>0.861799530921452</v>
      </c>
      <c r="I835">
        <v>0.853482839828937</v>
      </c>
      <c r="J835">
        <v>0.789301612597155</v>
      </c>
      <c r="K835">
        <v>0.666062033920382</v>
      </c>
      <c r="L835">
        <v>442.409084381686</v>
      </c>
      <c r="M835">
        <v>5.74011320234534</v>
      </c>
      <c r="Q835">
        <v>0</v>
      </c>
      <c r="R835">
        <v>0.678279096693906</v>
      </c>
      <c r="S835" t="s">
        <v>2503</v>
      </c>
      <c r="T835" t="s">
        <v>3312</v>
      </c>
      <c r="U835" t="s">
        <v>3312</v>
      </c>
      <c r="V835" t="s">
        <v>3312</v>
      </c>
      <c r="W835" t="s">
        <v>4145</v>
      </c>
      <c r="X835">
        <v>14</v>
      </c>
      <c r="Y835" t="s">
        <v>5786</v>
      </c>
      <c r="Z835" t="s">
        <v>7428</v>
      </c>
      <c r="AA835">
        <v>0.9085655232347584</v>
      </c>
      <c r="AB835">
        <f>HYPERLINK("Melting_Curves/meltCurve_P0AG82_pstS.pdf", "Melting_Curves/meltCurve_P0AG82_pstS.pdf")</f>
        <v>0</v>
      </c>
    </row>
    <row r="836" spans="1:28">
      <c r="A836" t="s">
        <v>862</v>
      </c>
      <c r="B836">
        <v>0.999984544473304</v>
      </c>
      <c r="C836">
        <v>1.08437423302254</v>
      </c>
      <c r="D836">
        <v>0.979723042490838</v>
      </c>
      <c r="E836">
        <v>1.16225583467217</v>
      </c>
      <c r="F836">
        <v>0.882383091528543</v>
      </c>
      <c r="G836">
        <v>0.918220148721448</v>
      </c>
      <c r="H836">
        <v>0.549346705759061</v>
      </c>
      <c r="I836">
        <v>0.185135285395289</v>
      </c>
      <c r="J836">
        <v>0.0457248906674254</v>
      </c>
      <c r="K836">
        <v>0.0356781102139707</v>
      </c>
      <c r="L836">
        <v>1689.99118917076</v>
      </c>
      <c r="M836">
        <v>29.2455789695487</v>
      </c>
      <c r="N836">
        <v>57.813848281404</v>
      </c>
      <c r="O836">
        <v>57.5180376681142</v>
      </c>
      <c r="P836">
        <v>-0.126233305137378</v>
      </c>
      <c r="Q836">
        <v>0.00694170906936652</v>
      </c>
      <c r="R836">
        <v>0.973891530763736</v>
      </c>
      <c r="S836" t="s">
        <v>2504</v>
      </c>
      <c r="T836" t="s">
        <v>3312</v>
      </c>
      <c r="U836" t="s">
        <v>3312</v>
      </c>
      <c r="V836" t="s">
        <v>3312</v>
      </c>
      <c r="W836" t="s">
        <v>4146</v>
      </c>
      <c r="X836">
        <v>12</v>
      </c>
      <c r="Y836" t="s">
        <v>5787</v>
      </c>
      <c r="Z836" t="s">
        <v>7429</v>
      </c>
      <c r="AA836">
        <v>0.7007829084807222</v>
      </c>
      <c r="AB836">
        <f>HYPERLINK("Melting_Curves/meltCurve_P0AG84_yghA.pdf", "Melting_Curves/meltCurve_P0AG84_yghA.pdf")</f>
        <v>0</v>
      </c>
    </row>
    <row r="837" spans="1:28">
      <c r="A837" t="s">
        <v>863</v>
      </c>
      <c r="B837">
        <v>0.999984544473304</v>
      </c>
      <c r="C837">
        <v>0.86197946531894</v>
      </c>
      <c r="D837">
        <v>0.969600502891561</v>
      </c>
      <c r="E837">
        <v>0.905876342818758</v>
      </c>
      <c r="F837">
        <v>0.651888154716184</v>
      </c>
      <c r="G837">
        <v>0.362614547228482</v>
      </c>
      <c r="H837">
        <v>0.189826686016464</v>
      </c>
      <c r="I837">
        <v>0.130310819347409</v>
      </c>
      <c r="J837">
        <v>0.0646585301311524</v>
      </c>
      <c r="K837">
        <v>0.0706875497362197</v>
      </c>
      <c r="L837">
        <v>927.877490835344</v>
      </c>
      <c r="M837">
        <v>17.9326595012651</v>
      </c>
      <c r="N837">
        <v>52.0642044907381</v>
      </c>
      <c r="O837">
        <v>51.1117653890899</v>
      </c>
      <c r="P837">
        <v>-0.0831147941130565</v>
      </c>
      <c r="Q837">
        <v>0.0524706416603344</v>
      </c>
      <c r="R837">
        <v>0.9865326359574</v>
      </c>
      <c r="S837" t="s">
        <v>2505</v>
      </c>
      <c r="T837" t="s">
        <v>3312</v>
      </c>
      <c r="U837" t="s">
        <v>3312</v>
      </c>
      <c r="V837" t="s">
        <v>3312</v>
      </c>
      <c r="W837" t="s">
        <v>4147</v>
      </c>
      <c r="X837">
        <v>3</v>
      </c>
      <c r="Y837" t="s">
        <v>5788</v>
      </c>
      <c r="Z837" t="s">
        <v>7430</v>
      </c>
      <c r="AA837">
        <v>0.5326132819595271</v>
      </c>
      <c r="AB837">
        <f>HYPERLINK("Melting_Curves/meltCurve_P0AG86_secB.pdf", "Melting_Curves/meltCurve_P0AG86_secB.pdf")</f>
        <v>0</v>
      </c>
    </row>
    <row r="838" spans="1:28">
      <c r="A838" t="s">
        <v>864</v>
      </c>
      <c r="B838">
        <v>0.999984544473304</v>
      </c>
      <c r="C838">
        <v>1.14638766209901</v>
      </c>
      <c r="D838">
        <v>0.97953987225348</v>
      </c>
      <c r="E838">
        <v>0.291310320977013</v>
      </c>
      <c r="F838">
        <v>0.0707825421133372</v>
      </c>
      <c r="G838">
        <v>0.0356599660549753</v>
      </c>
      <c r="H838">
        <v>0.0332765632207064</v>
      </c>
      <c r="I838">
        <v>0.024976706743375</v>
      </c>
      <c r="J838">
        <v>0.0191746336379089</v>
      </c>
      <c r="K838">
        <v>0.0181590337007497</v>
      </c>
      <c r="L838">
        <v>2574.40218730378</v>
      </c>
      <c r="M838">
        <v>56.2411370944813</v>
      </c>
      <c r="N838">
        <v>45.8287204696616</v>
      </c>
      <c r="O838">
        <v>45.7166000948211</v>
      </c>
      <c r="P838">
        <v>-0.297629813824783</v>
      </c>
      <c r="Q838">
        <v>0.0322659880256433</v>
      </c>
      <c r="R838">
        <v>0.988835457126656</v>
      </c>
      <c r="S838" t="s">
        <v>2506</v>
      </c>
      <c r="T838" t="s">
        <v>3312</v>
      </c>
      <c r="U838" t="s">
        <v>3312</v>
      </c>
      <c r="V838" t="s">
        <v>3312</v>
      </c>
      <c r="W838" t="s">
        <v>4148</v>
      </c>
      <c r="X838">
        <v>4</v>
      </c>
      <c r="Y838" t="s">
        <v>5789</v>
      </c>
      <c r="Z838" t="s">
        <v>7431</v>
      </c>
      <c r="AA838">
        <v>0.3168501930096106</v>
      </c>
      <c r="AB838">
        <f>HYPERLINK("Melting_Curves/meltCurve_P0AG90_secD.pdf", "Melting_Curves/meltCurve_P0AG90_secD.pdf")</f>
        <v>0</v>
      </c>
    </row>
    <row r="839" spans="1:28">
      <c r="A839" t="s">
        <v>865</v>
      </c>
      <c r="B839">
        <v>0.999984544473304</v>
      </c>
      <c r="C839">
        <v>0.952086446001704</v>
      </c>
      <c r="D839">
        <v>1.13023169129084</v>
      </c>
      <c r="E839">
        <v>1.07611058877409</v>
      </c>
      <c r="F839">
        <v>0.9926950601145</v>
      </c>
      <c r="G839">
        <v>0.8749863023314201</v>
      </c>
      <c r="H839">
        <v>0.865279238319849</v>
      </c>
      <c r="I839">
        <v>0.752172094568736</v>
      </c>
      <c r="J839">
        <v>0.632949098326418</v>
      </c>
      <c r="K839">
        <v>0.538903573949885</v>
      </c>
      <c r="L839">
        <v>791.491984188861</v>
      </c>
      <c r="M839">
        <v>12.429471429891</v>
      </c>
      <c r="O839">
        <v>62.0977135359681</v>
      </c>
      <c r="P839">
        <v>-0.0352939873694961</v>
      </c>
      <c r="Q839">
        <v>0.294832438293723</v>
      </c>
      <c r="R839">
        <v>0.906165606733892</v>
      </c>
      <c r="S839" t="s">
        <v>2507</v>
      </c>
      <c r="T839" t="s">
        <v>3312</v>
      </c>
      <c r="U839" t="s">
        <v>3312</v>
      </c>
      <c r="V839" t="s">
        <v>3312</v>
      </c>
      <c r="W839" t="s">
        <v>4149</v>
      </c>
      <c r="X839">
        <v>4</v>
      </c>
      <c r="Y839" t="s">
        <v>5790</v>
      </c>
      <c r="Z839" t="s">
        <v>7432</v>
      </c>
      <c r="AA839">
        <v>0.8842234428174237</v>
      </c>
      <c r="AB839">
        <f>HYPERLINK("Melting_Curves/meltCurve_P0AG96_secE.pdf", "Melting_Curves/meltCurve_P0AG96_secE.pdf")</f>
        <v>0</v>
      </c>
    </row>
    <row r="840" spans="1:28">
      <c r="A840" t="s">
        <v>866</v>
      </c>
      <c r="B840">
        <v>0.999984544473304</v>
      </c>
      <c r="C840">
        <v>0.94956562613782</v>
      </c>
      <c r="D840">
        <v>0.91560194805534</v>
      </c>
      <c r="E840">
        <v>1.06142727757606</v>
      </c>
      <c r="F840">
        <v>1.23594934148601</v>
      </c>
      <c r="G840">
        <v>0.954287437223804</v>
      </c>
      <c r="H840">
        <v>1.00772177906676</v>
      </c>
      <c r="I840">
        <v>0.908803386439857</v>
      </c>
      <c r="J840">
        <v>0.847806998354102</v>
      </c>
      <c r="K840">
        <v>0.6574623144153841</v>
      </c>
      <c r="L840">
        <v>1387.44532314407</v>
      </c>
      <c r="M840">
        <v>20.0404443965723</v>
      </c>
      <c r="Q840">
        <v>0</v>
      </c>
      <c r="R840">
        <v>0.633915437458997</v>
      </c>
      <c r="S840" t="s">
        <v>2508</v>
      </c>
      <c r="T840" t="s">
        <v>3312</v>
      </c>
      <c r="U840" t="s">
        <v>3312</v>
      </c>
      <c r="V840" t="s">
        <v>3312</v>
      </c>
      <c r="W840" t="s">
        <v>4150</v>
      </c>
      <c r="X840">
        <v>2</v>
      </c>
      <c r="Y840" t="s">
        <v>5791</v>
      </c>
      <c r="Z840" t="s">
        <v>7433</v>
      </c>
      <c r="AA840">
        <v>0.9595147168168585</v>
      </c>
      <c r="AB840">
        <f>HYPERLINK("Melting_Curves/meltCurve_P0AG99_secG.pdf", "Melting_Curves/meltCurve_P0AG99_secG.pdf")</f>
        <v>0</v>
      </c>
    </row>
    <row r="841" spans="1:28">
      <c r="A841" t="s">
        <v>867</v>
      </c>
      <c r="B841">
        <v>0.999984544473304</v>
      </c>
      <c r="C841">
        <v>0.927153313488973</v>
      </c>
      <c r="D841">
        <v>0.613305441829278</v>
      </c>
      <c r="E841">
        <v>0.387635782370515</v>
      </c>
      <c r="F841">
        <v>0.225664669424254</v>
      </c>
      <c r="G841">
        <v>0.147663537407453</v>
      </c>
      <c r="H841">
        <v>0.1159588277774</v>
      </c>
      <c r="I841">
        <v>0.0792016265366398</v>
      </c>
      <c r="J841">
        <v>0.05180081599785</v>
      </c>
      <c r="K841">
        <v>0.0376251052654074</v>
      </c>
      <c r="L841">
        <v>692.296368422132</v>
      </c>
      <c r="M841">
        <v>15.5025812777421</v>
      </c>
      <c r="N841">
        <v>45.051584337814</v>
      </c>
      <c r="O841">
        <v>43.9335737825778</v>
      </c>
      <c r="P841">
        <v>-0.0826211437743764</v>
      </c>
      <c r="Q841">
        <v>0.0635058158467626</v>
      </c>
      <c r="R841">
        <v>0.991642129340926</v>
      </c>
      <c r="S841" t="s">
        <v>2509</v>
      </c>
      <c r="T841" t="s">
        <v>3312</v>
      </c>
      <c r="U841" t="s">
        <v>3312</v>
      </c>
      <c r="V841" t="s">
        <v>3312</v>
      </c>
      <c r="W841" t="s">
        <v>4151</v>
      </c>
      <c r="X841">
        <v>6</v>
      </c>
      <c r="Y841" t="s">
        <v>5792</v>
      </c>
      <c r="Z841" t="s">
        <v>7434</v>
      </c>
      <c r="AA841">
        <v>0.3236328724534133</v>
      </c>
      <c r="AB841">
        <f>HYPERLINK("Melting_Curves/meltCurve_P0AGA2_secY.pdf", "Melting_Curves/meltCurve_P0AGA2_secY.pdf")</f>
        <v>0</v>
      </c>
    </row>
    <row r="842" spans="1:28">
      <c r="A842" t="s">
        <v>868</v>
      </c>
      <c r="B842">
        <v>0.999984544473304</v>
      </c>
      <c r="C842">
        <v>0.730294609804211</v>
      </c>
      <c r="D842">
        <v>0.803212258108566</v>
      </c>
      <c r="E842">
        <v>0.498686821870389</v>
      </c>
      <c r="F842">
        <v>0.192661894333926</v>
      </c>
      <c r="G842">
        <v>0.115809146515984</v>
      </c>
      <c r="H842">
        <v>0.09038496859275159</v>
      </c>
      <c r="I842">
        <v>0.0872800218653655</v>
      </c>
      <c r="J842">
        <v>0.0515535159694164</v>
      </c>
      <c r="K842">
        <v>0.041364393892255</v>
      </c>
      <c r="L842">
        <v>619.2409400469149</v>
      </c>
      <c r="M842">
        <v>13.5075868872533</v>
      </c>
      <c r="N842">
        <v>46.0207124880626</v>
      </c>
      <c r="O842">
        <v>44.8741322310284</v>
      </c>
      <c r="P842">
        <v>-0.0733613008374297</v>
      </c>
      <c r="Q842">
        <v>0.0252814678311178</v>
      </c>
      <c r="R842">
        <v>0.966588436586637</v>
      </c>
      <c r="S842" t="s">
        <v>2510</v>
      </c>
      <c r="T842" t="s">
        <v>3312</v>
      </c>
      <c r="U842" t="s">
        <v>3312</v>
      </c>
      <c r="V842" t="s">
        <v>3312</v>
      </c>
      <c r="W842" t="s">
        <v>4152</v>
      </c>
      <c r="X842">
        <v>1</v>
      </c>
      <c r="Y842" t="s">
        <v>5793</v>
      </c>
      <c r="Z842" t="s">
        <v>7435</v>
      </c>
      <c r="AA842">
        <v>0.3400929923132299</v>
      </c>
      <c r="AB842">
        <f>HYPERLINK("Melting_Curves/meltCurve_P0AGB0_serB.pdf", "Melting_Curves/meltCurve_P0AGB0_serB.pdf")</f>
        <v>0</v>
      </c>
    </row>
    <row r="843" spans="1:28">
      <c r="A843" t="s">
        <v>869</v>
      </c>
      <c r="B843">
        <v>0.999984544473304</v>
      </c>
      <c r="C843">
        <v>0.892623816001313</v>
      </c>
      <c r="D843">
        <v>1.00850205861211</v>
      </c>
      <c r="E843">
        <v>0.928772738632901</v>
      </c>
      <c r="F843">
        <v>1.07099187828635</v>
      </c>
      <c r="G843">
        <v>0.943140107533823</v>
      </c>
      <c r="H843">
        <v>0.773323536431253</v>
      </c>
      <c r="I843">
        <v>0.521401085503531</v>
      </c>
      <c r="J843">
        <v>0.245756293809568</v>
      </c>
      <c r="K843">
        <v>0.145188886597246</v>
      </c>
      <c r="L843">
        <v>1331.37907888055</v>
      </c>
      <c r="M843">
        <v>21.8765265254209</v>
      </c>
      <c r="N843">
        <v>60.9828251855786</v>
      </c>
      <c r="O843">
        <v>60.3571339774838</v>
      </c>
      <c r="P843">
        <v>-0.0886432874401693</v>
      </c>
      <c r="Q843">
        <v>0.0217586580907759</v>
      </c>
      <c r="R843">
        <v>0.975546430414076</v>
      </c>
      <c r="S843" t="s">
        <v>2511</v>
      </c>
      <c r="T843" t="s">
        <v>3312</v>
      </c>
      <c r="U843" t="s">
        <v>3312</v>
      </c>
      <c r="V843" t="s">
        <v>3312</v>
      </c>
      <c r="W843" t="s">
        <v>4153</v>
      </c>
      <c r="X843">
        <v>6</v>
      </c>
      <c r="Y843" t="s">
        <v>5794</v>
      </c>
      <c r="Z843" t="s">
        <v>7436</v>
      </c>
      <c r="AA843">
        <v>0.7981999027029628</v>
      </c>
      <c r="AB843">
        <f>HYPERLINK("Melting_Curves/meltCurve_P0AGB6_rpoE.pdf", "Melting_Curves/meltCurve_P0AGB6_rpoE.pdf")</f>
        <v>0</v>
      </c>
    </row>
    <row r="844" spans="1:28">
      <c r="A844" t="s">
        <v>870</v>
      </c>
      <c r="B844">
        <v>0.999984544473304</v>
      </c>
      <c r="C844">
        <v>1.25279547235238</v>
      </c>
      <c r="D844">
        <v>0.578105884756564</v>
      </c>
      <c r="E844">
        <v>0.2647303569585</v>
      </c>
      <c r="F844">
        <v>0.204941018724687</v>
      </c>
      <c r="G844">
        <v>0.174831645646081</v>
      </c>
      <c r="H844">
        <v>0.187357069537286</v>
      </c>
      <c r="I844">
        <v>0.107580326001355</v>
      </c>
      <c r="J844">
        <v>0.0914062149676583</v>
      </c>
      <c r="K844">
        <v>0.100780410775849</v>
      </c>
      <c r="L844">
        <v>10749.4409901505</v>
      </c>
      <c r="M844">
        <v>250</v>
      </c>
      <c r="N844">
        <v>43.0650516788382</v>
      </c>
      <c r="O844">
        <v>42.9950123861663</v>
      </c>
      <c r="P844">
        <v>-1.21865733789444</v>
      </c>
      <c r="Q844">
        <v>0.161661003532991</v>
      </c>
      <c r="R844">
        <v>0.942386747503333</v>
      </c>
      <c r="S844" t="s">
        <v>2512</v>
      </c>
      <c r="T844" t="s">
        <v>3312</v>
      </c>
      <c r="U844" t="s">
        <v>3312</v>
      </c>
      <c r="V844" t="s">
        <v>3312</v>
      </c>
      <c r="W844" t="s">
        <v>4154</v>
      </c>
      <c r="X844">
        <v>6</v>
      </c>
      <c r="Y844" t="s">
        <v>5795</v>
      </c>
      <c r="Z844" t="s">
        <v>7437</v>
      </c>
      <c r="AA844">
        <v>0.3293295789270669</v>
      </c>
      <c r="AB844">
        <f>HYPERLINK("Melting_Curves/meltCurve_P0AGC3_slt.pdf", "Melting_Curves/meltCurve_P0AGC3_slt.pdf")</f>
        <v>0</v>
      </c>
    </row>
    <row r="845" spans="1:28">
      <c r="A845" t="s">
        <v>871</v>
      </c>
      <c r="B845">
        <v>0.999984544473304</v>
      </c>
      <c r="C845">
        <v>1.06362023125672</v>
      </c>
      <c r="D845">
        <v>0.872555322323765</v>
      </c>
      <c r="E845">
        <v>1.10201189818753</v>
      </c>
      <c r="F845">
        <v>1.34086549925049</v>
      </c>
      <c r="G845">
        <v>1.02388827935384</v>
      </c>
      <c r="H845">
        <v>1.04342242050541</v>
      </c>
      <c r="I845">
        <v>1.03424444050468</v>
      </c>
      <c r="J845">
        <v>0.744176976568755</v>
      </c>
      <c r="K845">
        <v>0.863846296141786</v>
      </c>
      <c r="L845">
        <v>15000</v>
      </c>
      <c r="M845">
        <v>240.228789847254</v>
      </c>
      <c r="O845">
        <v>62.4361680460481</v>
      </c>
      <c r="P845">
        <v>-0.18859310765532</v>
      </c>
      <c r="Q845">
        <v>0.803936450550508</v>
      </c>
      <c r="R845">
        <v>0.324948495395024</v>
      </c>
      <c r="S845" t="s">
        <v>2513</v>
      </c>
      <c r="T845" t="s">
        <v>3312</v>
      </c>
      <c r="U845" t="s">
        <v>3312</v>
      </c>
      <c r="V845" t="s">
        <v>3312</v>
      </c>
      <c r="W845" t="s">
        <v>4155</v>
      </c>
      <c r="X845">
        <v>8</v>
      </c>
      <c r="Y845" t="s">
        <v>5796</v>
      </c>
      <c r="Z845" t="s">
        <v>7438</v>
      </c>
      <c r="AA845">
        <v>0.9702247203690422</v>
      </c>
      <c r="AB845">
        <f>HYPERLINK("Melting_Curves/meltCurve_P0AGD1_sodC.pdf", "Melting_Curves/meltCurve_P0AGD1_sodC.pdf")</f>
        <v>0</v>
      </c>
    </row>
    <row r="846" spans="1:28">
      <c r="A846" t="s">
        <v>872</v>
      </c>
      <c r="B846">
        <v>0.999984544473304</v>
      </c>
      <c r="C846">
        <v>0.730653546327605</v>
      </c>
      <c r="D846">
        <v>0.9554941370625289</v>
      </c>
      <c r="E846">
        <v>0.933096628688922</v>
      </c>
      <c r="F846">
        <v>1.21336249368177</v>
      </c>
      <c r="G846">
        <v>1.00640341370005</v>
      </c>
      <c r="H846">
        <v>1.12678308785198</v>
      </c>
      <c r="I846">
        <v>1.08729049308632</v>
      </c>
      <c r="J846">
        <v>0.976334178870375</v>
      </c>
      <c r="K846">
        <v>0.7100287104522111</v>
      </c>
      <c r="L846">
        <v>4472.2918819522</v>
      </c>
      <c r="M846">
        <v>65.9582002826691</v>
      </c>
      <c r="Q846">
        <v>0.0739732190163148</v>
      </c>
      <c r="R846">
        <v>0.343777869845608</v>
      </c>
      <c r="S846" t="s">
        <v>2514</v>
      </c>
      <c r="T846" t="s">
        <v>3312</v>
      </c>
      <c r="U846" t="s">
        <v>3312</v>
      </c>
      <c r="V846" t="s">
        <v>3312</v>
      </c>
      <c r="W846" t="s">
        <v>4156</v>
      </c>
      <c r="X846">
        <v>6</v>
      </c>
      <c r="Y846" t="s">
        <v>5797</v>
      </c>
      <c r="Z846" t="s">
        <v>7439</v>
      </c>
      <c r="AA846">
        <v>0.9887927580451671</v>
      </c>
      <c r="AB846">
        <f>HYPERLINK("Melting_Curves/meltCurve_P0AGD3_sodB.pdf", "Melting_Curves/meltCurve_P0AGD3_sodB.pdf")</f>
        <v>0</v>
      </c>
    </row>
    <row r="847" spans="1:28">
      <c r="A847" t="s">
        <v>873</v>
      </c>
      <c r="B847">
        <v>0.999984544473304</v>
      </c>
      <c r="C847">
        <v>0.627470352355767</v>
      </c>
      <c r="D847">
        <v>0.325266221508918</v>
      </c>
      <c r="E847">
        <v>0.233334388245632</v>
      </c>
      <c r="F847">
        <v>0.161112335574233</v>
      </c>
      <c r="G847">
        <v>0.09613947713802599</v>
      </c>
      <c r="H847">
        <v>0.0766794439891799</v>
      </c>
      <c r="I847">
        <v>0.0596542514036333</v>
      </c>
      <c r="J847">
        <v>0.0479792477191508</v>
      </c>
      <c r="K847">
        <v>0.0586471254444599</v>
      </c>
      <c r="L847">
        <v>811.023458970365</v>
      </c>
      <c r="M847">
        <v>19.7443746722636</v>
      </c>
      <c r="N847">
        <v>41.4578812055891</v>
      </c>
      <c r="O847">
        <v>40.6617796955644</v>
      </c>
      <c r="P847">
        <v>-0.111308386632543</v>
      </c>
      <c r="Q847">
        <v>0.08311258645073701</v>
      </c>
      <c r="R847">
        <v>0.975426553261709</v>
      </c>
      <c r="S847" t="s">
        <v>2515</v>
      </c>
      <c r="T847" t="s">
        <v>3312</v>
      </c>
      <c r="U847" t="s">
        <v>3312</v>
      </c>
      <c r="V847" t="s">
        <v>3312</v>
      </c>
      <c r="W847" t="s">
        <v>4157</v>
      </c>
      <c r="X847">
        <v>5</v>
      </c>
      <c r="Y847" t="s">
        <v>5798</v>
      </c>
      <c r="Z847" t="s">
        <v>7440</v>
      </c>
      <c r="AA847">
        <v>0.2236897337374605</v>
      </c>
      <c r="AB847">
        <f>HYPERLINK("Melting_Curves/meltCurve_P0AGD7_ffh.pdf", "Melting_Curves/meltCurve_P0AGD7_ffh.pdf")</f>
        <v>0</v>
      </c>
    </row>
    <row r="848" spans="1:28">
      <c r="A848" t="s">
        <v>874</v>
      </c>
      <c r="B848">
        <v>0.999984544473304</v>
      </c>
      <c r="C848">
        <v>0.981365070907812</v>
      </c>
      <c r="D848">
        <v>1.2092019551357</v>
      </c>
      <c r="E848">
        <v>1.05100091395516</v>
      </c>
      <c r="F848">
        <v>1.30523215501476</v>
      </c>
      <c r="G848">
        <v>1.1894889496992</v>
      </c>
      <c r="H848">
        <v>1.15791894330328</v>
      </c>
      <c r="I848">
        <v>1.05134289955568</v>
      </c>
      <c r="J848">
        <v>0.903157897630591</v>
      </c>
      <c r="K848">
        <v>0.48848796817172</v>
      </c>
      <c r="L848">
        <v>15000</v>
      </c>
      <c r="M848">
        <v>232.554741657656</v>
      </c>
      <c r="N848">
        <v>65.5619941443878</v>
      </c>
      <c r="O848">
        <v>64.49617245126591</v>
      </c>
      <c r="P848">
        <v>-0.461170344834487</v>
      </c>
      <c r="Q848">
        <v>0.488400506686069</v>
      </c>
      <c r="R848">
        <v>0.560789228886024</v>
      </c>
      <c r="S848" t="s">
        <v>2516</v>
      </c>
      <c r="T848" t="s">
        <v>3312</v>
      </c>
      <c r="U848" t="s">
        <v>3312</v>
      </c>
      <c r="V848" t="s">
        <v>3312</v>
      </c>
      <c r="W848" t="s">
        <v>4158</v>
      </c>
      <c r="X848">
        <v>4</v>
      </c>
      <c r="Y848" t="s">
        <v>5799</v>
      </c>
      <c r="Z848" t="s">
        <v>7441</v>
      </c>
      <c r="AA848">
        <v>0.9574488288800135</v>
      </c>
      <c r="AB848">
        <f>HYPERLINK("Melting_Curves/meltCurve_P0AGE0_ssb.pdf", "Melting_Curves/meltCurve_P0AGE0_ssb.pdf")</f>
        <v>0</v>
      </c>
    </row>
    <row r="849" spans="1:28">
      <c r="A849" t="s">
        <v>875</v>
      </c>
      <c r="B849">
        <v>0.999984544473304</v>
      </c>
      <c r="C849">
        <v>0.884866608310227</v>
      </c>
      <c r="D849">
        <v>0.641544939117443</v>
      </c>
      <c r="E849">
        <v>0.6353427385547</v>
      </c>
      <c r="F849">
        <v>0.615064030121662</v>
      </c>
      <c r="G849">
        <v>0.500242727952471</v>
      </c>
      <c r="H849">
        <v>0.488675350226729</v>
      </c>
      <c r="I849">
        <v>0.467035867769216</v>
      </c>
      <c r="J849">
        <v>0.416729019438965</v>
      </c>
      <c r="K849">
        <v>0.350712172168418</v>
      </c>
      <c r="L849">
        <v>399.590339163868</v>
      </c>
      <c r="M849">
        <v>8.870841081654589</v>
      </c>
      <c r="N849">
        <v>53.7028257810737</v>
      </c>
      <c r="O849">
        <v>42.9324968935081</v>
      </c>
      <c r="P849">
        <v>-0.032032825347268</v>
      </c>
      <c r="Q849">
        <v>0.380354128115939</v>
      </c>
      <c r="R849">
        <v>0.923421725210314</v>
      </c>
      <c r="S849" t="s">
        <v>2517</v>
      </c>
      <c r="T849" t="s">
        <v>3312</v>
      </c>
      <c r="U849" t="s">
        <v>3312</v>
      </c>
      <c r="V849" t="s">
        <v>3312</v>
      </c>
      <c r="W849" t="s">
        <v>4159</v>
      </c>
      <c r="X849">
        <v>4</v>
      </c>
      <c r="Y849" t="s">
        <v>5800</v>
      </c>
      <c r="Z849" t="s">
        <v>7442</v>
      </c>
      <c r="AA849">
        <v>0.5832735576360206</v>
      </c>
      <c r="AB849">
        <f>HYPERLINK("Melting_Curves/meltCurve_P0AGE6_chrR.pdf", "Melting_Curves/meltCurve_P0AGE6_chrR.pdf")</f>
        <v>0</v>
      </c>
    </row>
    <row r="850" spans="1:28">
      <c r="A850" t="s">
        <v>876</v>
      </c>
      <c r="B850">
        <v>0.999984544473304</v>
      </c>
      <c r="C850">
        <v>0.863612141847536</v>
      </c>
      <c r="D850">
        <v>1.06369219942308</v>
      </c>
      <c r="E850">
        <v>0.9149015583767171</v>
      </c>
      <c r="F850">
        <v>0.8300801652913961</v>
      </c>
      <c r="G850">
        <v>0.270299757844461</v>
      </c>
      <c r="H850">
        <v>0.0298743078963162</v>
      </c>
      <c r="I850">
        <v>0.0154050847477022</v>
      </c>
      <c r="J850">
        <v>0.0106965250292484</v>
      </c>
      <c r="K850">
        <v>0.00938466964106505</v>
      </c>
      <c r="L850">
        <v>1894.85457271886</v>
      </c>
      <c r="M850">
        <v>36.2309732947055</v>
      </c>
      <c r="N850">
        <v>52.314460641619</v>
      </c>
      <c r="O850">
        <v>52.1407400593916</v>
      </c>
      <c r="P850">
        <v>-0.172809130223002</v>
      </c>
      <c r="Q850">
        <v>0.00523035100264437</v>
      </c>
      <c r="R850">
        <v>0.985573475505911</v>
      </c>
      <c r="S850" t="s">
        <v>2518</v>
      </c>
      <c r="T850" t="s">
        <v>3312</v>
      </c>
      <c r="U850" t="s">
        <v>3312</v>
      </c>
      <c r="V850" t="s">
        <v>3312</v>
      </c>
      <c r="W850" t="s">
        <v>4160</v>
      </c>
      <c r="X850">
        <v>9</v>
      </c>
      <c r="Y850" t="s">
        <v>5801</v>
      </c>
      <c r="Z850" t="s">
        <v>7443</v>
      </c>
      <c r="AA850">
        <v>0.5169029290262402</v>
      </c>
      <c r="AB850">
        <f>HYPERLINK("Melting_Curves/meltCurve_P0AGE9_sucD.pdf", "Melting_Curves/meltCurve_P0AGE9_sucD.pdf")</f>
        <v>0</v>
      </c>
    </row>
    <row r="851" spans="1:28">
      <c r="A851" t="s">
        <v>877</v>
      </c>
      <c r="B851">
        <v>0.999984544473304</v>
      </c>
      <c r="C851">
        <v>1.00684880902536</v>
      </c>
      <c r="D851">
        <v>0.86517056301483</v>
      </c>
      <c r="E851">
        <v>1.0023763422018</v>
      </c>
      <c r="F851">
        <v>0.961644701195245</v>
      </c>
      <c r="G851">
        <v>0.773009858409435</v>
      </c>
      <c r="H851">
        <v>0.619961449259097</v>
      </c>
      <c r="I851">
        <v>0.460631595410306</v>
      </c>
      <c r="J851">
        <v>0.325784938092681</v>
      </c>
      <c r="K851">
        <v>0.328069906989249</v>
      </c>
      <c r="L851">
        <v>940.712060540858</v>
      </c>
      <c r="M851">
        <v>16.4716098310396</v>
      </c>
      <c r="N851">
        <v>59.6358256665509</v>
      </c>
      <c r="O851">
        <v>56.2892462742666</v>
      </c>
      <c r="P851">
        <v>-0.0547945365812728</v>
      </c>
      <c r="Q851">
        <v>0.251044096955806</v>
      </c>
      <c r="R851">
        <v>0.970074051658836</v>
      </c>
      <c r="S851" t="s">
        <v>2519</v>
      </c>
      <c r="T851" t="s">
        <v>3312</v>
      </c>
      <c r="U851" t="s">
        <v>3312</v>
      </c>
      <c r="V851" t="s">
        <v>3312</v>
      </c>
      <c r="W851" t="s">
        <v>4161</v>
      </c>
      <c r="X851">
        <v>5</v>
      </c>
      <c r="Y851" t="s">
        <v>5802</v>
      </c>
      <c r="Z851" t="s">
        <v>7444</v>
      </c>
      <c r="AA851">
        <v>0.7594596101974723</v>
      </c>
      <c r="AB851">
        <f>HYPERLINK("Melting_Curves/meltCurve_P0AGF2_csdE.pdf", "Melting_Curves/meltCurve_P0AGF2_csdE.pdf")</f>
        <v>0</v>
      </c>
    </row>
    <row r="852" spans="1:28">
      <c r="A852" t="s">
        <v>878</v>
      </c>
      <c r="B852">
        <v>0.999984544473304</v>
      </c>
      <c r="C852">
        <v>0.839992418970656</v>
      </c>
      <c r="D852">
        <v>1.06852959687779</v>
      </c>
      <c r="E852">
        <v>0.9394093077285059</v>
      </c>
      <c r="F852">
        <v>0.894417780171393</v>
      </c>
      <c r="G852">
        <v>0.64601429359442</v>
      </c>
      <c r="H852">
        <v>0.375611363436543</v>
      </c>
      <c r="I852">
        <v>0.182408522130854</v>
      </c>
      <c r="J852">
        <v>0.0719610179295382</v>
      </c>
      <c r="K852">
        <v>0.0427303039185442</v>
      </c>
      <c r="L852">
        <v>1006.10220987565</v>
      </c>
      <c r="M852">
        <v>18.0569629516099</v>
      </c>
      <c r="N852">
        <v>55.7182422440283</v>
      </c>
      <c r="O852">
        <v>55.0483557828808</v>
      </c>
      <c r="P852">
        <v>-0.0820090113661429</v>
      </c>
      <c r="Q852">
        <v>0</v>
      </c>
      <c r="R852">
        <v>0.977723781736511</v>
      </c>
      <c r="S852" t="s">
        <v>2520</v>
      </c>
      <c r="T852" t="s">
        <v>3312</v>
      </c>
      <c r="U852" t="s">
        <v>3312</v>
      </c>
      <c r="V852" t="s">
        <v>3312</v>
      </c>
      <c r="W852" t="s">
        <v>4162</v>
      </c>
      <c r="X852">
        <v>6</v>
      </c>
      <c r="Y852" t="s">
        <v>5803</v>
      </c>
      <c r="Z852" t="s">
        <v>7445</v>
      </c>
      <c r="AA852">
        <v>0.6354242420401898</v>
      </c>
      <c r="AB852">
        <f>HYPERLINK("Melting_Curves/meltCurve_P0AGG2_tesB.pdf", "Melting_Curves/meltCurve_P0AGG2_tesB.pdf")</f>
        <v>0</v>
      </c>
    </row>
    <row r="853" spans="1:28">
      <c r="A853" t="s">
        <v>879</v>
      </c>
      <c r="B853">
        <v>0.999984544473304</v>
      </c>
      <c r="C853">
        <v>1.13525436940691</v>
      </c>
      <c r="D853">
        <v>0.896393587595734</v>
      </c>
      <c r="E853">
        <v>0.938284067017936</v>
      </c>
      <c r="F853">
        <v>0.874457509041638</v>
      </c>
      <c r="G853">
        <v>0.734766437977233</v>
      </c>
      <c r="H853">
        <v>0.565188684964969</v>
      </c>
      <c r="I853">
        <v>0.5271986505423359</v>
      </c>
      <c r="J853">
        <v>0.330169428592749</v>
      </c>
      <c r="K853">
        <v>0.476859569835788</v>
      </c>
      <c r="L853">
        <v>793.417555457707</v>
      </c>
      <c r="M853">
        <v>14.5074798892879</v>
      </c>
      <c r="N853">
        <v>60.2347734649001</v>
      </c>
      <c r="O853">
        <v>53.6826014310638</v>
      </c>
      <c r="P853">
        <v>-0.0426717512327383</v>
      </c>
      <c r="Q853">
        <v>0.368472857016299</v>
      </c>
      <c r="R853">
        <v>0.926035510552234</v>
      </c>
      <c r="S853" t="s">
        <v>2521</v>
      </c>
      <c r="T853" t="s">
        <v>3312</v>
      </c>
      <c r="U853" t="s">
        <v>3312</v>
      </c>
      <c r="V853" t="s">
        <v>3312</v>
      </c>
      <c r="W853" t="s">
        <v>4163</v>
      </c>
      <c r="X853">
        <v>3</v>
      </c>
      <c r="Y853" t="s">
        <v>5804</v>
      </c>
      <c r="Z853" t="s">
        <v>7446</v>
      </c>
      <c r="AA853">
        <v>0.7503614770513184</v>
      </c>
      <c r="AB853">
        <f>HYPERLINK("Melting_Curves/meltCurve_P0AGG4_trxC.pdf", "Melting_Curves/meltCurve_P0AGG4_trxC.pdf")</f>
        <v>0</v>
      </c>
    </row>
    <row r="854" spans="1:28">
      <c r="A854" t="s">
        <v>880</v>
      </c>
      <c r="B854">
        <v>0.999984544473304</v>
      </c>
      <c r="C854">
        <v>1.04367536492372</v>
      </c>
      <c r="D854">
        <v>1.12335277336507</v>
      </c>
      <c r="E854">
        <v>0.939941028406449</v>
      </c>
      <c r="F854">
        <v>1.01566483542794</v>
      </c>
      <c r="G854">
        <v>0.892321025855797</v>
      </c>
      <c r="H854">
        <v>0.7435649636011979</v>
      </c>
      <c r="I854">
        <v>0.604042570871549</v>
      </c>
      <c r="J854">
        <v>0.312843243975663</v>
      </c>
      <c r="K854">
        <v>0.122735769279242</v>
      </c>
      <c r="L854">
        <v>1141.20819684194</v>
      </c>
      <c r="M854">
        <v>18.5770727395772</v>
      </c>
      <c r="N854">
        <v>61.4310024192026</v>
      </c>
      <c r="O854">
        <v>60.7324350409592</v>
      </c>
      <c r="P854">
        <v>-0.07647429927419599</v>
      </c>
      <c r="Q854">
        <v>0</v>
      </c>
      <c r="R854">
        <v>0.967489190400772</v>
      </c>
      <c r="S854" t="s">
        <v>2522</v>
      </c>
      <c r="T854" t="s">
        <v>3312</v>
      </c>
      <c r="U854" t="s">
        <v>3312</v>
      </c>
      <c r="V854" t="s">
        <v>3312</v>
      </c>
      <c r="W854" t="s">
        <v>4164</v>
      </c>
      <c r="X854">
        <v>6</v>
      </c>
      <c r="Y854" t="s">
        <v>5805</v>
      </c>
      <c r="Z854" t="s">
        <v>7447</v>
      </c>
      <c r="AA854">
        <v>0.8054926905491657</v>
      </c>
      <c r="AB854">
        <f>HYPERLINK("Melting_Curves/meltCurve_P0AGG8_tldD.pdf", "Melting_Curves/meltCurve_P0AGG8_tldD.pdf")</f>
        <v>0</v>
      </c>
    </row>
    <row r="855" spans="1:28">
      <c r="A855" t="s">
        <v>881</v>
      </c>
      <c r="B855">
        <v>0.999984544473304</v>
      </c>
      <c r="C855">
        <v>1.23467477282114</v>
      </c>
      <c r="D855">
        <v>0.9013086010435301</v>
      </c>
      <c r="E855">
        <v>0.827871391963882</v>
      </c>
      <c r="F855">
        <v>0.637840102878247</v>
      </c>
      <c r="G855">
        <v>0.493564403795737</v>
      </c>
      <c r="H855">
        <v>0.367170221058278</v>
      </c>
      <c r="I855">
        <v>0.187903246154115</v>
      </c>
      <c r="J855">
        <v>0.08715444622790811</v>
      </c>
      <c r="K855">
        <v>0.0913964906650761</v>
      </c>
      <c r="L855">
        <v>621.48617548504</v>
      </c>
      <c r="M855">
        <v>11.6196899108243</v>
      </c>
      <c r="N855">
        <v>53.4856076278836</v>
      </c>
      <c r="O855">
        <v>51.9751015277817</v>
      </c>
      <c r="P855">
        <v>-0.055905924589795</v>
      </c>
      <c r="Q855">
        <v>0</v>
      </c>
      <c r="R855">
        <v>0.949845506925999</v>
      </c>
      <c r="S855" t="s">
        <v>2523</v>
      </c>
      <c r="T855" t="s">
        <v>3312</v>
      </c>
      <c r="U855" t="s">
        <v>3312</v>
      </c>
      <c r="V855" t="s">
        <v>3312</v>
      </c>
      <c r="W855" t="s">
        <v>4165</v>
      </c>
      <c r="X855">
        <v>2</v>
      </c>
      <c r="Y855" t="s">
        <v>5806</v>
      </c>
      <c r="Z855" t="s">
        <v>7448</v>
      </c>
      <c r="AA855">
        <v>0.5693369592367492</v>
      </c>
      <c r="AB855">
        <f>HYPERLINK("Melting_Curves/meltCurve_P0AGI1_rbsC.pdf", "Melting_Curves/meltCurve_P0AGI1_rbsC.pdf")</f>
        <v>0</v>
      </c>
    </row>
    <row r="856" spans="1:28">
      <c r="A856" t="s">
        <v>882</v>
      </c>
      <c r="B856">
        <v>0.999984544473304</v>
      </c>
      <c r="C856">
        <v>0.842871933638069</v>
      </c>
      <c r="D856">
        <v>0.468364824175119</v>
      </c>
      <c r="E856">
        <v>0.246419252158941</v>
      </c>
      <c r="F856">
        <v>0.133487716308673</v>
      </c>
      <c r="G856">
        <v>0.0868920195699313</v>
      </c>
      <c r="H856">
        <v>0.0720383531847039</v>
      </c>
      <c r="I856">
        <v>0.0490359080529497</v>
      </c>
      <c r="J856">
        <v>0.0381512517626946</v>
      </c>
      <c r="K856">
        <v>0.0385260790202348</v>
      </c>
      <c r="L856">
        <v>843.600597548373</v>
      </c>
      <c r="M856">
        <v>19.6945950687412</v>
      </c>
      <c r="N856">
        <v>43.1032867566769</v>
      </c>
      <c r="O856">
        <v>42.3998335779961</v>
      </c>
      <c r="P856">
        <v>-0.109409049034436</v>
      </c>
      <c r="Q856">
        <v>0.0578602913671196</v>
      </c>
      <c r="R856">
        <v>0.994157973015204</v>
      </c>
      <c r="S856" t="s">
        <v>2524</v>
      </c>
      <c r="T856" t="s">
        <v>3312</v>
      </c>
      <c r="U856" t="s">
        <v>3312</v>
      </c>
      <c r="V856" t="s">
        <v>3312</v>
      </c>
      <c r="W856" t="s">
        <v>4166</v>
      </c>
      <c r="X856">
        <v>3</v>
      </c>
      <c r="Y856" t="s">
        <v>5807</v>
      </c>
      <c r="Z856" t="s">
        <v>7449</v>
      </c>
      <c r="AA856">
        <v>0.2548246925411143</v>
      </c>
      <c r="AB856">
        <f>HYPERLINK("Melting_Curves/meltCurve_P0AGI8_trkA.pdf", "Melting_Curves/meltCurve_P0AGI8_trkA.pdf")</f>
        <v>0</v>
      </c>
    </row>
    <row r="857" spans="1:28">
      <c r="A857" t="s">
        <v>883</v>
      </c>
      <c r="B857">
        <v>0.999984544473304</v>
      </c>
      <c r="C857">
        <v>0.706594740709652</v>
      </c>
      <c r="D857">
        <v>0.214892409094369</v>
      </c>
      <c r="E857">
        <v>0.0807210759135652</v>
      </c>
      <c r="F857">
        <v>0.041136325738367</v>
      </c>
      <c r="G857">
        <v>0</v>
      </c>
      <c r="H857">
        <v>0</v>
      </c>
      <c r="I857">
        <v>0</v>
      </c>
      <c r="J857">
        <v>0.0326022348352277</v>
      </c>
      <c r="K857">
        <v>0</v>
      </c>
      <c r="L857">
        <v>1233.93120799045</v>
      </c>
      <c r="M857">
        <v>30.0383664992498</v>
      </c>
      <c r="N857">
        <v>41.124625419287</v>
      </c>
      <c r="O857">
        <v>40.8977380564041</v>
      </c>
      <c r="P857">
        <v>-0.180578667481051</v>
      </c>
      <c r="Q857">
        <v>0.0165629584170528</v>
      </c>
      <c r="R857">
        <v>0.996049653777063</v>
      </c>
      <c r="S857" t="s">
        <v>2525</v>
      </c>
      <c r="T857" t="s">
        <v>3312</v>
      </c>
      <c r="U857" t="s">
        <v>3312</v>
      </c>
      <c r="V857" t="s">
        <v>3312</v>
      </c>
      <c r="W857" t="s">
        <v>4167</v>
      </c>
      <c r="X857">
        <v>1</v>
      </c>
      <c r="Y857" t="s">
        <v>5808</v>
      </c>
      <c r="Z857" t="s">
        <v>7450</v>
      </c>
      <c r="AA857">
        <v>0.156478488373247</v>
      </c>
      <c r="AB857">
        <f>HYPERLINK("Melting_Curves/meltCurve_P0AGJ2_trmH.pdf", "Melting_Curves/meltCurve_P0AGJ2_trmH.pdf")</f>
        <v>0</v>
      </c>
    </row>
    <row r="858" spans="1:28">
      <c r="A858" t="s">
        <v>884</v>
      </c>
      <c r="B858">
        <v>0.999984544473304</v>
      </c>
      <c r="C858">
        <v>1.24633411008215</v>
      </c>
      <c r="D858">
        <v>1.07009989183941</v>
      </c>
      <c r="E858">
        <v>0.973918859610335</v>
      </c>
      <c r="F858">
        <v>0.26231738618807</v>
      </c>
      <c r="G858">
        <v>0.109611599512049</v>
      </c>
      <c r="H858">
        <v>0.103440465394366</v>
      </c>
      <c r="I858">
        <v>0.0690822280593153</v>
      </c>
      <c r="J858">
        <v>0.0481356226089904</v>
      </c>
      <c r="K858">
        <v>0.08064239263553841</v>
      </c>
      <c r="L858">
        <v>3149.85986761962</v>
      </c>
      <c r="M858">
        <v>64.143979124941</v>
      </c>
      <c r="N858">
        <v>49.2423392493971</v>
      </c>
      <c r="O858">
        <v>49.0584053988085</v>
      </c>
      <c r="P858">
        <v>-0.300296464734097</v>
      </c>
      <c r="Q858">
        <v>0.0813125648197234</v>
      </c>
      <c r="R858">
        <v>0.970296884757889</v>
      </c>
      <c r="S858" t="s">
        <v>2526</v>
      </c>
      <c r="T858" t="s">
        <v>3312</v>
      </c>
      <c r="U858" t="s">
        <v>3312</v>
      </c>
      <c r="V858" t="s">
        <v>3312</v>
      </c>
      <c r="W858" t="s">
        <v>4168</v>
      </c>
      <c r="X858">
        <v>4</v>
      </c>
      <c r="Y858" t="s">
        <v>5809</v>
      </c>
      <c r="Z858" t="s">
        <v>7451</v>
      </c>
      <c r="AA858">
        <v>0.4532427212863891</v>
      </c>
      <c r="AB858">
        <f>HYPERLINK("Melting_Curves/meltCurve_P0AGJ5_yfiF.pdf", "Melting_Curves/meltCurve_P0AGJ5_yfiF.pdf")</f>
        <v>0</v>
      </c>
    </row>
    <row r="859" spans="1:28">
      <c r="A859" t="s">
        <v>885</v>
      </c>
      <c r="B859">
        <v>0.999984544473304</v>
      </c>
      <c r="C859">
        <v>1.0248615506823</v>
      </c>
      <c r="D859">
        <v>0.9406280719648</v>
      </c>
      <c r="E859">
        <v>0.875637705412857</v>
      </c>
      <c r="F859">
        <v>0.439134425846612</v>
      </c>
      <c r="G859">
        <v>0.09698673251244951</v>
      </c>
      <c r="H859">
        <v>0.0467705877174708</v>
      </c>
      <c r="I859">
        <v>0.0309063182027579</v>
      </c>
      <c r="J859">
        <v>0.0245984887865748</v>
      </c>
      <c r="K859">
        <v>0.0336600393856411</v>
      </c>
      <c r="L859">
        <v>1472.38308452135</v>
      </c>
      <c r="M859">
        <v>29.6674806394103</v>
      </c>
      <c r="N859">
        <v>49.7167732819977</v>
      </c>
      <c r="O859">
        <v>49.4056742966326</v>
      </c>
      <c r="P859">
        <v>-0.146315000351251</v>
      </c>
      <c r="Q859">
        <v>0.0253648916282923</v>
      </c>
      <c r="R859">
        <v>0.998109417443878</v>
      </c>
      <c r="S859" t="s">
        <v>2527</v>
      </c>
      <c r="T859" t="s">
        <v>3312</v>
      </c>
      <c r="U859" t="s">
        <v>3312</v>
      </c>
      <c r="V859" t="s">
        <v>3312</v>
      </c>
      <c r="W859" t="s">
        <v>4169</v>
      </c>
      <c r="X859">
        <v>3</v>
      </c>
      <c r="Y859" t="s">
        <v>5810</v>
      </c>
      <c r="Z859" t="s">
        <v>7452</v>
      </c>
      <c r="AA859">
        <v>0.4417469723815906</v>
      </c>
      <c r="AB859">
        <f>HYPERLINK("Melting_Curves/meltCurve_P0AGJ7_trmL.pdf", "Melting_Curves/meltCurve_P0AGJ7_trmL.pdf")</f>
        <v>0</v>
      </c>
    </row>
    <row r="860" spans="1:28">
      <c r="A860" t="s">
        <v>886</v>
      </c>
      <c r="B860">
        <v>0.999984544473304</v>
      </c>
      <c r="C860">
        <v>0.952159873898032</v>
      </c>
      <c r="D860">
        <v>0.673803119998089</v>
      </c>
      <c r="E860">
        <v>0.334523610204117</v>
      </c>
      <c r="F860">
        <v>0.100760127644365</v>
      </c>
      <c r="G860">
        <v>0.0511835540932865</v>
      </c>
      <c r="H860">
        <v>0.0363150114154743</v>
      </c>
      <c r="I860">
        <v>0.0241900619803555</v>
      </c>
      <c r="J860">
        <v>0.0127429060794654</v>
      </c>
      <c r="K860">
        <v>0.0257415380047644</v>
      </c>
      <c r="L860">
        <v>920.593951790701</v>
      </c>
      <c r="M860">
        <v>20.5971505218377</v>
      </c>
      <c r="N860">
        <v>44.7849201087827</v>
      </c>
      <c r="O860">
        <v>44.2802922966574</v>
      </c>
      <c r="P860">
        <v>-0.113941560247151</v>
      </c>
      <c r="Q860">
        <v>0.0202100038513743</v>
      </c>
      <c r="R860">
        <v>0.99844821192956</v>
      </c>
      <c r="S860" t="s">
        <v>2528</v>
      </c>
      <c r="T860" t="s">
        <v>3312</v>
      </c>
      <c r="U860" t="s">
        <v>3312</v>
      </c>
      <c r="V860" t="s">
        <v>3312</v>
      </c>
      <c r="W860" t="s">
        <v>4170</v>
      </c>
      <c r="X860">
        <v>3</v>
      </c>
      <c r="Y860" t="s">
        <v>5811</v>
      </c>
      <c r="Z860" t="s">
        <v>7453</v>
      </c>
      <c r="AA860">
        <v>0.2836706586085743</v>
      </c>
      <c r="AB860">
        <f>HYPERLINK("Melting_Curves/meltCurve_P0AGJ9_tyrS.pdf", "Melting_Curves/meltCurve_P0AGJ9_tyrS.pdf")</f>
        <v>0</v>
      </c>
    </row>
    <row r="861" spans="1:28">
      <c r="A861" t="s">
        <v>887</v>
      </c>
      <c r="B861">
        <v>0.999984544473304</v>
      </c>
      <c r="C861">
        <v>0.759070448605103</v>
      </c>
      <c r="D861">
        <v>1.51854930345447</v>
      </c>
      <c r="E861">
        <v>1.25381870239585</v>
      </c>
      <c r="F861">
        <v>1.28080422124956</v>
      </c>
      <c r="G861">
        <v>1.11243848226567</v>
      </c>
      <c r="H861">
        <v>0.693093745795162</v>
      </c>
      <c r="I861">
        <v>0.292113263732265</v>
      </c>
      <c r="J861">
        <v>0.101085083243426</v>
      </c>
      <c r="K861">
        <v>0.0682174925346453</v>
      </c>
      <c r="L861">
        <v>2279.72719189774</v>
      </c>
      <c r="M861">
        <v>38.7790860452393</v>
      </c>
      <c r="N861">
        <v>59.0284771352992</v>
      </c>
      <c r="O861">
        <v>58.6318473398822</v>
      </c>
      <c r="P861">
        <v>-0.153246507534986</v>
      </c>
      <c r="Q861">
        <v>0.0732007127950854</v>
      </c>
      <c r="R861">
        <v>0.793149754292466</v>
      </c>
      <c r="S861" t="s">
        <v>2529</v>
      </c>
      <c r="T861" t="s">
        <v>3312</v>
      </c>
      <c r="U861" t="s">
        <v>3312</v>
      </c>
      <c r="V861" t="s">
        <v>3312</v>
      </c>
      <c r="W861" t="s">
        <v>4171</v>
      </c>
      <c r="X861">
        <v>3</v>
      </c>
      <c r="Y861" t="s">
        <v>5812</v>
      </c>
      <c r="Z861" t="s">
        <v>7454</v>
      </c>
      <c r="AA861">
        <v>0.7497442818912028</v>
      </c>
      <c r="AB861">
        <f>HYPERLINK("Melting_Curves/meltCurve_P0AGK4_yhbY.pdf", "Melting_Curves/meltCurve_P0AGK4_yhbY.pdf")</f>
        <v>0</v>
      </c>
    </row>
    <row r="862" spans="1:28">
      <c r="A862" t="s">
        <v>888</v>
      </c>
      <c r="B862">
        <v>0.999984544473304</v>
      </c>
      <c r="C862">
        <v>0.942127881699611</v>
      </c>
      <c r="D862">
        <v>0.951278126248538</v>
      </c>
      <c r="E862">
        <v>0.908428865116955</v>
      </c>
      <c r="F862">
        <v>1.24523754556879</v>
      </c>
      <c r="G862">
        <v>0.800931752968475</v>
      </c>
      <c r="H862">
        <v>1.04374950289658</v>
      </c>
      <c r="I862">
        <v>0.724966822233347</v>
      </c>
      <c r="J862">
        <v>0.767588881365478</v>
      </c>
      <c r="K862">
        <v>0.526930215173546</v>
      </c>
      <c r="L862">
        <v>946.549145475919</v>
      </c>
      <c r="M862">
        <v>13.9342448234045</v>
      </c>
      <c r="O862">
        <v>66.5764967479541</v>
      </c>
      <c r="P862">
        <v>-0.0523312418887002</v>
      </c>
      <c r="Q862">
        <v>0</v>
      </c>
      <c r="R862">
        <v>0.607706057068181</v>
      </c>
      <c r="S862" t="s">
        <v>2530</v>
      </c>
      <c r="T862" t="s">
        <v>3312</v>
      </c>
      <c r="U862" t="s">
        <v>3312</v>
      </c>
      <c r="V862" t="s">
        <v>3312</v>
      </c>
      <c r="W862" t="s">
        <v>4172</v>
      </c>
      <c r="X862">
        <v>2</v>
      </c>
      <c r="Y862" t="s">
        <v>5813</v>
      </c>
      <c r="Z862" t="s">
        <v>7455</v>
      </c>
      <c r="AA862">
        <v>0.9177804721393699</v>
      </c>
      <c r="AB862">
        <f>HYPERLINK("Melting_Curves/meltCurve_P0AGL2_tdcF.pdf", "Melting_Curves/meltCurve_P0AGL2_tdcF.pdf")</f>
        <v>0</v>
      </c>
    </row>
    <row r="863" spans="1:28">
      <c r="A863" t="s">
        <v>889</v>
      </c>
      <c r="B863">
        <v>0.999984544473304</v>
      </c>
      <c r="C863">
        <v>0.582321761453261</v>
      </c>
      <c r="D863">
        <v>1.40568870885227</v>
      </c>
      <c r="E863">
        <v>0.446164773203401</v>
      </c>
      <c r="F863">
        <v>0.929035697262955</v>
      </c>
      <c r="G863">
        <v>0.31620053941118</v>
      </c>
      <c r="H863">
        <v>0.169967486278228</v>
      </c>
      <c r="I863">
        <v>0.150248992370514</v>
      </c>
      <c r="J863">
        <v>0.12683779468459</v>
      </c>
      <c r="K863">
        <v>0</v>
      </c>
      <c r="L863">
        <v>726.301377662208</v>
      </c>
      <c r="M863">
        <v>13.8705766479116</v>
      </c>
      <c r="N863">
        <v>52.362737124116</v>
      </c>
      <c r="O863">
        <v>51.3103545548191</v>
      </c>
      <c r="P863">
        <v>-0.06759103458911971</v>
      </c>
      <c r="Q863">
        <v>0</v>
      </c>
      <c r="R863">
        <v>0.672521260629007</v>
      </c>
      <c r="S863" t="s">
        <v>2531</v>
      </c>
      <c r="T863" t="s">
        <v>3312</v>
      </c>
      <c r="U863" t="s">
        <v>3312</v>
      </c>
      <c r="V863" t="s">
        <v>3312</v>
      </c>
      <c r="W863" t="s">
        <v>4173</v>
      </c>
      <c r="X863">
        <v>1</v>
      </c>
      <c r="Y863" t="s">
        <v>5814</v>
      </c>
      <c r="Z863" t="s">
        <v>7456</v>
      </c>
      <c r="AA863">
        <v>0.5323523952700252</v>
      </c>
      <c r="AB863">
        <f>HYPERLINK("Melting_Curves/meltCurve_P0AGL5_ratA.pdf", "Melting_Curves/meltCurve_P0AGL5_ratA.pdf")</f>
        <v>0</v>
      </c>
    </row>
    <row r="864" spans="1:28">
      <c r="A864" t="s">
        <v>890</v>
      </c>
      <c r="B864">
        <v>0.999984544473304</v>
      </c>
      <c r="C864">
        <v>1.05940252169836</v>
      </c>
      <c r="D864">
        <v>1.29005624809952</v>
      </c>
      <c r="E864">
        <v>0.954274381647141</v>
      </c>
      <c r="F864">
        <v>0.633745769783947</v>
      </c>
      <c r="G864">
        <v>0.19107626902693</v>
      </c>
      <c r="H864">
        <v>0</v>
      </c>
      <c r="I864">
        <v>0</v>
      </c>
      <c r="J864">
        <v>0</v>
      </c>
      <c r="K864">
        <v>0</v>
      </c>
      <c r="L864">
        <v>1645.86088561865</v>
      </c>
      <c r="M864">
        <v>32.1852903445722</v>
      </c>
      <c r="N864">
        <v>51.1370670353776</v>
      </c>
      <c r="O864">
        <v>50.9408549702105</v>
      </c>
      <c r="P864">
        <v>-0.157954994682707</v>
      </c>
      <c r="Q864">
        <v>0</v>
      </c>
      <c r="R864">
        <v>0.9638685351769259</v>
      </c>
      <c r="S864" t="s">
        <v>2532</v>
      </c>
      <c r="T864" t="s">
        <v>3312</v>
      </c>
      <c r="U864" t="s">
        <v>3312</v>
      </c>
      <c r="V864" t="s">
        <v>3312</v>
      </c>
      <c r="W864" t="s">
        <v>4174</v>
      </c>
      <c r="X864">
        <v>1</v>
      </c>
      <c r="Y864" t="s">
        <v>5815</v>
      </c>
      <c r="Z864" t="s">
        <v>7457</v>
      </c>
      <c r="AA864">
        <v>0.4766744806130856</v>
      </c>
      <c r="AB864">
        <f>HYPERLINK("Melting_Curves/meltCurve_P0AGL7_rsmE.pdf", "Melting_Curves/meltCurve_P0AGL7_rsmE.pdf")</f>
        <v>0</v>
      </c>
    </row>
    <row r="865" spans="1:28">
      <c r="A865" t="s">
        <v>891</v>
      </c>
      <c r="B865">
        <v>0.999984544473304</v>
      </c>
      <c r="C865">
        <v>1.01626250101388</v>
      </c>
      <c r="D865">
        <v>0.760143308508148</v>
      </c>
      <c r="E865">
        <v>0.773456000347817</v>
      </c>
      <c r="F865">
        <v>0.42721406179288</v>
      </c>
      <c r="G865">
        <v>0.329498383849251</v>
      </c>
      <c r="H865">
        <v>0.254662114547928</v>
      </c>
      <c r="I865">
        <v>0.194244936799956</v>
      </c>
      <c r="J865">
        <v>0.163105039992937</v>
      </c>
      <c r="K865">
        <v>0.24449661752632</v>
      </c>
      <c r="L865">
        <v>687.876963966028</v>
      </c>
      <c r="M865">
        <v>14.2937984406779</v>
      </c>
      <c r="N865">
        <v>49.6301402547566</v>
      </c>
      <c r="O865">
        <v>47.2116193010556</v>
      </c>
      <c r="P865">
        <v>-0.0623795735723439</v>
      </c>
      <c r="Q865">
        <v>0.175955532107293</v>
      </c>
      <c r="R865">
        <v>0.969833207432061</v>
      </c>
      <c r="S865" t="s">
        <v>2533</v>
      </c>
      <c r="T865" t="s">
        <v>3312</v>
      </c>
      <c r="U865" t="s">
        <v>3312</v>
      </c>
      <c r="V865" t="s">
        <v>3312</v>
      </c>
      <c r="W865" t="s">
        <v>4175</v>
      </c>
      <c r="X865">
        <v>6</v>
      </c>
      <c r="Y865" t="s">
        <v>5816</v>
      </c>
      <c r="Z865" t="s">
        <v>7458</v>
      </c>
      <c r="AA865">
        <v>0.5011107929398418</v>
      </c>
      <c r="AB865">
        <f>HYPERLINK("Melting_Curves/meltCurve_P0C018_rplR.pdf", "Melting_Curves/meltCurve_P0C018_rplR.pdf")</f>
        <v>0</v>
      </c>
    </row>
    <row r="866" spans="1:28">
      <c r="A866" t="s">
        <v>892</v>
      </c>
      <c r="B866">
        <v>0.999984544473304</v>
      </c>
      <c r="C866">
        <v>1.05079676706188</v>
      </c>
      <c r="D866">
        <v>0.962755174717291</v>
      </c>
      <c r="E866">
        <v>1.2433449571888</v>
      </c>
      <c r="F866">
        <v>0.956253022620704</v>
      </c>
      <c r="G866">
        <v>0.681010699999639</v>
      </c>
      <c r="H866">
        <v>0.405155444159804</v>
      </c>
      <c r="I866">
        <v>0.340929074343327</v>
      </c>
      <c r="J866">
        <v>0.272192856931319</v>
      </c>
      <c r="K866">
        <v>0.430230908739095</v>
      </c>
      <c r="L866">
        <v>2229.008950465</v>
      </c>
      <c r="M866">
        <v>41.3836794302581</v>
      </c>
      <c r="N866">
        <v>55.4621329910093</v>
      </c>
      <c r="O866">
        <v>53.7367166199351</v>
      </c>
      <c r="P866">
        <v>-0.125435959701732</v>
      </c>
      <c r="Q866">
        <v>0.348486707902157</v>
      </c>
      <c r="R866">
        <v>0.930459040530398</v>
      </c>
      <c r="S866" t="s">
        <v>2534</v>
      </c>
      <c r="T866" t="s">
        <v>3312</v>
      </c>
      <c r="U866" t="s">
        <v>3312</v>
      </c>
      <c r="V866" t="s">
        <v>3312</v>
      </c>
      <c r="W866" t="s">
        <v>4176</v>
      </c>
      <c r="X866">
        <v>2</v>
      </c>
      <c r="Y866" t="s">
        <v>5817</v>
      </c>
      <c r="Z866" t="s">
        <v>7459</v>
      </c>
      <c r="AA866">
        <v>0.7169327832930024</v>
      </c>
      <c r="AB866">
        <f>HYPERLINK("Melting_Curves/meltCurve_P0C037_yaiE.pdf", "Melting_Curves/meltCurve_P0C037_yaiE.pdf")</f>
        <v>0</v>
      </c>
    </row>
    <row r="867" spans="1:28">
      <c r="A867" t="s">
        <v>893</v>
      </c>
      <c r="B867">
        <v>0.999984544473304</v>
      </c>
      <c r="C867">
        <v>1.03405090612349</v>
      </c>
      <c r="D867">
        <v>0.937780371027096</v>
      </c>
      <c r="E867">
        <v>1.01368280996722</v>
      </c>
      <c r="F867">
        <v>0.959176940888443</v>
      </c>
      <c r="G867">
        <v>0.681264063938796</v>
      </c>
      <c r="H867">
        <v>0.670415868765342</v>
      </c>
      <c r="I867">
        <v>0.573415386729179</v>
      </c>
      <c r="J867">
        <v>0.409236844514919</v>
      </c>
      <c r="K867">
        <v>0.432331446230822</v>
      </c>
      <c r="L867">
        <v>799.94046041769</v>
      </c>
      <c r="M867">
        <v>14.2576592080903</v>
      </c>
      <c r="N867">
        <v>61.922523706605</v>
      </c>
      <c r="O867">
        <v>55.0369165606326</v>
      </c>
      <c r="P867">
        <v>-0.0408725368575148</v>
      </c>
      <c r="Q867">
        <v>0.368979033900131</v>
      </c>
      <c r="R867">
        <v>0.952774521309888</v>
      </c>
      <c r="S867" t="s">
        <v>2535</v>
      </c>
      <c r="T867" t="s">
        <v>3312</v>
      </c>
      <c r="U867" t="s">
        <v>3312</v>
      </c>
      <c r="V867" t="s">
        <v>3312</v>
      </c>
      <c r="W867" t="s">
        <v>4177</v>
      </c>
      <c r="X867">
        <v>2</v>
      </c>
      <c r="Y867" t="s">
        <v>5818</v>
      </c>
      <c r="Z867" t="s">
        <v>7460</v>
      </c>
      <c r="AA867">
        <v>0.777782500675812</v>
      </c>
      <c r="AB867">
        <f>HYPERLINK("Melting_Curves/meltCurve_P0C054_ibpA.pdf", "Melting_Curves/meltCurve_P0C054_ibpA.pdf")</f>
        <v>0</v>
      </c>
    </row>
    <row r="868" spans="1:28">
      <c r="A868" t="s">
        <v>894</v>
      </c>
      <c r="B868">
        <v>0.999984544473304</v>
      </c>
      <c r="C868">
        <v>1.1304796873367</v>
      </c>
      <c r="D868">
        <v>0.974764234111098</v>
      </c>
      <c r="E868">
        <v>1.01009190073238</v>
      </c>
      <c r="F868">
        <v>1.28164813311035</v>
      </c>
      <c r="G868">
        <v>1.12039354897023</v>
      </c>
      <c r="H868">
        <v>0.882562035468837</v>
      </c>
      <c r="I868">
        <v>0.967798983676954</v>
      </c>
      <c r="J868">
        <v>0.901146201020586</v>
      </c>
      <c r="K868">
        <v>0.913487392786246</v>
      </c>
      <c r="L868">
        <v>5149.86922689525</v>
      </c>
      <c r="M868">
        <v>92.0839723871959</v>
      </c>
      <c r="O868">
        <v>55.8994363419672</v>
      </c>
      <c r="P868">
        <v>-0.0345679580438608</v>
      </c>
      <c r="Q868">
        <v>0.916062305170159</v>
      </c>
      <c r="R868">
        <v>0.168707698440047</v>
      </c>
      <c r="S868" t="s">
        <v>2536</v>
      </c>
      <c r="T868" t="s">
        <v>3312</v>
      </c>
      <c r="U868" t="s">
        <v>3312</v>
      </c>
      <c r="V868" t="s">
        <v>3312</v>
      </c>
      <c r="W868" t="s">
        <v>4178</v>
      </c>
      <c r="X868">
        <v>1</v>
      </c>
      <c r="Y868" t="s">
        <v>5819</v>
      </c>
      <c r="Z868" t="s">
        <v>7461</v>
      </c>
      <c r="AA868">
        <v>0.9690760296348773</v>
      </c>
      <c r="AB868">
        <f>HYPERLINK("Melting_Curves/meltCurve_P0C079_relB.pdf", "Melting_Curves/meltCurve_P0C079_relB.pdf")</f>
        <v>0</v>
      </c>
    </row>
    <row r="869" spans="1:28">
      <c r="A869" t="s">
        <v>895</v>
      </c>
      <c r="B869">
        <v>0.999984544473304</v>
      </c>
      <c r="C869">
        <v>0.880890408313592</v>
      </c>
      <c r="D869">
        <v>1.03652587065012</v>
      </c>
      <c r="E869">
        <v>1.09413662441007</v>
      </c>
      <c r="F869">
        <v>1.19998422841354</v>
      </c>
      <c r="G869">
        <v>1.04579275223836</v>
      </c>
      <c r="H869">
        <v>1.08999487441395</v>
      </c>
      <c r="I869">
        <v>1.08362002605059</v>
      </c>
      <c r="J869">
        <v>0.828071439187022</v>
      </c>
      <c r="K869">
        <v>0.856880996558721</v>
      </c>
      <c r="L869">
        <v>15000</v>
      </c>
      <c r="M869">
        <v>239.091749770072</v>
      </c>
      <c r="O869">
        <v>62.7330325774694</v>
      </c>
      <c r="P869">
        <v>-0.150443102615768</v>
      </c>
      <c r="Q869">
        <v>0.842106604670684</v>
      </c>
      <c r="R869">
        <v>0.370222986931069</v>
      </c>
      <c r="S869" t="s">
        <v>2537</v>
      </c>
      <c r="T869" t="s">
        <v>3312</v>
      </c>
      <c r="U869" t="s">
        <v>3312</v>
      </c>
      <c r="V869" t="s">
        <v>3312</v>
      </c>
      <c r="W869" t="s">
        <v>4179</v>
      </c>
      <c r="X869">
        <v>7</v>
      </c>
      <c r="Y869" t="s">
        <v>5820</v>
      </c>
      <c r="Z869" t="s">
        <v>7462</v>
      </c>
      <c r="AA869">
        <v>0.9775845765622818</v>
      </c>
      <c r="AB869">
        <f>HYPERLINK("Melting_Curves/meltCurve_P0C0L2_osmC.pdf", "Melting_Curves/meltCurve_P0C0L2_osmC.pdf")</f>
        <v>0</v>
      </c>
    </row>
    <row r="870" spans="1:28">
      <c r="A870" t="s">
        <v>896</v>
      </c>
      <c r="B870">
        <v>0.999984544473304</v>
      </c>
      <c r="C870">
        <v>1.04257120043467</v>
      </c>
      <c r="D870">
        <v>0.570549851007024</v>
      </c>
      <c r="E870">
        <v>0.331026193206371</v>
      </c>
      <c r="F870">
        <v>0.174313256259625</v>
      </c>
      <c r="G870">
        <v>0.169831292806335</v>
      </c>
      <c r="H870">
        <v>0.107079307374897</v>
      </c>
      <c r="I870">
        <v>0.065325311712037</v>
      </c>
      <c r="J870">
        <v>0.0369214283913981</v>
      </c>
      <c r="K870">
        <v>0.0259807553403828</v>
      </c>
      <c r="L870">
        <v>932.68581545112</v>
      </c>
      <c r="M870">
        <v>21.1604819966568</v>
      </c>
      <c r="N870">
        <v>44.4451921750541</v>
      </c>
      <c r="O870">
        <v>43.6887927900724</v>
      </c>
      <c r="P870">
        <v>-0.111349021299192</v>
      </c>
      <c r="Q870">
        <v>0.08044109239949269</v>
      </c>
      <c r="R870">
        <v>0.97192203792974</v>
      </c>
      <c r="S870" t="s">
        <v>2538</v>
      </c>
      <c r="T870" t="s">
        <v>3312</v>
      </c>
      <c r="U870" t="s">
        <v>3312</v>
      </c>
      <c r="V870" t="s">
        <v>3312</v>
      </c>
      <c r="W870" t="s">
        <v>4180</v>
      </c>
      <c r="X870">
        <v>2</v>
      </c>
      <c r="Y870" t="s">
        <v>5821</v>
      </c>
      <c r="Z870" t="s">
        <v>7463</v>
      </c>
      <c r="AA870">
        <v>0.3082135054031793</v>
      </c>
      <c r="AB870">
        <f>HYPERLINK("Melting_Curves/meltCurve_P0C0L7_proP.pdf", "Melting_Curves/meltCurve_P0C0L7_proP.pdf")</f>
        <v>0</v>
      </c>
    </row>
    <row r="871" spans="1:28">
      <c r="A871" t="s">
        <v>897</v>
      </c>
      <c r="B871">
        <v>0.999984544473304</v>
      </c>
      <c r="C871">
        <v>1.04848455896766</v>
      </c>
      <c r="D871">
        <v>1.23808230303945</v>
      </c>
      <c r="E871">
        <v>1.05162702347328</v>
      </c>
      <c r="F871">
        <v>1.12669584776647</v>
      </c>
      <c r="G871">
        <v>1.06866627165002</v>
      </c>
      <c r="H871">
        <v>0.832553881604581</v>
      </c>
      <c r="I871">
        <v>0.766689850238963</v>
      </c>
      <c r="J871">
        <v>0.580671938017886</v>
      </c>
      <c r="K871">
        <v>0.238087375793146</v>
      </c>
      <c r="L871">
        <v>1425.95268801261</v>
      </c>
      <c r="M871">
        <v>22.1777546846357</v>
      </c>
      <c r="N871">
        <v>64.2965308295221</v>
      </c>
      <c r="O871">
        <v>63.7806159581855</v>
      </c>
      <c r="P871">
        <v>-0.0869317173367765</v>
      </c>
      <c r="Q871">
        <v>0</v>
      </c>
      <c r="R871">
        <v>0.874038759189822</v>
      </c>
      <c r="S871" t="s">
        <v>2539</v>
      </c>
      <c r="T871" t="s">
        <v>3312</v>
      </c>
      <c r="U871" t="s">
        <v>3312</v>
      </c>
      <c r="V871" t="s">
        <v>3312</v>
      </c>
      <c r="W871" t="s">
        <v>4181</v>
      </c>
      <c r="X871">
        <v>5</v>
      </c>
      <c r="Y871" t="s">
        <v>5822</v>
      </c>
      <c r="Z871" t="s">
        <v>7464</v>
      </c>
      <c r="AA871">
        <v>0.8843357178143135</v>
      </c>
      <c r="AB871">
        <f>HYPERLINK("Melting_Curves/meltCurve_P0C0S1_mscS.pdf", "Melting_Curves/meltCurve_P0C0S1_mscS.pdf")</f>
        <v>0</v>
      </c>
    </row>
    <row r="872" spans="1:28">
      <c r="A872" t="s">
        <v>898</v>
      </c>
      <c r="B872">
        <v>0.999984544473304</v>
      </c>
      <c r="C872">
        <v>0.892901464421205</v>
      </c>
      <c r="D872">
        <v>0.940510719908852</v>
      </c>
      <c r="E872">
        <v>0.771891616103892</v>
      </c>
      <c r="F872">
        <v>0.9310392337947589</v>
      </c>
      <c r="G872">
        <v>0.752867413463998</v>
      </c>
      <c r="H872">
        <v>0.6635785622984151</v>
      </c>
      <c r="I872">
        <v>0.581083230903976</v>
      </c>
      <c r="J872">
        <v>0.318534896158124</v>
      </c>
      <c r="K872">
        <v>0.0759313081935465</v>
      </c>
      <c r="L872">
        <v>711.901201847375</v>
      </c>
      <c r="M872">
        <v>11.8586805393162</v>
      </c>
      <c r="N872">
        <v>60.032075217347</v>
      </c>
      <c r="O872">
        <v>58.401283958247</v>
      </c>
      <c r="P872">
        <v>-0.0507765755357376</v>
      </c>
      <c r="Q872">
        <v>0</v>
      </c>
      <c r="R872">
        <v>0.881662752744843</v>
      </c>
      <c r="S872" t="s">
        <v>2540</v>
      </c>
      <c r="T872" t="s">
        <v>3312</v>
      </c>
      <c r="U872" t="s">
        <v>3312</v>
      </c>
      <c r="V872" t="s">
        <v>3312</v>
      </c>
      <c r="W872" t="s">
        <v>4182</v>
      </c>
      <c r="X872">
        <v>2</v>
      </c>
      <c r="Y872" t="s">
        <v>5823</v>
      </c>
      <c r="Z872" t="s">
        <v>7465</v>
      </c>
      <c r="AA872">
        <v>0.7505691682988449</v>
      </c>
      <c r="AB872">
        <f>HYPERLINK("Melting_Curves/meltCurve_P0C0U4_rimK.pdf", "Melting_Curves/meltCurve_P0C0U4_rimK.pdf")</f>
        <v>0</v>
      </c>
    </row>
    <row r="873" spans="1:28">
      <c r="A873" t="s">
        <v>899</v>
      </c>
      <c r="B873">
        <v>0.999984544473304</v>
      </c>
      <c r="C873">
        <v>1.00201806970122</v>
      </c>
      <c r="D873">
        <v>1.14805334678482</v>
      </c>
      <c r="E873">
        <v>0.990166376539394</v>
      </c>
      <c r="F873">
        <v>1.09919467219919</v>
      </c>
      <c r="G873">
        <v>1.00840322885637</v>
      </c>
      <c r="H873">
        <v>1.11520182366336</v>
      </c>
      <c r="I873">
        <v>1.10188069948848</v>
      </c>
      <c r="J873">
        <v>1.0431055759497</v>
      </c>
      <c r="K873">
        <v>0.763170026640376</v>
      </c>
      <c r="L873">
        <v>15000</v>
      </c>
      <c r="M873">
        <v>222.7104422918</v>
      </c>
      <c r="Q873">
        <v>0</v>
      </c>
      <c r="R873">
        <v>0.458994632069319</v>
      </c>
      <c r="S873" t="s">
        <v>2541</v>
      </c>
      <c r="T873" t="s">
        <v>3312</v>
      </c>
      <c r="U873" t="s">
        <v>3312</v>
      </c>
      <c r="V873" t="s">
        <v>3312</v>
      </c>
      <c r="W873" t="s">
        <v>4183</v>
      </c>
      <c r="X873">
        <v>18</v>
      </c>
      <c r="Y873" t="s">
        <v>5824</v>
      </c>
      <c r="Z873" t="s">
        <v>7466</v>
      </c>
      <c r="AA873">
        <v>0.9973293113603162</v>
      </c>
      <c r="AB873">
        <f>HYPERLINK("Melting_Curves/meltCurve_P0C0V0_degP.pdf", "Melting_Curves/meltCurve_P0C0V0_degP.pdf")</f>
        <v>0</v>
      </c>
    </row>
    <row r="874" spans="1:28">
      <c r="A874" t="s">
        <v>900</v>
      </c>
      <c r="B874">
        <v>0.999984544473304</v>
      </c>
      <c r="C874">
        <v>0.746106881102734</v>
      </c>
      <c r="D874">
        <v>0.727931500590955</v>
      </c>
      <c r="E874">
        <v>0.602102918461026</v>
      </c>
      <c r="F874">
        <v>0.517976070798931</v>
      </c>
      <c r="G874">
        <v>0.389238290873004</v>
      </c>
      <c r="H874">
        <v>0.294060871320846</v>
      </c>
      <c r="I874">
        <v>0.248732528114065</v>
      </c>
      <c r="J874">
        <v>0.157208740965117</v>
      </c>
      <c r="K874">
        <v>0.160765701416638</v>
      </c>
      <c r="L874">
        <v>322.768087570416</v>
      </c>
      <c r="M874">
        <v>6.48285160236454</v>
      </c>
      <c r="N874">
        <v>49.787979615057</v>
      </c>
      <c r="O874">
        <v>45.6859912410983</v>
      </c>
      <c r="P874">
        <v>-0.0355620374050278</v>
      </c>
      <c r="Q874">
        <v>0</v>
      </c>
      <c r="R874">
        <v>0.973248320192671</v>
      </c>
      <c r="S874" t="s">
        <v>2542</v>
      </c>
      <c r="T874" t="s">
        <v>3312</v>
      </c>
      <c r="U874" t="s">
        <v>3312</v>
      </c>
      <c r="V874" t="s">
        <v>3312</v>
      </c>
      <c r="W874" t="s">
        <v>4184</v>
      </c>
      <c r="X874">
        <v>12</v>
      </c>
      <c r="Y874" t="s">
        <v>5825</v>
      </c>
      <c r="Z874" t="s">
        <v>7467</v>
      </c>
      <c r="AA874">
        <v>0.4743402254193253</v>
      </c>
      <c r="AB874">
        <f>HYPERLINK("Melting_Curves/meltCurve_P0C8J6_gatY.pdf", "Melting_Curves/meltCurve_P0C8J6_gatY.pdf")</f>
        <v>0</v>
      </c>
    </row>
    <row r="875" spans="1:28">
      <c r="A875" t="s">
        <v>901</v>
      </c>
      <c r="B875">
        <v>0.999984544473304</v>
      </c>
      <c r="C875">
        <v>0.812428654452205</v>
      </c>
      <c r="D875">
        <v>0.656669269680093</v>
      </c>
      <c r="E875">
        <v>0.28360674669297</v>
      </c>
      <c r="F875">
        <v>0.101018053568696</v>
      </c>
      <c r="G875">
        <v>0.0540002901927208</v>
      </c>
      <c r="H875">
        <v>0.0313888960314468</v>
      </c>
      <c r="I875">
        <v>0.0220676705094923</v>
      </c>
      <c r="J875">
        <v>0.0126619817641233</v>
      </c>
      <c r="K875">
        <v>0.0202939692433516</v>
      </c>
      <c r="L875">
        <v>773.879113159667</v>
      </c>
      <c r="M875">
        <v>17.5258998875218</v>
      </c>
      <c r="N875">
        <v>44.21134985195</v>
      </c>
      <c r="O875">
        <v>43.5934571681985</v>
      </c>
      <c r="P875">
        <v>-0.0994283099902231</v>
      </c>
      <c r="Q875">
        <v>0.0107928883532982</v>
      </c>
      <c r="R875">
        <v>0.995413270147301</v>
      </c>
      <c r="S875" t="s">
        <v>2543</v>
      </c>
      <c r="T875" t="s">
        <v>3312</v>
      </c>
      <c r="U875" t="s">
        <v>3312</v>
      </c>
      <c r="V875" t="s">
        <v>3312</v>
      </c>
      <c r="W875" t="s">
        <v>4185</v>
      </c>
      <c r="X875">
        <v>7</v>
      </c>
      <c r="Y875" t="s">
        <v>5826</v>
      </c>
      <c r="Z875" t="s">
        <v>7468</v>
      </c>
      <c r="AA875">
        <v>0.2643137473433829</v>
      </c>
      <c r="AB875">
        <f>HYPERLINK("Melting_Curves/meltCurve_P0C8J8_gatZ.pdf", "Melting_Curves/meltCurve_P0C8J8_gatZ.pdf")</f>
        <v>0</v>
      </c>
    </row>
    <row r="876" spans="1:28">
      <c r="A876" t="s">
        <v>902</v>
      </c>
      <c r="B876">
        <v>0.999984544473304</v>
      </c>
      <c r="C876">
        <v>1.04179177162659</v>
      </c>
      <c r="D876">
        <v>0.914433938710084</v>
      </c>
      <c r="E876">
        <v>0.676376911209702</v>
      </c>
      <c r="F876">
        <v>0.401196741163777</v>
      </c>
      <c r="G876">
        <v>0.174988909612848</v>
      </c>
      <c r="H876">
        <v>0.0708256493227253</v>
      </c>
      <c r="I876">
        <v>0.0416394162668643</v>
      </c>
      <c r="J876">
        <v>0.036754304815316</v>
      </c>
      <c r="K876">
        <v>0.038334546044914</v>
      </c>
      <c r="L876">
        <v>870.760990515752</v>
      </c>
      <c r="M876">
        <v>17.8808849335229</v>
      </c>
      <c r="N876">
        <v>48.8206752590713</v>
      </c>
      <c r="O876">
        <v>48.1010298197441</v>
      </c>
      <c r="P876">
        <v>-0.0908948933270271</v>
      </c>
      <c r="Q876">
        <v>0.0219910105748347</v>
      </c>
      <c r="R876">
        <v>0.997135663224049</v>
      </c>
      <c r="S876" t="s">
        <v>2544</v>
      </c>
      <c r="T876" t="s">
        <v>3312</v>
      </c>
      <c r="U876" t="s">
        <v>3312</v>
      </c>
      <c r="V876" t="s">
        <v>3312</v>
      </c>
      <c r="W876" t="s">
        <v>4186</v>
      </c>
      <c r="X876">
        <v>3</v>
      </c>
      <c r="Y876" t="s">
        <v>5827</v>
      </c>
      <c r="Z876" t="s">
        <v>7469</v>
      </c>
      <c r="AA876">
        <v>0.4191076160133043</v>
      </c>
      <c r="AB876">
        <f>HYPERLINK("Melting_Curves/meltCurve_P0CB39_eptC.pdf", "Melting_Curves/meltCurve_P0CB39_eptC.pdf")</f>
        <v>0</v>
      </c>
    </row>
    <row r="877" spans="1:28">
      <c r="A877" t="s">
        <v>903</v>
      </c>
      <c r="B877">
        <v>0.999984544473304</v>
      </c>
      <c r="C877">
        <v>0.801217940076</v>
      </c>
      <c r="D877">
        <v>0.8428304772687299</v>
      </c>
      <c r="E877">
        <v>0.651261722706944</v>
      </c>
      <c r="F877">
        <v>0.421555121852081</v>
      </c>
      <c r="G877">
        <v>0.222049912111369</v>
      </c>
      <c r="H877">
        <v>0.160508677340235</v>
      </c>
      <c r="I877">
        <v>0.11394636743513</v>
      </c>
      <c r="J877">
        <v>0.08399605752012861</v>
      </c>
      <c r="K877">
        <v>0.0738399515157155</v>
      </c>
      <c r="L877">
        <v>534.1141930572049</v>
      </c>
      <c r="M877">
        <v>11.0162536985118</v>
      </c>
      <c r="N877">
        <v>48.6291081988614</v>
      </c>
      <c r="O877">
        <v>46.9687215409061</v>
      </c>
      <c r="P877">
        <v>-0.0577086413594397</v>
      </c>
      <c r="Q877">
        <v>0.0161475334646688</v>
      </c>
      <c r="R877">
        <v>0.983601475509261</v>
      </c>
      <c r="S877" t="s">
        <v>2545</v>
      </c>
      <c r="T877" t="s">
        <v>3312</v>
      </c>
      <c r="U877" t="s">
        <v>3312</v>
      </c>
      <c r="V877" t="s">
        <v>3312</v>
      </c>
      <c r="W877" t="s">
        <v>4187</v>
      </c>
      <c r="X877">
        <v>12</v>
      </c>
      <c r="Y877" t="s">
        <v>5828</v>
      </c>
      <c r="Z877" t="s">
        <v>7470</v>
      </c>
      <c r="AA877">
        <v>0.4265108683990229</v>
      </c>
      <c r="AB877">
        <f>HYPERLINK("Melting_Curves/meltCurve_P0CE47_tufA.pdf", "Melting_Curves/meltCurve_P0CE47_tufA.pdf")</f>
        <v>0</v>
      </c>
    </row>
    <row r="878" spans="1:28">
      <c r="A878" t="s">
        <v>904</v>
      </c>
      <c r="B878">
        <v>0.999984544473304</v>
      </c>
      <c r="C878">
        <v>1.06548767367235</v>
      </c>
      <c r="D878">
        <v>0.929703370559242</v>
      </c>
      <c r="E878">
        <v>0.638504908407049</v>
      </c>
      <c r="F878">
        <v>0.553779863555246</v>
      </c>
      <c r="G878">
        <v>0.184963494389086</v>
      </c>
      <c r="H878">
        <v>0.117858313776393</v>
      </c>
      <c r="I878">
        <v>0.0692019408698155</v>
      </c>
      <c r="J878">
        <v>0</v>
      </c>
      <c r="K878">
        <v>0</v>
      </c>
      <c r="L878">
        <v>760.196045169263</v>
      </c>
      <c r="M878">
        <v>15.3124790593428</v>
      </c>
      <c r="N878">
        <v>49.6455331938721</v>
      </c>
      <c r="O878">
        <v>48.8219105407259</v>
      </c>
      <c r="P878">
        <v>-0.0784171807796234</v>
      </c>
      <c r="Q878">
        <v>0</v>
      </c>
      <c r="R878">
        <v>0.982268067619169</v>
      </c>
      <c r="S878" t="s">
        <v>2546</v>
      </c>
      <c r="T878" t="s">
        <v>3312</v>
      </c>
      <c r="U878" t="s">
        <v>3312</v>
      </c>
      <c r="V878" t="s">
        <v>3312</v>
      </c>
      <c r="W878" t="s">
        <v>4188</v>
      </c>
      <c r="X878">
        <v>1</v>
      </c>
      <c r="Y878" t="s">
        <v>5829</v>
      </c>
      <c r="Z878" t="s">
        <v>7471</v>
      </c>
      <c r="AA878">
        <v>0.4420068941299382</v>
      </c>
      <c r="AB878">
        <f>HYPERLINK("Melting_Curves/meltCurve_P0DMC5_rcsC.pdf", "Melting_Curves/meltCurve_P0DMC5_rcsC.pdf")</f>
        <v>0</v>
      </c>
    </row>
    <row r="879" spans="1:28">
      <c r="A879" t="s">
        <v>905</v>
      </c>
      <c r="B879">
        <v>0.999984544473304</v>
      </c>
      <c r="C879">
        <v>0.763611015462111</v>
      </c>
      <c r="D879">
        <v>0.861390788080202</v>
      </c>
      <c r="E879">
        <v>0.56141997410572</v>
      </c>
      <c r="F879">
        <v>0.225544101330509</v>
      </c>
      <c r="G879">
        <v>0.07818409730634281</v>
      </c>
      <c r="H879">
        <v>0.046358019077818</v>
      </c>
      <c r="I879">
        <v>0.0299759007611607</v>
      </c>
      <c r="J879">
        <v>0.0221037583697718</v>
      </c>
      <c r="K879">
        <v>0.0201350510836071</v>
      </c>
      <c r="L879">
        <v>742.850436132637</v>
      </c>
      <c r="M879">
        <v>15.859877964496</v>
      </c>
      <c r="N879">
        <v>46.8383376958851</v>
      </c>
      <c r="O879">
        <v>46.1126850140413</v>
      </c>
      <c r="P879">
        <v>-0.08599137481038591</v>
      </c>
      <c r="Q879">
        <v>0</v>
      </c>
      <c r="R879">
        <v>0.972208950887045</v>
      </c>
      <c r="S879" t="s">
        <v>2547</v>
      </c>
      <c r="T879" t="s">
        <v>3312</v>
      </c>
      <c r="U879" t="s">
        <v>3312</v>
      </c>
      <c r="V879" t="s">
        <v>3312</v>
      </c>
      <c r="W879" t="s">
        <v>4189</v>
      </c>
      <c r="X879">
        <v>7</v>
      </c>
      <c r="Y879" t="s">
        <v>5830</v>
      </c>
      <c r="Z879" t="s">
        <v>7472</v>
      </c>
      <c r="AA879">
        <v>0.3483492458591154</v>
      </c>
      <c r="AB879">
        <f>HYPERLINK("Melting_Curves/meltCurve_P0DMC7_rcsB.pdf", "Melting_Curves/meltCurve_P0DMC7_rcsB.pdf")</f>
        <v>0</v>
      </c>
    </row>
    <row r="880" spans="1:28">
      <c r="A880" t="s">
        <v>906</v>
      </c>
      <c r="B880">
        <v>0.999984544473304</v>
      </c>
      <c r="C880">
        <v>0.884362632994632</v>
      </c>
      <c r="D880">
        <v>1.02216499757702</v>
      </c>
      <c r="E880">
        <v>1.02228824441347</v>
      </c>
      <c r="F880">
        <v>1.03389907304391</v>
      </c>
      <c r="G880">
        <v>0.953079074943544</v>
      </c>
      <c r="H880">
        <v>0.904558740089621</v>
      </c>
      <c r="I880">
        <v>0.771611041032747</v>
      </c>
      <c r="J880">
        <v>0.51470754501014</v>
      </c>
      <c r="K880">
        <v>0.449778488453586</v>
      </c>
      <c r="L880">
        <v>1544.16774536197</v>
      </c>
      <c r="M880">
        <v>24.9042675819262</v>
      </c>
      <c r="N880">
        <v>65.1000761400345</v>
      </c>
      <c r="O880">
        <v>61.6085071931839</v>
      </c>
      <c r="P880">
        <v>-0.0659892101871267</v>
      </c>
      <c r="Q880">
        <v>0.347029011355687</v>
      </c>
      <c r="R880">
        <v>0.952720068215081</v>
      </c>
      <c r="S880" t="s">
        <v>2548</v>
      </c>
      <c r="T880" t="s">
        <v>3312</v>
      </c>
      <c r="U880" t="s">
        <v>3312</v>
      </c>
      <c r="V880" t="s">
        <v>3312</v>
      </c>
      <c r="W880" t="s">
        <v>4190</v>
      </c>
      <c r="X880">
        <v>6</v>
      </c>
      <c r="Y880" t="s">
        <v>5831</v>
      </c>
      <c r="Z880" t="s">
        <v>7473</v>
      </c>
      <c r="AA880">
        <v>0.8884476455114474</v>
      </c>
      <c r="AB880">
        <f>HYPERLINK("Melting_Curves/meltCurve_P10100_rlpA.pdf", "Melting_Curves/meltCurve_P10100_rlpA.pdf")</f>
        <v>0</v>
      </c>
    </row>
    <row r="881" spans="1:28">
      <c r="A881" t="s">
        <v>907</v>
      </c>
      <c r="B881">
        <v>0.999984544473304</v>
      </c>
      <c r="C881">
        <v>1.14090593542856</v>
      </c>
      <c r="D881">
        <v>0.983041179636536</v>
      </c>
      <c r="E881">
        <v>1.3975949120282</v>
      </c>
      <c r="F881">
        <v>1.18777751515739</v>
      </c>
      <c r="G881">
        <v>0.980783833702023</v>
      </c>
      <c r="H881">
        <v>0.9614280560521959</v>
      </c>
      <c r="I881">
        <v>0.35640344964915</v>
      </c>
      <c r="J881">
        <v>0.149343670812754</v>
      </c>
      <c r="K881">
        <v>0.129712144604649</v>
      </c>
      <c r="L881">
        <v>3973.23802345306</v>
      </c>
      <c r="M881">
        <v>66.18757788696399</v>
      </c>
      <c r="N881">
        <v>60.3104880039118</v>
      </c>
      <c r="O881">
        <v>59.9752369805813</v>
      </c>
      <c r="P881">
        <v>-0.239342486244916</v>
      </c>
      <c r="Q881">
        <v>0.13248867548972</v>
      </c>
      <c r="R881">
        <v>0.882302964628382</v>
      </c>
      <c r="S881" t="s">
        <v>2549</v>
      </c>
      <c r="T881" t="s">
        <v>3312</v>
      </c>
      <c r="U881" t="s">
        <v>3312</v>
      </c>
      <c r="V881" t="s">
        <v>3312</v>
      </c>
      <c r="W881" t="s">
        <v>4191</v>
      </c>
      <c r="X881">
        <v>7</v>
      </c>
      <c r="Y881" t="s">
        <v>5832</v>
      </c>
      <c r="Z881" t="s">
        <v>7474</v>
      </c>
      <c r="AA881">
        <v>0.7997203824394959</v>
      </c>
      <c r="AB881">
        <f>HYPERLINK("Melting_Curves/meltCurve_P10121_ftsY.pdf", "Melting_Curves/meltCurve_P10121_ftsY.pdf")</f>
        <v>0</v>
      </c>
    </row>
    <row r="882" spans="1:28">
      <c r="A882" t="s">
        <v>908</v>
      </c>
      <c r="B882">
        <v>0.999984544473304</v>
      </c>
      <c r="C882">
        <v>0.580255210848232</v>
      </c>
      <c r="D882">
        <v>0.533029196898417</v>
      </c>
      <c r="E882">
        <v>0.206299869258763</v>
      </c>
      <c r="F882">
        <v>0.146056315381555</v>
      </c>
      <c r="G882">
        <v>0.0476995960112337</v>
      </c>
      <c r="H882">
        <v>0.0553995746091571</v>
      </c>
      <c r="I882">
        <v>0.0432834732813913</v>
      </c>
      <c r="J882">
        <v>0.0363768575374702</v>
      </c>
      <c r="K882">
        <v>0.0460313548082331</v>
      </c>
      <c r="L882">
        <v>606.889059778283</v>
      </c>
      <c r="M882">
        <v>14.3657143585558</v>
      </c>
      <c r="N882">
        <v>42.4425483944374</v>
      </c>
      <c r="O882">
        <v>41.4523441066346</v>
      </c>
      <c r="P882">
        <v>-0.0838571237211069</v>
      </c>
      <c r="Q882">
        <v>0.0322351072520644</v>
      </c>
      <c r="R882">
        <v>0.961662029474002</v>
      </c>
      <c r="S882" t="s">
        <v>2550</v>
      </c>
      <c r="T882" t="s">
        <v>3312</v>
      </c>
      <c r="U882" t="s">
        <v>3312</v>
      </c>
      <c r="V882" t="s">
        <v>3312</v>
      </c>
      <c r="W882" t="s">
        <v>4192</v>
      </c>
      <c r="X882">
        <v>1</v>
      </c>
      <c r="Y882" t="s">
        <v>5833</v>
      </c>
      <c r="Z882" t="s">
        <v>7475</v>
      </c>
      <c r="AA882">
        <v>0.2313139704669564</v>
      </c>
      <c r="AB882">
        <f>HYPERLINK("Melting_Curves/meltCurve_P10346_glnQ.pdf", "Melting_Curves/meltCurve_P10346_glnQ.pdf")</f>
        <v>0</v>
      </c>
    </row>
    <row r="883" spans="1:28">
      <c r="A883" t="s">
        <v>909</v>
      </c>
      <c r="B883">
        <v>0.999984544473304</v>
      </c>
      <c r="C883">
        <v>0.838393048517118</v>
      </c>
      <c r="D883">
        <v>0.678289386017118</v>
      </c>
      <c r="E883">
        <v>0.365797510938373</v>
      </c>
      <c r="F883">
        <v>0.16272382263759</v>
      </c>
      <c r="G883">
        <v>0.122964118442328</v>
      </c>
      <c r="H883">
        <v>0.105594025953613</v>
      </c>
      <c r="I883">
        <v>0.0852466582658916</v>
      </c>
      <c r="J883">
        <v>0.07125223629970411</v>
      </c>
      <c r="K883">
        <v>0.0790638080442634</v>
      </c>
      <c r="L883">
        <v>747.871899659255</v>
      </c>
      <c r="M883">
        <v>16.8524172799297</v>
      </c>
      <c r="N883">
        <v>44.7975621497339</v>
      </c>
      <c r="O883">
        <v>43.766976560434</v>
      </c>
      <c r="P883">
        <v>-0.0892359923487016</v>
      </c>
      <c r="Q883">
        <v>0.0730492870129182</v>
      </c>
      <c r="R883">
        <v>0.9965887280003159</v>
      </c>
      <c r="S883" t="s">
        <v>2551</v>
      </c>
      <c r="T883" t="s">
        <v>3312</v>
      </c>
      <c r="U883" t="s">
        <v>3312</v>
      </c>
      <c r="V883" t="s">
        <v>3312</v>
      </c>
      <c r="W883" t="s">
        <v>4193</v>
      </c>
      <c r="X883">
        <v>3</v>
      </c>
      <c r="Y883" t="s">
        <v>5834</v>
      </c>
      <c r="Z883" t="s">
        <v>7476</v>
      </c>
      <c r="AA883">
        <v>0.3187488362577606</v>
      </c>
      <c r="AB883">
        <f>HYPERLINK("Melting_Curves/meltCurve_P10371_hisA.pdf", "Melting_Curves/meltCurve_P10371_hisA.pdf")</f>
        <v>0</v>
      </c>
    </row>
    <row r="884" spans="1:28">
      <c r="A884" t="s">
        <v>910</v>
      </c>
      <c r="B884">
        <v>0.999984544473304</v>
      </c>
      <c r="C884">
        <v>1.21112050242719</v>
      </c>
      <c r="D884">
        <v>1.13090666986906</v>
      </c>
      <c r="E884">
        <v>0.814134632366334</v>
      </c>
      <c r="F884">
        <v>0.157005866174224</v>
      </c>
      <c r="G884">
        <v>0.07894086815880751</v>
      </c>
      <c r="H884">
        <v>0.0518516440421491</v>
      </c>
      <c r="I884">
        <v>0.0485987497118627</v>
      </c>
      <c r="J884">
        <v>0.06661344047749081</v>
      </c>
      <c r="K884">
        <v>0.0406058527337783</v>
      </c>
      <c r="L884">
        <v>2357.59827652785</v>
      </c>
      <c r="M884">
        <v>49.1459776084187</v>
      </c>
      <c r="N884">
        <v>48.0897354832877</v>
      </c>
      <c r="O884">
        <v>47.8921113119683</v>
      </c>
      <c r="P884">
        <v>-0.241927920648593</v>
      </c>
      <c r="Q884">
        <v>0.056978504886734</v>
      </c>
      <c r="R884">
        <v>0.97284683504963</v>
      </c>
      <c r="S884" t="s">
        <v>2552</v>
      </c>
      <c r="T884" t="s">
        <v>3312</v>
      </c>
      <c r="U884" t="s">
        <v>3312</v>
      </c>
      <c r="V884" t="s">
        <v>3312</v>
      </c>
      <c r="W884" t="s">
        <v>4194</v>
      </c>
      <c r="X884">
        <v>1</v>
      </c>
      <c r="Y884" t="s">
        <v>5835</v>
      </c>
      <c r="Z884" t="s">
        <v>7477</v>
      </c>
      <c r="AA884">
        <v>0.4039178575585168</v>
      </c>
      <c r="AB884">
        <f>HYPERLINK("Melting_Curves/meltCurve_P10378_entE.pdf", "Melting_Curves/meltCurve_P10378_entE.pdf")</f>
        <v>0</v>
      </c>
    </row>
    <row r="885" spans="1:28">
      <c r="A885" t="s">
        <v>911</v>
      </c>
      <c r="B885">
        <v>0.999984544473304</v>
      </c>
      <c r="C885">
        <v>0.895813312136134</v>
      </c>
      <c r="D885">
        <v>0.9165194983853731</v>
      </c>
      <c r="E885">
        <v>0.667353770481829</v>
      </c>
      <c r="F885">
        <v>0.654478075172593</v>
      </c>
      <c r="G885">
        <v>0.586076658378006</v>
      </c>
      <c r="H885">
        <v>0.688452278064026</v>
      </c>
      <c r="I885">
        <v>0.6793509016782729</v>
      </c>
      <c r="J885">
        <v>0.717033781408736</v>
      </c>
      <c r="K885">
        <v>0.515385664712749</v>
      </c>
      <c r="L885">
        <v>1410.81130691985</v>
      </c>
      <c r="M885">
        <v>31.994309748772</v>
      </c>
      <c r="O885">
        <v>43.9244982517829</v>
      </c>
      <c r="P885">
        <v>-0.06625142829134011</v>
      </c>
      <c r="Q885">
        <v>0.636179546504238</v>
      </c>
      <c r="R885">
        <v>0.822754000718002</v>
      </c>
      <c r="S885" t="s">
        <v>2553</v>
      </c>
      <c r="T885" t="s">
        <v>3312</v>
      </c>
      <c r="U885" t="s">
        <v>3312</v>
      </c>
      <c r="V885" t="s">
        <v>3312</v>
      </c>
      <c r="W885" t="s">
        <v>4195</v>
      </c>
      <c r="X885">
        <v>2</v>
      </c>
      <c r="Y885" t="s">
        <v>5836</v>
      </c>
      <c r="Z885" t="s">
        <v>7478</v>
      </c>
      <c r="AA885">
        <v>0.723997573240252</v>
      </c>
      <c r="AB885">
        <f>HYPERLINK("Melting_Curves/meltCurve_P10384_fadL.pdf", "Melting_Curves/meltCurve_P10384_fadL.pdf")</f>
        <v>0</v>
      </c>
    </row>
    <row r="886" spans="1:28">
      <c r="A886" t="s">
        <v>912</v>
      </c>
      <c r="B886">
        <v>0.999984544473304</v>
      </c>
      <c r="C886">
        <v>0.436073224203389</v>
      </c>
      <c r="D886">
        <v>0.159430334077303</v>
      </c>
      <c r="E886">
        <v>0.0940412245493924</v>
      </c>
      <c r="F886">
        <v>0.0702993519311589</v>
      </c>
      <c r="G886">
        <v>0.0524373483218472</v>
      </c>
      <c r="H886">
        <v>0.0472450870161679</v>
      </c>
      <c r="I886">
        <v>0.0368383384803862</v>
      </c>
      <c r="J886">
        <v>0.029971579470345</v>
      </c>
      <c r="K886">
        <v>0.0292000399107779</v>
      </c>
      <c r="L886">
        <v>1670.8901632032</v>
      </c>
      <c r="M886">
        <v>42.1996614143302</v>
      </c>
      <c r="N886">
        <v>39.7137839630745</v>
      </c>
      <c r="O886">
        <v>39.5062662402165</v>
      </c>
      <c r="P886">
        <v>-0.251195937428274</v>
      </c>
      <c r="Q886">
        <v>0.0593481916172613</v>
      </c>
      <c r="R886">
        <v>0.987387806007976</v>
      </c>
      <c r="S886" t="s">
        <v>2554</v>
      </c>
      <c r="T886" t="s">
        <v>3312</v>
      </c>
      <c r="U886" t="s">
        <v>3312</v>
      </c>
      <c r="V886" t="s">
        <v>3312</v>
      </c>
      <c r="W886" t="s">
        <v>4196</v>
      </c>
      <c r="X886">
        <v>6</v>
      </c>
      <c r="Y886" t="s">
        <v>5837</v>
      </c>
      <c r="Z886" t="s">
        <v>7479</v>
      </c>
      <c r="AA886">
        <v>0.1442660150080405</v>
      </c>
      <c r="AB886">
        <f>HYPERLINK("Melting_Curves/meltCurve_P10408_secA.pdf", "Melting_Curves/meltCurve_P10408_secA.pdf")</f>
        <v>0</v>
      </c>
    </row>
    <row r="887" spans="1:28">
      <c r="A887" t="s">
        <v>913</v>
      </c>
      <c r="B887">
        <v>0.999984544473304</v>
      </c>
      <c r="C887">
        <v>0.828080363778526</v>
      </c>
      <c r="D887">
        <v>0.665399312635014</v>
      </c>
      <c r="E887">
        <v>0.343635951071106</v>
      </c>
      <c r="F887">
        <v>0.169431733120447</v>
      </c>
      <c r="G887">
        <v>0.131739552809146</v>
      </c>
      <c r="H887">
        <v>0.195189435872206</v>
      </c>
      <c r="I887">
        <v>0.127018200824475</v>
      </c>
      <c r="J887">
        <v>0.144367716257946</v>
      </c>
      <c r="K887">
        <v>0.0410968294522462</v>
      </c>
      <c r="L887">
        <v>777.25622863961</v>
      </c>
      <c r="M887">
        <v>17.704510859886</v>
      </c>
      <c r="N887">
        <v>44.5379702696287</v>
      </c>
      <c r="O887">
        <v>43.3529861405894</v>
      </c>
      <c r="P887">
        <v>-0.0906903208051187</v>
      </c>
      <c r="Q887">
        <v>0.111754243197322</v>
      </c>
      <c r="R887">
        <v>0.984836762133221</v>
      </c>
      <c r="S887" t="s">
        <v>2555</v>
      </c>
      <c r="T887" t="s">
        <v>3312</v>
      </c>
      <c r="U887" t="s">
        <v>3312</v>
      </c>
      <c r="V887" t="s">
        <v>3312</v>
      </c>
      <c r="W887" t="s">
        <v>4197</v>
      </c>
      <c r="X887">
        <v>2</v>
      </c>
      <c r="Y887" t="s">
        <v>5838</v>
      </c>
      <c r="Z887" t="s">
        <v>7480</v>
      </c>
      <c r="AA887">
        <v>0.3316673169241734</v>
      </c>
      <c r="AB887">
        <f>HYPERLINK("Melting_Curves/meltCurve_P10441_lpxB.pdf", "Melting_Curves/meltCurve_P10441_lpxB.pdf")</f>
        <v>0</v>
      </c>
    </row>
    <row r="888" spans="1:28">
      <c r="A888" t="s">
        <v>914</v>
      </c>
      <c r="B888">
        <v>0.999984544473304</v>
      </c>
      <c r="C888">
        <v>1.11912501516097</v>
      </c>
      <c r="D888">
        <v>0.272711256902686</v>
      </c>
      <c r="E888">
        <v>0.43095744265896</v>
      </c>
      <c r="F888">
        <v>0.150081247165913</v>
      </c>
      <c r="G888">
        <v>0.123302820503009</v>
      </c>
      <c r="H888">
        <v>0.0840465925447158</v>
      </c>
      <c r="I888">
        <v>0.057856818963301</v>
      </c>
      <c r="J888">
        <v>0.053125920667127</v>
      </c>
      <c r="K888">
        <v>0.0684825381255776</v>
      </c>
      <c r="L888">
        <v>10677.4092455049</v>
      </c>
      <c r="M888">
        <v>250</v>
      </c>
      <c r="N888">
        <v>42.7649983728329</v>
      </c>
      <c r="O888">
        <v>42.7069041047884</v>
      </c>
      <c r="P888">
        <v>-1.26111816350664</v>
      </c>
      <c r="Q888">
        <v>0.138264766601217</v>
      </c>
      <c r="R888">
        <v>0.915419519566085</v>
      </c>
      <c r="S888" t="s">
        <v>2556</v>
      </c>
      <c r="T888" t="s">
        <v>3312</v>
      </c>
      <c r="U888" t="s">
        <v>3312</v>
      </c>
      <c r="V888" t="s">
        <v>3312</v>
      </c>
      <c r="W888" t="s">
        <v>4198</v>
      </c>
      <c r="X888">
        <v>2</v>
      </c>
      <c r="Y888" t="s">
        <v>5839</v>
      </c>
      <c r="Z888" t="s">
        <v>7481</v>
      </c>
      <c r="AA888">
        <v>0.3023358696594124</v>
      </c>
      <c r="AB888">
        <f>HYPERLINK("Melting_Curves/meltCurve_P10908_ugpQ.pdf", "Melting_Curves/meltCurve_P10908_ugpQ.pdf")</f>
        <v>0</v>
      </c>
    </row>
    <row r="889" spans="1:28">
      <c r="A889" t="s">
        <v>915</v>
      </c>
      <c r="B889">
        <v>0.999984544473304</v>
      </c>
      <c r="C889">
        <v>1.12912376483984</v>
      </c>
      <c r="D889">
        <v>1.11499539657285</v>
      </c>
      <c r="E889">
        <v>0.856827972082215</v>
      </c>
      <c r="F889">
        <v>0.617625841885619</v>
      </c>
      <c r="G889">
        <v>0.513016887410518</v>
      </c>
      <c r="H889">
        <v>0.349082516122953</v>
      </c>
      <c r="I889">
        <v>0.279535213929485</v>
      </c>
      <c r="J889">
        <v>0.200307165835133</v>
      </c>
      <c r="K889">
        <v>0.170252579747768</v>
      </c>
      <c r="L889">
        <v>808.320324825016</v>
      </c>
      <c r="M889">
        <v>15.5981399837361</v>
      </c>
      <c r="N889">
        <v>53.3284441650231</v>
      </c>
      <c r="O889">
        <v>50.9922438394291</v>
      </c>
      <c r="P889">
        <v>-0.0628494072290334</v>
      </c>
      <c r="Q889">
        <v>0.178221348680204</v>
      </c>
      <c r="R889">
        <v>0.960805741828955</v>
      </c>
      <c r="S889" t="s">
        <v>2557</v>
      </c>
      <c r="T889" t="s">
        <v>3312</v>
      </c>
      <c r="U889" t="s">
        <v>3312</v>
      </c>
      <c r="V889" t="s">
        <v>3312</v>
      </c>
      <c r="W889" t="s">
        <v>4199</v>
      </c>
      <c r="X889">
        <v>9</v>
      </c>
      <c r="Y889" t="s">
        <v>5840</v>
      </c>
      <c r="Z889" t="s">
        <v>7482</v>
      </c>
      <c r="AA889">
        <v>0.599375313238923</v>
      </c>
      <c r="AB889">
        <f>HYPERLINK("Melting_Curves/meltCurve_P11349_narH.pdf", "Melting_Curves/meltCurve_P11349_narH.pdf")</f>
        <v>0</v>
      </c>
    </row>
    <row r="890" spans="1:28">
      <c r="A890" t="s">
        <v>916</v>
      </c>
      <c r="B890">
        <v>0.999984544473304</v>
      </c>
      <c r="C890">
        <v>1.10494191294426</v>
      </c>
      <c r="D890">
        <v>1.24914043970094</v>
      </c>
      <c r="E890">
        <v>1.02999308799376</v>
      </c>
      <c r="F890">
        <v>1.15941173457833</v>
      </c>
      <c r="G890">
        <v>1.20505903778092</v>
      </c>
      <c r="H890">
        <v>0.718868263548894</v>
      </c>
      <c r="I890">
        <v>0.105271690254961</v>
      </c>
      <c r="J890">
        <v>0.0542403229208619</v>
      </c>
      <c r="K890">
        <v>0.0522105632090853</v>
      </c>
      <c r="L890">
        <v>4662.34227426092</v>
      </c>
      <c r="M890">
        <v>80.3599408901231</v>
      </c>
      <c r="N890">
        <v>58.1172784199559</v>
      </c>
      <c r="O890">
        <v>57.9823390343977</v>
      </c>
      <c r="P890">
        <v>-0.324314043544083</v>
      </c>
      <c r="Q890">
        <v>0.063987145775575</v>
      </c>
      <c r="R890">
        <v>0.937168885907669</v>
      </c>
      <c r="S890" t="s">
        <v>2558</v>
      </c>
      <c r="T890" t="s">
        <v>3312</v>
      </c>
      <c r="U890" t="s">
        <v>3312</v>
      </c>
      <c r="V890" t="s">
        <v>3312</v>
      </c>
      <c r="W890" t="s">
        <v>4200</v>
      </c>
      <c r="X890">
        <v>6</v>
      </c>
      <c r="Y890" t="s">
        <v>5841</v>
      </c>
      <c r="Z890" t="s">
        <v>7483</v>
      </c>
      <c r="AA890">
        <v>0.7206887478020003</v>
      </c>
      <c r="AB890">
        <f>HYPERLINK("Melting_Curves/meltCurve_P11447_argH.pdf", "Melting_Curves/meltCurve_P11447_argH.pdf")</f>
        <v>0</v>
      </c>
    </row>
    <row r="891" spans="1:28">
      <c r="A891" t="s">
        <v>917</v>
      </c>
      <c r="B891">
        <v>0.999984544473304</v>
      </c>
      <c r="C891">
        <v>1.17833756043433</v>
      </c>
      <c r="D891">
        <v>0.579062709650341</v>
      </c>
      <c r="E891">
        <v>0.347730217355236</v>
      </c>
      <c r="F891">
        <v>0.198176138617373</v>
      </c>
      <c r="G891">
        <v>0.09038659523854781</v>
      </c>
      <c r="H891">
        <v>0.0446706106828559</v>
      </c>
      <c r="I891">
        <v>0.0341258883284135</v>
      </c>
      <c r="J891">
        <v>0.0200845134224545</v>
      </c>
      <c r="K891">
        <v>0</v>
      </c>
      <c r="L891">
        <v>956.576051038514</v>
      </c>
      <c r="M891">
        <v>21.4081668173244</v>
      </c>
      <c r="N891">
        <v>44.8686154801208</v>
      </c>
      <c r="O891">
        <v>44.2983637664832</v>
      </c>
      <c r="P891">
        <v>-0.115694795049853</v>
      </c>
      <c r="Q891">
        <v>0.0424284883350531</v>
      </c>
      <c r="R891">
        <v>0.947885579695519</v>
      </c>
      <c r="S891" t="s">
        <v>2559</v>
      </c>
      <c r="T891" t="s">
        <v>3312</v>
      </c>
      <c r="U891" t="s">
        <v>3312</v>
      </c>
      <c r="V891" t="s">
        <v>3312</v>
      </c>
      <c r="W891" t="s">
        <v>4201</v>
      </c>
      <c r="X891">
        <v>1</v>
      </c>
      <c r="Y891" t="s">
        <v>5842</v>
      </c>
      <c r="Z891" t="s">
        <v>7484</v>
      </c>
      <c r="AA891">
        <v>0.2985799129112727</v>
      </c>
      <c r="AB891">
        <f>HYPERLINK("Melting_Curves/meltCurve_P11454_entF.pdf", "Melting_Curves/meltCurve_P11454_entF.pdf")</f>
        <v>0</v>
      </c>
    </row>
    <row r="892" spans="1:28">
      <c r="A892" t="s">
        <v>918</v>
      </c>
      <c r="B892">
        <v>0.999984544473304</v>
      </c>
      <c r="C892">
        <v>1.14737393627362</v>
      </c>
      <c r="D892">
        <v>1.02812395361634</v>
      </c>
      <c r="E892">
        <v>1.43450546463748</v>
      </c>
      <c r="F892">
        <v>1.01937531390973</v>
      </c>
      <c r="G892">
        <v>0.8550303704122399</v>
      </c>
      <c r="H892">
        <v>0.724329608521183</v>
      </c>
      <c r="I892">
        <v>0.43738051100479</v>
      </c>
      <c r="J892">
        <v>0.333902678178304</v>
      </c>
      <c r="K892">
        <v>0.267746069679396</v>
      </c>
      <c r="L892">
        <v>1378.56157305339</v>
      </c>
      <c r="M892">
        <v>23.5724667585056</v>
      </c>
      <c r="N892">
        <v>60.1290278035348</v>
      </c>
      <c r="O892">
        <v>58.0658481722321</v>
      </c>
      <c r="P892">
        <v>-0.0773507103927893</v>
      </c>
      <c r="Q892">
        <v>0.237863677327836</v>
      </c>
      <c r="R892">
        <v>0.831865187395085</v>
      </c>
      <c r="S892" t="s">
        <v>2560</v>
      </c>
      <c r="T892" t="s">
        <v>3312</v>
      </c>
      <c r="U892" t="s">
        <v>3312</v>
      </c>
      <c r="V892" t="s">
        <v>3312</v>
      </c>
      <c r="W892" t="s">
        <v>4202</v>
      </c>
      <c r="X892">
        <v>10</v>
      </c>
      <c r="Y892" t="s">
        <v>5843</v>
      </c>
      <c r="Z892" t="s">
        <v>7485</v>
      </c>
      <c r="AA892">
        <v>0.7881275745832478</v>
      </c>
      <c r="AB892">
        <f>HYPERLINK("Melting_Curves/meltCurve_P11557_damX.pdf", "Melting_Curves/meltCurve_P11557_damX.pdf")</f>
        <v>0</v>
      </c>
    </row>
    <row r="893" spans="1:28">
      <c r="A893" t="s">
        <v>919</v>
      </c>
      <c r="B893">
        <v>0.999984544473304</v>
      </c>
      <c r="C893">
        <v>1.04261869060232</v>
      </c>
      <c r="D893">
        <v>0.917041865856028</v>
      </c>
      <c r="E893">
        <v>0.570488691606724</v>
      </c>
      <c r="F893">
        <v>0.150714547893844</v>
      </c>
      <c r="G893">
        <v>0.0870243125959151</v>
      </c>
      <c r="H893">
        <v>0.0743516860788775</v>
      </c>
      <c r="I893">
        <v>0.054614482044996</v>
      </c>
      <c r="J893">
        <v>0.0450387469181646</v>
      </c>
      <c r="K893">
        <v>0.0470964747606584</v>
      </c>
      <c r="L893">
        <v>1404.29894160716</v>
      </c>
      <c r="M893">
        <v>29.9913188314774</v>
      </c>
      <c r="N893">
        <v>47.005234247426</v>
      </c>
      <c r="O893">
        <v>46.6168229577791</v>
      </c>
      <c r="P893">
        <v>-0.152036613089124</v>
      </c>
      <c r="Q893">
        <v>0.0547375196774377</v>
      </c>
      <c r="R893">
        <v>0.997860986850683</v>
      </c>
      <c r="S893" t="s">
        <v>2561</v>
      </c>
      <c r="T893" t="s">
        <v>3312</v>
      </c>
      <c r="U893" t="s">
        <v>3312</v>
      </c>
      <c r="V893" t="s">
        <v>3312</v>
      </c>
      <c r="W893" t="s">
        <v>4203</v>
      </c>
      <c r="X893">
        <v>11</v>
      </c>
      <c r="Y893" t="s">
        <v>5844</v>
      </c>
      <c r="Z893" t="s">
        <v>7486</v>
      </c>
      <c r="AA893">
        <v>0.3697430420508121</v>
      </c>
      <c r="AB893">
        <f>HYPERLINK("Melting_Curves/meltCurve_P11875_argS.pdf", "Melting_Curves/meltCurve_P11875_argS.pdf")</f>
        <v>0</v>
      </c>
    </row>
    <row r="894" spans="1:28">
      <c r="A894" t="s">
        <v>920</v>
      </c>
      <c r="B894">
        <v>0.999984544473304</v>
      </c>
      <c r="C894">
        <v>1.03809298470208</v>
      </c>
      <c r="D894">
        <v>1.15057301785425</v>
      </c>
      <c r="E894">
        <v>0.557346188465932</v>
      </c>
      <c r="F894">
        <v>0.0989948559102853</v>
      </c>
      <c r="G894">
        <v>0.0474931546877276</v>
      </c>
      <c r="H894">
        <v>0.0403771163623178</v>
      </c>
      <c r="I894">
        <v>0.0294553869694641</v>
      </c>
      <c r="J894">
        <v>0.0277144099231556</v>
      </c>
      <c r="K894">
        <v>0.0153929906415572</v>
      </c>
      <c r="L894">
        <v>3550.56101751774</v>
      </c>
      <c r="M894">
        <v>76.03276696637209</v>
      </c>
      <c r="N894">
        <v>46.7521125407287</v>
      </c>
      <c r="O894">
        <v>46.6655008421638</v>
      </c>
      <c r="P894">
        <v>-0.390103278326848</v>
      </c>
      <c r="Q894">
        <v>0.0422886040274191</v>
      </c>
      <c r="R894">
        <v>0.986635061863284</v>
      </c>
      <c r="S894" t="s">
        <v>2562</v>
      </c>
      <c r="T894" t="s">
        <v>3312</v>
      </c>
      <c r="U894" t="s">
        <v>3312</v>
      </c>
      <c r="V894" t="s">
        <v>3312</v>
      </c>
      <c r="W894" t="s">
        <v>4204</v>
      </c>
      <c r="X894">
        <v>4</v>
      </c>
      <c r="Y894" t="s">
        <v>5845</v>
      </c>
      <c r="Z894" t="s">
        <v>7487</v>
      </c>
      <c r="AA894">
        <v>0.3527279916341892</v>
      </c>
      <c r="AB894">
        <f>HYPERLINK("Melting_Curves/meltCurve_P11880_murF.pdf", "Melting_Curves/meltCurve_P11880_murF.pdf")</f>
        <v>0</v>
      </c>
    </row>
    <row r="895" spans="1:28">
      <c r="A895" t="s">
        <v>921</v>
      </c>
      <c r="B895">
        <v>0.999984544473304</v>
      </c>
      <c r="C895">
        <v>0.980826650456895</v>
      </c>
      <c r="D895">
        <v>0.698482871523639</v>
      </c>
      <c r="E895">
        <v>0.270713409634892</v>
      </c>
      <c r="F895">
        <v>0.153323196101193</v>
      </c>
      <c r="G895">
        <v>0.124558028918327</v>
      </c>
      <c r="H895">
        <v>0.06856788198391001</v>
      </c>
      <c r="I895">
        <v>0.0362454612202247</v>
      </c>
      <c r="J895">
        <v>0.0127579808248248</v>
      </c>
      <c r="K895">
        <v>0.0249175436172953</v>
      </c>
      <c r="L895">
        <v>1048.47865843401</v>
      </c>
      <c r="M895">
        <v>23.5837685233231</v>
      </c>
      <c r="N895">
        <v>44.6701972080511</v>
      </c>
      <c r="O895">
        <v>44.1416735388094</v>
      </c>
      <c r="P895">
        <v>-0.126481282379182</v>
      </c>
      <c r="Q895">
        <v>0.0530770177330625</v>
      </c>
      <c r="R895">
        <v>0.993033382685402</v>
      </c>
      <c r="S895" t="s">
        <v>2563</v>
      </c>
      <c r="T895" t="s">
        <v>3312</v>
      </c>
      <c r="U895" t="s">
        <v>3312</v>
      </c>
      <c r="V895" t="s">
        <v>3312</v>
      </c>
      <c r="W895" t="s">
        <v>4205</v>
      </c>
      <c r="X895">
        <v>1</v>
      </c>
      <c r="Y895" t="s">
        <v>5846</v>
      </c>
      <c r="Z895" t="s">
        <v>7488</v>
      </c>
      <c r="AA895">
        <v>0.2972650308354899</v>
      </c>
      <c r="AB895">
        <f>HYPERLINK("Melting_Curves/meltCurve_P12008_aroC.pdf", "Melting_Curves/meltCurve_P12008_aroC.pdf")</f>
        <v>0</v>
      </c>
    </row>
    <row r="896" spans="1:28">
      <c r="A896" t="s">
        <v>922</v>
      </c>
      <c r="B896">
        <v>0.999984544473304</v>
      </c>
      <c r="C896">
        <v>1.02531357202456</v>
      </c>
      <c r="D896">
        <v>0.934353084543731</v>
      </c>
      <c r="E896">
        <v>0.871551216298509</v>
      </c>
      <c r="F896">
        <v>0.330196443954512</v>
      </c>
      <c r="G896">
        <v>0.0903833887892885</v>
      </c>
      <c r="H896">
        <v>0.0628951215877419</v>
      </c>
      <c r="I896">
        <v>0.0610963188936309</v>
      </c>
      <c r="J896">
        <v>0.0407385908699716</v>
      </c>
      <c r="K896">
        <v>0.0358984990278044</v>
      </c>
      <c r="L896">
        <v>1705.82994217111</v>
      </c>
      <c r="M896">
        <v>34.8270122200053</v>
      </c>
      <c r="N896">
        <v>49.1235336983202</v>
      </c>
      <c r="O896">
        <v>48.8194436154651</v>
      </c>
      <c r="P896">
        <v>-0.169723508123184</v>
      </c>
      <c r="Q896">
        <v>0.0483505951401876</v>
      </c>
      <c r="R896">
        <v>0.997495923164586</v>
      </c>
      <c r="S896" t="s">
        <v>2564</v>
      </c>
      <c r="T896" t="s">
        <v>3312</v>
      </c>
      <c r="U896" t="s">
        <v>3312</v>
      </c>
      <c r="V896" t="s">
        <v>3312</v>
      </c>
      <c r="W896" t="s">
        <v>4206</v>
      </c>
      <c r="X896">
        <v>4</v>
      </c>
      <c r="Y896" t="s">
        <v>5847</v>
      </c>
      <c r="Z896" t="s">
        <v>7489</v>
      </c>
      <c r="AA896">
        <v>0.4326346484038568</v>
      </c>
      <c r="AB896">
        <f>HYPERLINK("Melting_Curves/meltCurve_P12281_moeA.pdf", "Melting_Curves/meltCurve_P12281_moeA.pdf")</f>
        <v>0</v>
      </c>
    </row>
    <row r="897" spans="1:28">
      <c r="A897" t="s">
        <v>923</v>
      </c>
      <c r="B897">
        <v>0.999984544473304</v>
      </c>
      <c r="C897">
        <v>0.801639286296707</v>
      </c>
      <c r="D897">
        <v>1.03769645057469</v>
      </c>
      <c r="E897">
        <v>0.781653399228715</v>
      </c>
      <c r="F897">
        <v>0.837349142605945</v>
      </c>
      <c r="G897">
        <v>0.650994391067513</v>
      </c>
      <c r="H897">
        <v>0.372444378559373</v>
      </c>
      <c r="I897">
        <v>0.120010651564816</v>
      </c>
      <c r="J897">
        <v>0.067095786700671</v>
      </c>
      <c r="K897">
        <v>0.0553986525274502</v>
      </c>
      <c r="L897">
        <v>872.550626621149</v>
      </c>
      <c r="M897">
        <v>15.8238127088798</v>
      </c>
      <c r="N897">
        <v>55.141618241849</v>
      </c>
      <c r="O897">
        <v>54.2834932241301</v>
      </c>
      <c r="P897">
        <v>-0.0728817732109194</v>
      </c>
      <c r="Q897">
        <v>0</v>
      </c>
      <c r="R897">
        <v>0.9428565080415759</v>
      </c>
      <c r="S897" t="s">
        <v>2565</v>
      </c>
      <c r="T897" t="s">
        <v>3312</v>
      </c>
      <c r="U897" t="s">
        <v>3312</v>
      </c>
      <c r="V897" t="s">
        <v>3312</v>
      </c>
      <c r="W897" t="s">
        <v>4207</v>
      </c>
      <c r="X897">
        <v>2</v>
      </c>
      <c r="Y897" t="s">
        <v>5848</v>
      </c>
      <c r="Z897" t="s">
        <v>7490</v>
      </c>
      <c r="AA897">
        <v>0.6181871724815371</v>
      </c>
      <c r="AB897">
        <f>HYPERLINK("Melting_Curves/meltCurve_P12282_moeB.pdf", "Melting_Curves/meltCurve_P12282_moeB.pdf")</f>
        <v>0</v>
      </c>
    </row>
    <row r="898" spans="1:28">
      <c r="A898" t="s">
        <v>924</v>
      </c>
      <c r="B898">
        <v>0.999984544473304</v>
      </c>
      <c r="C898">
        <v>0.768379808739482</v>
      </c>
      <c r="D898">
        <v>0.975467204055705</v>
      </c>
      <c r="E898">
        <v>0.460036699805887</v>
      </c>
      <c r="F898">
        <v>0.209744217840129</v>
      </c>
      <c r="G898">
        <v>0.12405635042985</v>
      </c>
      <c r="H898">
        <v>0.08965894752355701</v>
      </c>
      <c r="I898">
        <v>0.0362521609511137</v>
      </c>
      <c r="J898">
        <v>0.0286062979394594</v>
      </c>
      <c r="K898">
        <v>0.0358881622355236</v>
      </c>
      <c r="L898">
        <v>1027.2133072016</v>
      </c>
      <c r="M898">
        <v>22.1153233438068</v>
      </c>
      <c r="N898">
        <v>46.6616945943425</v>
      </c>
      <c r="O898">
        <v>46.0732386091786</v>
      </c>
      <c r="P898">
        <v>-0.114224995241891</v>
      </c>
      <c r="Q898">
        <v>0.0481527231107543</v>
      </c>
      <c r="R898">
        <v>0.957653129634493</v>
      </c>
      <c r="S898" t="s">
        <v>2566</v>
      </c>
      <c r="T898" t="s">
        <v>3312</v>
      </c>
      <c r="U898" t="s">
        <v>3312</v>
      </c>
      <c r="V898" t="s">
        <v>3312</v>
      </c>
      <c r="W898" t="s">
        <v>4208</v>
      </c>
      <c r="X898">
        <v>1</v>
      </c>
      <c r="Y898" t="s">
        <v>5849</v>
      </c>
      <c r="Z898" t="s">
        <v>7491</v>
      </c>
      <c r="AA898">
        <v>0.358091997786176</v>
      </c>
      <c r="AB898">
        <f>HYPERLINK("Melting_Curves/meltCurve_P12295_ung.pdf", "Melting_Curves/meltCurve_P12295_ung.pdf")</f>
        <v>0</v>
      </c>
    </row>
    <row r="899" spans="1:28">
      <c r="A899" t="s">
        <v>925</v>
      </c>
      <c r="B899">
        <v>0.999984544473304</v>
      </c>
      <c r="C899">
        <v>0.812280656547255</v>
      </c>
      <c r="D899">
        <v>1.00251298502976</v>
      </c>
      <c r="E899">
        <v>0.84980717926051</v>
      </c>
      <c r="F899">
        <v>0.957239669627333</v>
      </c>
      <c r="G899">
        <v>0.968443103287345</v>
      </c>
      <c r="H899">
        <v>0.742439362666598</v>
      </c>
      <c r="I899">
        <v>0.344062257900198</v>
      </c>
      <c r="J899">
        <v>0.0266080539587744</v>
      </c>
      <c r="K899">
        <v>0.0230277743495344</v>
      </c>
      <c r="L899">
        <v>1927.43932699411</v>
      </c>
      <c r="M899">
        <v>32.4214376908183</v>
      </c>
      <c r="N899">
        <v>59.4495265656314</v>
      </c>
      <c r="O899">
        <v>59.2247147117316</v>
      </c>
      <c r="P899">
        <v>-0.13685833794731</v>
      </c>
      <c r="Q899">
        <v>0</v>
      </c>
      <c r="R899">
        <v>0.953230063024936</v>
      </c>
      <c r="S899" t="s">
        <v>2567</v>
      </c>
      <c r="T899" t="s">
        <v>3312</v>
      </c>
      <c r="U899" t="s">
        <v>3312</v>
      </c>
      <c r="V899" t="s">
        <v>3312</v>
      </c>
      <c r="W899" t="s">
        <v>4209</v>
      </c>
      <c r="X899">
        <v>8</v>
      </c>
      <c r="Y899" t="s">
        <v>5850</v>
      </c>
      <c r="Z899" t="s">
        <v>7492</v>
      </c>
      <c r="AA899">
        <v>0.7524633565809971</v>
      </c>
      <c r="AB899">
        <f>HYPERLINK("Melting_Curves/meltCurve_P12758_udp.pdf", "Melting_Curves/meltCurve_P12758_udp.pdf")</f>
        <v>0</v>
      </c>
    </row>
    <row r="900" spans="1:28">
      <c r="A900" t="s">
        <v>926</v>
      </c>
      <c r="B900">
        <v>0.999984544473304</v>
      </c>
      <c r="C900">
        <v>0.902897874126943</v>
      </c>
      <c r="D900">
        <v>1.03680796900593</v>
      </c>
      <c r="E900">
        <v>1.00061214616982</v>
      </c>
      <c r="F900">
        <v>0.960212250322057</v>
      </c>
      <c r="G900">
        <v>0.376014133624306</v>
      </c>
      <c r="H900">
        <v>0.138377542328395</v>
      </c>
      <c r="I900">
        <v>0.064534345331201</v>
      </c>
      <c r="J900">
        <v>0.0366867589020605</v>
      </c>
      <c r="K900">
        <v>0.0353058420779194</v>
      </c>
      <c r="L900">
        <v>2471.78760900968</v>
      </c>
      <c r="M900">
        <v>46.5651565360293</v>
      </c>
      <c r="N900">
        <v>53.2264042730006</v>
      </c>
      <c r="O900">
        <v>52.984733000044</v>
      </c>
      <c r="P900">
        <v>-0.206702189073069</v>
      </c>
      <c r="Q900">
        <v>0.0592068490307693</v>
      </c>
      <c r="R900">
        <v>0.9920234176710671</v>
      </c>
      <c r="S900" t="s">
        <v>2568</v>
      </c>
      <c r="T900" t="s">
        <v>3312</v>
      </c>
      <c r="U900" t="s">
        <v>3312</v>
      </c>
      <c r="V900" t="s">
        <v>3312</v>
      </c>
      <c r="W900" t="s">
        <v>4210</v>
      </c>
      <c r="X900">
        <v>3</v>
      </c>
      <c r="Y900" t="s">
        <v>5851</v>
      </c>
      <c r="Z900" t="s">
        <v>7493</v>
      </c>
      <c r="AA900">
        <v>0.5660836726336153</v>
      </c>
      <c r="AB900">
        <f>HYPERLINK("Melting_Curves/meltCurve_P12994_ybhB.pdf", "Melting_Curves/meltCurve_P12994_ybhB.pdf")</f>
        <v>0</v>
      </c>
    </row>
    <row r="901" spans="1:28">
      <c r="A901" t="s">
        <v>927</v>
      </c>
      <c r="B901">
        <v>0.999984544473304</v>
      </c>
      <c r="C901">
        <v>0.967898118176805</v>
      </c>
      <c r="D901">
        <v>0.496164034002421</v>
      </c>
      <c r="E901">
        <v>0.286292167735112</v>
      </c>
      <c r="F901">
        <v>0.184901208342502</v>
      </c>
      <c r="G901">
        <v>0.0942485704369843</v>
      </c>
      <c r="H901">
        <v>0.0859336315444649</v>
      </c>
      <c r="I901">
        <v>0.0792709661272443</v>
      </c>
      <c r="J901">
        <v>0.0520920986396164</v>
      </c>
      <c r="K901">
        <v>0.06647572151740649</v>
      </c>
      <c r="L901">
        <v>975.970644333752</v>
      </c>
      <c r="M901">
        <v>22.5643113534993</v>
      </c>
      <c r="N901">
        <v>43.6221207992392</v>
      </c>
      <c r="O901">
        <v>42.9174219669547</v>
      </c>
      <c r="P901">
        <v>-0.120014688946988</v>
      </c>
      <c r="Q901">
        <v>0.0869445184040931</v>
      </c>
      <c r="R901">
        <v>0.98238527056838</v>
      </c>
      <c r="S901" t="s">
        <v>2569</v>
      </c>
      <c r="T901" t="s">
        <v>3312</v>
      </c>
      <c r="U901" t="s">
        <v>3312</v>
      </c>
      <c r="V901" t="s">
        <v>3312</v>
      </c>
      <c r="W901" t="s">
        <v>4211</v>
      </c>
      <c r="X901">
        <v>1</v>
      </c>
      <c r="Y901" t="s">
        <v>5852</v>
      </c>
      <c r="Z901" t="s">
        <v>7494</v>
      </c>
      <c r="AA901">
        <v>0.2868166667377801</v>
      </c>
      <c r="AB901">
        <f>HYPERLINK("Melting_Curves/meltCurve_P13009_metH.pdf", "Melting_Curves/meltCurve_P13009_metH.pdf")</f>
        <v>0</v>
      </c>
    </row>
    <row r="902" spans="1:28">
      <c r="A902" t="s">
        <v>928</v>
      </c>
      <c r="B902">
        <v>0.999984544473304</v>
      </c>
      <c r="C902">
        <v>0.82799273761421</v>
      </c>
      <c r="D902">
        <v>0.827994732125966</v>
      </c>
      <c r="E902">
        <v>0.666902571288188</v>
      </c>
      <c r="F902">
        <v>0.40117425595913</v>
      </c>
      <c r="G902">
        <v>0.179929342134121</v>
      </c>
      <c r="H902">
        <v>0.0635806374301639</v>
      </c>
      <c r="I902">
        <v>0.046832410988873</v>
      </c>
      <c r="J902">
        <v>0.0237154434534267</v>
      </c>
      <c r="K902">
        <v>0.0229954706836338</v>
      </c>
      <c r="L902">
        <v>649.698578223876</v>
      </c>
      <c r="M902">
        <v>13.4450630195787</v>
      </c>
      <c r="N902">
        <v>48.3224643975705</v>
      </c>
      <c r="O902">
        <v>47.2910326932752</v>
      </c>
      <c r="P902">
        <v>-0.07108718586493271</v>
      </c>
      <c r="Q902">
        <v>0</v>
      </c>
      <c r="R902">
        <v>0.985889018896407</v>
      </c>
      <c r="S902" t="s">
        <v>2570</v>
      </c>
      <c r="T902" t="s">
        <v>3312</v>
      </c>
      <c r="U902" t="s">
        <v>3312</v>
      </c>
      <c r="V902" t="s">
        <v>3312</v>
      </c>
      <c r="W902" t="s">
        <v>4212</v>
      </c>
      <c r="X902">
        <v>2</v>
      </c>
      <c r="Y902" t="s">
        <v>5853</v>
      </c>
      <c r="Z902" t="s">
        <v>7495</v>
      </c>
      <c r="AA902">
        <v>0.4034484522153058</v>
      </c>
      <c r="AB902">
        <f>HYPERLINK("Melting_Curves/meltCurve_P13016_ampD.pdf", "Melting_Curves/meltCurve_P13016_ampD.pdf")</f>
        <v>0</v>
      </c>
    </row>
    <row r="903" spans="1:28">
      <c r="A903" t="s">
        <v>929</v>
      </c>
      <c r="B903">
        <v>0.999984544473304</v>
      </c>
      <c r="C903">
        <v>0.706899095277069</v>
      </c>
      <c r="D903">
        <v>0.797286761474617</v>
      </c>
      <c r="E903">
        <v>0.497439193572788</v>
      </c>
      <c r="F903">
        <v>0.528564174797163</v>
      </c>
      <c r="G903">
        <v>0.278876099534484</v>
      </c>
      <c r="H903">
        <v>0.201265167034063</v>
      </c>
      <c r="I903">
        <v>0.151276635980543</v>
      </c>
      <c r="J903">
        <v>0.0934770243577738</v>
      </c>
      <c r="K903">
        <v>0.09721291138284539</v>
      </c>
      <c r="L903">
        <v>386.112545501552</v>
      </c>
      <c r="M903">
        <v>8.009813012888261</v>
      </c>
      <c r="N903">
        <v>48.2049267932091</v>
      </c>
      <c r="O903">
        <v>45.478647224914</v>
      </c>
      <c r="P903">
        <v>-0.0440801951693142</v>
      </c>
      <c r="Q903">
        <v>0</v>
      </c>
      <c r="R903">
        <v>0.9481634960983329</v>
      </c>
      <c r="S903" t="s">
        <v>2571</v>
      </c>
      <c r="T903" t="s">
        <v>3312</v>
      </c>
      <c r="U903" t="s">
        <v>3312</v>
      </c>
      <c r="V903" t="s">
        <v>3312</v>
      </c>
      <c r="W903" t="s">
        <v>4213</v>
      </c>
      <c r="X903">
        <v>2</v>
      </c>
      <c r="Y903" t="s">
        <v>5854</v>
      </c>
      <c r="Z903" t="s">
        <v>7496</v>
      </c>
      <c r="AA903">
        <v>0.4242186557417258</v>
      </c>
      <c r="AB903">
        <f>HYPERLINK("Melting_Curves/meltCurve_P13024_fdhE.pdf", "Melting_Curves/meltCurve_P13024_fdhE.pdf")</f>
        <v>0</v>
      </c>
    </row>
    <row r="904" spans="1:28">
      <c r="A904" t="s">
        <v>930</v>
      </c>
      <c r="B904">
        <v>0.999984544473304</v>
      </c>
      <c r="C904">
        <v>1.79194724350832</v>
      </c>
      <c r="D904">
        <v>1.40807977283064</v>
      </c>
      <c r="E904">
        <v>1.76674498310571</v>
      </c>
      <c r="F904">
        <v>0.495692785474122</v>
      </c>
      <c r="G904">
        <v>0.180249879223226</v>
      </c>
      <c r="H904">
        <v>0.0666957250072566</v>
      </c>
      <c r="I904">
        <v>0.0418117599674236</v>
      </c>
      <c r="J904">
        <v>0.0284195335480512</v>
      </c>
      <c r="K904">
        <v>0.0328005124488184</v>
      </c>
      <c r="L904">
        <v>11868.4074390968</v>
      </c>
      <c r="M904">
        <v>236.591915544359</v>
      </c>
      <c r="N904">
        <v>50.1960415560074</v>
      </c>
      <c r="O904">
        <v>50.1604565510388</v>
      </c>
      <c r="P904">
        <v>-1.0966384504353</v>
      </c>
      <c r="Q904">
        <v>0.06999544871418931</v>
      </c>
      <c r="R904">
        <v>0.71823715766273</v>
      </c>
      <c r="S904" t="s">
        <v>2572</v>
      </c>
      <c r="T904" t="s">
        <v>3312</v>
      </c>
      <c r="U904" t="s">
        <v>3312</v>
      </c>
      <c r="V904" t="s">
        <v>3312</v>
      </c>
      <c r="W904" t="s">
        <v>4214</v>
      </c>
      <c r="X904">
        <v>26</v>
      </c>
      <c r="Y904" t="s">
        <v>5855</v>
      </c>
      <c r="Z904" t="s">
        <v>7497</v>
      </c>
      <c r="AA904">
        <v>0.478174253336149</v>
      </c>
      <c r="AB904">
        <f>HYPERLINK("Melting_Curves/meltCurve_P13029_katG.pdf", "Melting_Curves/meltCurve_P13029_katG.pdf")</f>
        <v>0</v>
      </c>
    </row>
    <row r="905" spans="1:28">
      <c r="A905" t="s">
        <v>931</v>
      </c>
      <c r="B905">
        <v>0.999984544473304</v>
      </c>
      <c r="C905">
        <v>1.15446777697596</v>
      </c>
      <c r="D905">
        <v>0.958368732619545</v>
      </c>
      <c r="E905">
        <v>0.866512538810753</v>
      </c>
      <c r="F905">
        <v>0.427460448678769</v>
      </c>
      <c r="G905">
        <v>0.129555843724354</v>
      </c>
      <c r="H905">
        <v>0.0765894848534307</v>
      </c>
      <c r="I905">
        <v>0.0301192845869565</v>
      </c>
      <c r="J905">
        <v>0.0183133688170075</v>
      </c>
      <c r="K905">
        <v>0</v>
      </c>
      <c r="L905">
        <v>1342.51672314464</v>
      </c>
      <c r="M905">
        <v>27.0547734706654</v>
      </c>
      <c r="N905">
        <v>49.7050079711379</v>
      </c>
      <c r="O905">
        <v>49.353447764518</v>
      </c>
      <c r="P905">
        <v>-0.134026500429135</v>
      </c>
      <c r="Q905">
        <v>0.0220425003252858</v>
      </c>
      <c r="R905">
        <v>0.986913745568247</v>
      </c>
      <c r="S905" t="s">
        <v>2573</v>
      </c>
      <c r="T905" t="s">
        <v>3312</v>
      </c>
      <c r="U905" t="s">
        <v>3312</v>
      </c>
      <c r="V905" t="s">
        <v>3312</v>
      </c>
      <c r="W905" t="s">
        <v>4215</v>
      </c>
      <c r="X905">
        <v>1</v>
      </c>
      <c r="Y905" t="s">
        <v>5856</v>
      </c>
      <c r="Z905" t="s">
        <v>7498</v>
      </c>
      <c r="AA905">
        <v>0.4408155170954073</v>
      </c>
      <c r="AB905">
        <f>HYPERLINK("Melting_Curves/meltCurve_P13036_fecA.pdf", "Melting_Curves/meltCurve_P13036_fecA.pdf")</f>
        <v>0</v>
      </c>
    </row>
    <row r="906" spans="1:28">
      <c r="A906" t="s">
        <v>932</v>
      </c>
      <c r="B906">
        <v>0.999984544473304</v>
      </c>
      <c r="C906">
        <v>0.935949617593424</v>
      </c>
      <c r="D906">
        <v>1.22354936346808</v>
      </c>
      <c r="E906">
        <v>1.04359896334228</v>
      </c>
      <c r="F906">
        <v>0.924631402980516</v>
      </c>
      <c r="G906">
        <v>0.482633381474355</v>
      </c>
      <c r="H906">
        <v>0.185302298139523</v>
      </c>
      <c r="I906">
        <v>0.08176156624387849</v>
      </c>
      <c r="J906">
        <v>0.0527574951267494</v>
      </c>
      <c r="K906">
        <v>0.0568244033518904</v>
      </c>
      <c r="L906">
        <v>1782.59243471521</v>
      </c>
      <c r="M906">
        <v>33.269227591999</v>
      </c>
      <c r="N906">
        <v>53.799302915922</v>
      </c>
      <c r="O906">
        <v>53.3883450887865</v>
      </c>
      <c r="P906">
        <v>-0.145944943063559</v>
      </c>
      <c r="Q906">
        <v>0.0631913771322125</v>
      </c>
      <c r="R906">
        <v>0.9710019257774259</v>
      </c>
      <c r="S906" t="s">
        <v>2574</v>
      </c>
      <c r="T906" t="s">
        <v>3312</v>
      </c>
      <c r="U906" t="s">
        <v>3312</v>
      </c>
      <c r="V906" t="s">
        <v>3312</v>
      </c>
      <c r="W906" t="s">
        <v>4216</v>
      </c>
      <c r="X906">
        <v>11</v>
      </c>
      <c r="Y906" t="s">
        <v>5857</v>
      </c>
      <c r="Z906" t="s">
        <v>7499</v>
      </c>
      <c r="AA906">
        <v>0.5858880224790736</v>
      </c>
      <c r="AB906">
        <f>HYPERLINK("Melting_Curves/meltCurve_P13482_treA.pdf", "Melting_Curves/meltCurve_P13482_treA.pdf")</f>
        <v>0</v>
      </c>
    </row>
    <row r="907" spans="1:28">
      <c r="A907" t="s">
        <v>933</v>
      </c>
      <c r="B907">
        <v>0.999984544473304</v>
      </c>
      <c r="C907">
        <v>1.10550333789816</v>
      </c>
      <c r="D907">
        <v>1.25026121076076</v>
      </c>
      <c r="E907">
        <v>1.17480465720964</v>
      </c>
      <c r="F907">
        <v>1.03504663912441</v>
      </c>
      <c r="G907">
        <v>0.217491224871939</v>
      </c>
      <c r="H907">
        <v>0.078154520378835</v>
      </c>
      <c r="I907">
        <v>0.0335986991503465</v>
      </c>
      <c r="J907">
        <v>0.0201134089601626</v>
      </c>
      <c r="K907">
        <v>0.008344685324394479</v>
      </c>
      <c r="L907">
        <v>13371.6622349369</v>
      </c>
      <c r="M907">
        <v>250</v>
      </c>
      <c r="N907">
        <v>53.5022041959331</v>
      </c>
      <c r="O907">
        <v>53.4832263333691</v>
      </c>
      <c r="P907">
        <v>-1.12762829830601</v>
      </c>
      <c r="Q907">
        <v>0.0350528124861671</v>
      </c>
      <c r="R907">
        <v>0.961072654308718</v>
      </c>
      <c r="S907" t="s">
        <v>2575</v>
      </c>
      <c r="T907" t="s">
        <v>3312</v>
      </c>
      <c r="U907" t="s">
        <v>3312</v>
      </c>
      <c r="V907" t="s">
        <v>3312</v>
      </c>
      <c r="W907" t="s">
        <v>4217</v>
      </c>
      <c r="X907">
        <v>1</v>
      </c>
      <c r="Y907" t="s">
        <v>5858</v>
      </c>
      <c r="Z907" t="s">
        <v>7500</v>
      </c>
      <c r="AA907">
        <v>0.5654349079081749</v>
      </c>
      <c r="AB907">
        <f>HYPERLINK("Melting_Curves/meltCurve_P13656_chiA.pdf", "Melting_Curves/meltCurve_P13656_chiA.pdf")</f>
        <v>0</v>
      </c>
    </row>
    <row r="908" spans="1:28">
      <c r="A908" t="s">
        <v>934</v>
      </c>
      <c r="B908">
        <v>0.999984544473304</v>
      </c>
      <c r="C908">
        <v>0.81041458324088</v>
      </c>
      <c r="D908">
        <v>1.03688385425152</v>
      </c>
      <c r="E908">
        <v>0.911390621650672</v>
      </c>
      <c r="F908">
        <v>0.856935186673275</v>
      </c>
      <c r="G908">
        <v>0.684230338528539</v>
      </c>
      <c r="H908">
        <v>0.548397621150292</v>
      </c>
      <c r="I908">
        <v>0.385136656612083</v>
      </c>
      <c r="J908">
        <v>0.280212909702476</v>
      </c>
      <c r="K908">
        <v>0.198876614707578</v>
      </c>
      <c r="L908">
        <v>595.478344307992</v>
      </c>
      <c r="M908">
        <v>10.2284544048364</v>
      </c>
      <c r="N908">
        <v>58.2178226500911</v>
      </c>
      <c r="O908">
        <v>56.1241517923983</v>
      </c>
      <c r="P908">
        <v>-0.0455820581872242</v>
      </c>
      <c r="Q908">
        <v>0</v>
      </c>
      <c r="R908">
        <v>0.954432053146136</v>
      </c>
      <c r="S908" t="s">
        <v>2576</v>
      </c>
      <c r="T908" t="s">
        <v>3312</v>
      </c>
      <c r="U908" t="s">
        <v>3312</v>
      </c>
      <c r="V908" t="s">
        <v>3312</v>
      </c>
      <c r="W908" t="s">
        <v>4218</v>
      </c>
      <c r="X908">
        <v>1</v>
      </c>
      <c r="Y908" t="s">
        <v>5859</v>
      </c>
      <c r="Z908" t="s">
        <v>7501</v>
      </c>
      <c r="AA908">
        <v>0.6979617383341804</v>
      </c>
      <c r="AB908">
        <f>HYPERLINK("Melting_Curves/meltCurve_P13857_rimL.pdf", "Melting_Curves/meltCurve_P13857_rimL.pdf")</f>
        <v>0</v>
      </c>
    </row>
    <row r="909" spans="1:28">
      <c r="A909" t="s">
        <v>935</v>
      </c>
      <c r="B909">
        <v>0.999984544473304</v>
      </c>
      <c r="C909">
        <v>0.991917020285079</v>
      </c>
      <c r="D909">
        <v>1.11416031117585</v>
      </c>
      <c r="E909">
        <v>0.930406926712353</v>
      </c>
      <c r="F909">
        <v>0.420782438340363</v>
      </c>
      <c r="G909">
        <v>0.0797628362282489</v>
      </c>
      <c r="H909">
        <v>0.0507448696856853</v>
      </c>
      <c r="I909">
        <v>0.0381429030052514</v>
      </c>
      <c r="J909">
        <v>0.0254626352664558</v>
      </c>
      <c r="K909">
        <v>0.0217330763663917</v>
      </c>
      <c r="L909">
        <v>1975.83444168405</v>
      </c>
      <c r="M909">
        <v>39.7594605720956</v>
      </c>
      <c r="N909">
        <v>49.7804945219652</v>
      </c>
      <c r="O909">
        <v>49.5694854803478</v>
      </c>
      <c r="P909">
        <v>-0.193883334931003</v>
      </c>
      <c r="Q909">
        <v>0.0331180480145398</v>
      </c>
      <c r="R909">
        <v>0.993336614184536</v>
      </c>
      <c r="S909" t="s">
        <v>2577</v>
      </c>
      <c r="T909" t="s">
        <v>3312</v>
      </c>
      <c r="U909" t="s">
        <v>3312</v>
      </c>
      <c r="V909" t="s">
        <v>3312</v>
      </c>
      <c r="W909" t="s">
        <v>4219</v>
      </c>
      <c r="X909">
        <v>7</v>
      </c>
      <c r="Y909" t="s">
        <v>5860</v>
      </c>
      <c r="Z909" t="s">
        <v>7502</v>
      </c>
      <c r="AA909">
        <v>0.4456207860906714</v>
      </c>
      <c r="AB909">
        <f>HYPERLINK("Melting_Curves/meltCurve_P14900_murD.pdf", "Melting_Curves/meltCurve_P14900_murD.pdf")</f>
        <v>0</v>
      </c>
    </row>
    <row r="910" spans="1:28">
      <c r="A910" t="s">
        <v>936</v>
      </c>
      <c r="B910">
        <v>0.999984544473304</v>
      </c>
      <c r="C910">
        <v>1.00566967904155</v>
      </c>
      <c r="D910">
        <v>0.844757963756543</v>
      </c>
      <c r="E910">
        <v>0.870953830934275</v>
      </c>
      <c r="F910">
        <v>0.982758644814853</v>
      </c>
      <c r="G910">
        <v>0.734679351089066</v>
      </c>
      <c r="H910">
        <v>0.444106399459552</v>
      </c>
      <c r="I910">
        <v>0.117342699749225</v>
      </c>
      <c r="J910">
        <v>0.0299184029186275</v>
      </c>
      <c r="K910">
        <v>0.0427816271554773</v>
      </c>
      <c r="L910">
        <v>1325.86286943395</v>
      </c>
      <c r="M910">
        <v>23.4809170508469</v>
      </c>
      <c r="N910">
        <v>56.4655614166183</v>
      </c>
      <c r="O910">
        <v>56.0607596250848</v>
      </c>
      <c r="P910">
        <v>-0.104713671465323</v>
      </c>
      <c r="Q910">
        <v>0</v>
      </c>
      <c r="R910">
        <v>0.970766040564108</v>
      </c>
      <c r="S910" t="s">
        <v>2578</v>
      </c>
      <c r="T910" t="s">
        <v>3312</v>
      </c>
      <c r="U910" t="s">
        <v>3312</v>
      </c>
      <c r="V910" t="s">
        <v>3312</v>
      </c>
      <c r="W910" t="s">
        <v>4220</v>
      </c>
      <c r="X910">
        <v>1</v>
      </c>
      <c r="Y910" t="s">
        <v>5861</v>
      </c>
      <c r="Z910" t="s">
        <v>7503</v>
      </c>
      <c r="AA910">
        <v>0.6572660871452953</v>
      </c>
      <c r="AB910">
        <f>HYPERLINK("Melting_Curves/meltCurve_P15028_fecB.pdf", "Melting_Curves/meltCurve_P15028_fecB.pdf")</f>
        <v>0</v>
      </c>
    </row>
    <row r="911" spans="1:28">
      <c r="A911" t="s">
        <v>937</v>
      </c>
      <c r="B911">
        <v>0.999984544473304</v>
      </c>
      <c r="C911">
        <v>1.06634442993565</v>
      </c>
      <c r="D911">
        <v>1.00658449577723</v>
      </c>
      <c r="E911">
        <v>0.845188681320068</v>
      </c>
      <c r="F911">
        <v>0.713532867872894</v>
      </c>
      <c r="G911">
        <v>0.382746778578142</v>
      </c>
      <c r="H911">
        <v>0.110970741109888</v>
      </c>
      <c r="I911">
        <v>0.0675211859425303</v>
      </c>
      <c r="J911">
        <v>0.0466895552569708</v>
      </c>
      <c r="K911">
        <v>0.0441651286358146</v>
      </c>
      <c r="L911">
        <v>1019.54403045571</v>
      </c>
      <c r="M911">
        <v>19.5467838996106</v>
      </c>
      <c r="N911">
        <v>52.2350428790273</v>
      </c>
      <c r="O911">
        <v>51.6224511957221</v>
      </c>
      <c r="P911">
        <v>-0.09334060274472231</v>
      </c>
      <c r="Q911">
        <v>0.013996569744092</v>
      </c>
      <c r="R911">
        <v>0.992456411861001</v>
      </c>
      <c r="S911" t="s">
        <v>2579</v>
      </c>
      <c r="T911" t="s">
        <v>3312</v>
      </c>
      <c r="U911" t="s">
        <v>3312</v>
      </c>
      <c r="V911" t="s">
        <v>3312</v>
      </c>
      <c r="W911" t="s">
        <v>4221</v>
      </c>
      <c r="X911">
        <v>11</v>
      </c>
      <c r="Y911" t="s">
        <v>5862</v>
      </c>
      <c r="Z911" t="s">
        <v>7504</v>
      </c>
      <c r="AA911">
        <v>0.5253774463569801</v>
      </c>
      <c r="AB911">
        <f>HYPERLINK("Melting_Curves/meltCurve_P15034_pepP.pdf", "Melting_Curves/meltCurve_P15034_pepP.pdf")</f>
        <v>0</v>
      </c>
    </row>
    <row r="912" spans="1:28">
      <c r="A912" t="s">
        <v>938</v>
      </c>
      <c r="B912">
        <v>0.999984544473304</v>
      </c>
      <c r="C912">
        <v>0.887376887604558</v>
      </c>
      <c r="D912">
        <v>0.832785292086455</v>
      </c>
      <c r="E912">
        <v>0.5953868232180221</v>
      </c>
      <c r="F912">
        <v>0.148025153544982</v>
      </c>
      <c r="G912">
        <v>0.06348507545883531</v>
      </c>
      <c r="H912">
        <v>0.0561060904585934</v>
      </c>
      <c r="I912">
        <v>0.017337735520321</v>
      </c>
      <c r="J912">
        <v>0.00885485974971922</v>
      </c>
      <c r="K912">
        <v>0.0115237687493815</v>
      </c>
      <c r="L912">
        <v>952.799502357841</v>
      </c>
      <c r="M912">
        <v>20.3289498060449</v>
      </c>
      <c r="N912">
        <v>46.8925780202934</v>
      </c>
      <c r="O912">
        <v>46.4226353979205</v>
      </c>
      <c r="P912">
        <v>-0.108926488604953</v>
      </c>
      <c r="Q912">
        <v>0.00506413098970058</v>
      </c>
      <c r="R912">
        <v>0.989134800332613</v>
      </c>
      <c r="S912" t="s">
        <v>2580</v>
      </c>
      <c r="T912" t="s">
        <v>3312</v>
      </c>
      <c r="U912" t="s">
        <v>3312</v>
      </c>
      <c r="V912" t="s">
        <v>3312</v>
      </c>
      <c r="W912" t="s">
        <v>4222</v>
      </c>
      <c r="X912">
        <v>1</v>
      </c>
      <c r="Y912" t="s">
        <v>5863</v>
      </c>
      <c r="Z912" t="s">
        <v>7505</v>
      </c>
      <c r="AA912">
        <v>0.3449767727286177</v>
      </c>
      <c r="AB912">
        <f>HYPERLINK("Melting_Curves/meltCurve_P15038_helD.pdf", "Melting_Curves/meltCurve_P15038_helD.pdf")</f>
        <v>0</v>
      </c>
    </row>
    <row r="913" spans="1:28">
      <c r="A913" t="s">
        <v>939</v>
      </c>
      <c r="B913">
        <v>0.999984544473304</v>
      </c>
      <c r="C913">
        <v>1.13482463944453</v>
      </c>
      <c r="D913">
        <v>0.8074162125052849</v>
      </c>
      <c r="E913">
        <v>0.493100910723386</v>
      </c>
      <c r="F913">
        <v>0.381802593730774</v>
      </c>
      <c r="G913">
        <v>0.09828591764386151</v>
      </c>
      <c r="H913">
        <v>0.07246330425976449</v>
      </c>
      <c r="I913">
        <v>0.0489028498706282</v>
      </c>
      <c r="J913">
        <v>0.052081908407338</v>
      </c>
      <c r="K913">
        <v>0.0471775388676768</v>
      </c>
      <c r="L913">
        <v>817.728105541833</v>
      </c>
      <c r="M913">
        <v>17.3732893709226</v>
      </c>
      <c r="N913">
        <v>47.2914301794261</v>
      </c>
      <c r="O913">
        <v>46.4577968646799</v>
      </c>
      <c r="P913">
        <v>-0.08981306579603671</v>
      </c>
      <c r="Q913">
        <v>0.0393805544317634</v>
      </c>
      <c r="R913">
        <v>0.970442973239606</v>
      </c>
      <c r="S913" t="s">
        <v>2581</v>
      </c>
      <c r="T913" t="s">
        <v>3312</v>
      </c>
      <c r="U913" t="s">
        <v>3312</v>
      </c>
      <c r="V913" t="s">
        <v>3312</v>
      </c>
      <c r="W913" t="s">
        <v>4223</v>
      </c>
      <c r="X913">
        <v>13</v>
      </c>
      <c r="Y913" t="s">
        <v>5864</v>
      </c>
      <c r="Z913" t="s">
        <v>7506</v>
      </c>
      <c r="AA913">
        <v>0.3782550947854588</v>
      </c>
      <c r="AB913">
        <f>HYPERLINK("Melting_Curves/meltCurve_P15042_ligA.pdf", "Melting_Curves/meltCurve_P15042_ligA.pdf")</f>
        <v>0</v>
      </c>
    </row>
    <row r="914" spans="1:28">
      <c r="A914" t="s">
        <v>940</v>
      </c>
      <c r="B914">
        <v>0.999984544473304</v>
      </c>
      <c r="C914">
        <v>1.10549726591894</v>
      </c>
      <c r="D914">
        <v>0.809178843457569</v>
      </c>
      <c r="E914">
        <v>0.427942869298359</v>
      </c>
      <c r="F914">
        <v>0.198977616295505</v>
      </c>
      <c r="G914">
        <v>0.0873815823076414</v>
      </c>
      <c r="H914">
        <v>0.0915022209656301</v>
      </c>
      <c r="I914">
        <v>0.08626597445262831</v>
      </c>
      <c r="J914">
        <v>0.0671011178300838</v>
      </c>
      <c r="K914">
        <v>0.058090345054558</v>
      </c>
      <c r="L914">
        <v>1132.10713317388</v>
      </c>
      <c r="M914">
        <v>24.7557319526162</v>
      </c>
      <c r="N914">
        <v>46.0393144138586</v>
      </c>
      <c r="O914">
        <v>45.4358442865967</v>
      </c>
      <c r="P914">
        <v>-0.125813235022819</v>
      </c>
      <c r="Q914">
        <v>0.0763594565634227</v>
      </c>
      <c r="R914">
        <v>0.9876733103119369</v>
      </c>
      <c r="S914" t="s">
        <v>2582</v>
      </c>
      <c r="T914" t="s">
        <v>3312</v>
      </c>
      <c r="U914" t="s">
        <v>3312</v>
      </c>
      <c r="V914" t="s">
        <v>3312</v>
      </c>
      <c r="W914" t="s">
        <v>4224</v>
      </c>
      <c r="X914">
        <v>1</v>
      </c>
      <c r="Y914" t="s">
        <v>5865</v>
      </c>
      <c r="Z914" t="s">
        <v>7507</v>
      </c>
      <c r="AA914">
        <v>0.3529587706251823</v>
      </c>
      <c r="AB914">
        <f>HYPERLINK("Melting_Curves/meltCurve_P15067_glgX.pdf", "Melting_Curves/meltCurve_P15067_glgX.pdf")</f>
        <v>0</v>
      </c>
    </row>
    <row r="915" spans="1:28">
      <c r="A915" t="s">
        <v>941</v>
      </c>
      <c r="B915">
        <v>0.999984544473304</v>
      </c>
      <c r="C915">
        <v>0.893758931779981</v>
      </c>
      <c r="D915">
        <v>1.09083447670532</v>
      </c>
      <c r="E915">
        <v>1.03493276469636</v>
      </c>
      <c r="F915">
        <v>1.34224017837509</v>
      </c>
      <c r="G915">
        <v>1.16892212706132</v>
      </c>
      <c r="H915">
        <v>1.17703135293082</v>
      </c>
      <c r="I915">
        <v>1.07893421854381</v>
      </c>
      <c r="J915">
        <v>0.806059470346897</v>
      </c>
      <c r="K915">
        <v>0.628061001048824</v>
      </c>
      <c r="L915">
        <v>15000</v>
      </c>
      <c r="M915">
        <v>234.095031426364</v>
      </c>
      <c r="O915">
        <v>64.071889693354</v>
      </c>
      <c r="P915">
        <v>-0.339745111222064</v>
      </c>
      <c r="Q915">
        <v>0.628046733397827</v>
      </c>
      <c r="R915">
        <v>0.45612170029066</v>
      </c>
      <c r="S915" t="s">
        <v>2583</v>
      </c>
      <c r="T915" t="s">
        <v>3312</v>
      </c>
      <c r="U915" t="s">
        <v>3312</v>
      </c>
      <c r="V915" t="s">
        <v>3312</v>
      </c>
      <c r="W915" t="s">
        <v>4225</v>
      </c>
      <c r="X915">
        <v>2</v>
      </c>
      <c r="Y915" t="s">
        <v>5866</v>
      </c>
      <c r="Z915" t="s">
        <v>7508</v>
      </c>
      <c r="AA915">
        <v>0.9638012373914198</v>
      </c>
      <c r="AB915">
        <f>HYPERLINK("Melting_Curves/meltCurve_P15070_fliN.pdf", "Melting_Curves/meltCurve_P15070_fliN.pdf")</f>
        <v>0</v>
      </c>
    </row>
    <row r="916" spans="1:28">
      <c r="A916" t="s">
        <v>942</v>
      </c>
      <c r="B916">
        <v>0.999984544473304</v>
      </c>
      <c r="C916">
        <v>1.40164659846096</v>
      </c>
      <c r="D916">
        <v>0.745543034327695</v>
      </c>
      <c r="E916">
        <v>0.564896065789851</v>
      </c>
      <c r="F916">
        <v>0.235580759936225</v>
      </c>
      <c r="G916">
        <v>0.109313235126106</v>
      </c>
      <c r="H916">
        <v>0.0665743237960285</v>
      </c>
      <c r="I916">
        <v>0.0485797446949036</v>
      </c>
      <c r="J916">
        <v>0.0314808195244471</v>
      </c>
      <c r="K916">
        <v>0.0453533078176955</v>
      </c>
      <c r="L916">
        <v>1037.17401904592</v>
      </c>
      <c r="M916">
        <v>22.1449222818753</v>
      </c>
      <c r="N916">
        <v>47.0441224239379</v>
      </c>
      <c r="O916">
        <v>46.4588408319619</v>
      </c>
      <c r="P916">
        <v>-0.113599925708128</v>
      </c>
      <c r="Q916">
        <v>0.0467149322653074</v>
      </c>
      <c r="R916">
        <v>0.906376485683529</v>
      </c>
      <c r="S916" t="s">
        <v>2584</v>
      </c>
      <c r="T916" t="s">
        <v>3312</v>
      </c>
      <c r="U916" t="s">
        <v>3312</v>
      </c>
      <c r="V916" t="s">
        <v>3312</v>
      </c>
      <c r="W916" t="s">
        <v>4226</v>
      </c>
      <c r="X916">
        <v>6</v>
      </c>
      <c r="Y916" t="s">
        <v>5867</v>
      </c>
      <c r="Z916" t="s">
        <v>7509</v>
      </c>
      <c r="AA916">
        <v>0.3694479530685015</v>
      </c>
      <c r="AB916">
        <f>HYPERLINK("Melting_Curves/meltCurve_P15078_cstA.pdf", "Melting_Curves/meltCurve_P15078_cstA.pdf")</f>
        <v>0</v>
      </c>
    </row>
    <row r="917" spans="1:28">
      <c r="A917" t="s">
        <v>943</v>
      </c>
      <c r="B917">
        <v>0.999984544473304</v>
      </c>
      <c r="C917">
        <v>0.795076629440703</v>
      </c>
      <c r="D917">
        <v>0.98633482743462</v>
      </c>
      <c r="E917">
        <v>0.370378104542983</v>
      </c>
      <c r="F917">
        <v>0.0952570827910387</v>
      </c>
      <c r="G917">
        <v>0.0514143754074616</v>
      </c>
      <c r="H917">
        <v>0.025999479661393</v>
      </c>
      <c r="I917">
        <v>0.0211179776088499</v>
      </c>
      <c r="J917">
        <v>0.0229245458188094</v>
      </c>
      <c r="K917">
        <v>0.0248430089255361</v>
      </c>
      <c r="L917">
        <v>2038.03974852631</v>
      </c>
      <c r="M917">
        <v>44.3284328440232</v>
      </c>
      <c r="N917">
        <v>46.0520842740237</v>
      </c>
      <c r="O917">
        <v>45.8826308374571</v>
      </c>
      <c r="P917">
        <v>-0.232991773249289</v>
      </c>
      <c r="Q917">
        <v>0.0353585650782071</v>
      </c>
      <c r="R917">
        <v>0.972197111469627</v>
      </c>
      <c r="S917" t="s">
        <v>2585</v>
      </c>
      <c r="T917" t="s">
        <v>3312</v>
      </c>
      <c r="U917" t="s">
        <v>3312</v>
      </c>
      <c r="V917" t="s">
        <v>3312</v>
      </c>
      <c r="W917" t="s">
        <v>4227</v>
      </c>
      <c r="X917">
        <v>1</v>
      </c>
      <c r="Y917" t="s">
        <v>5868</v>
      </c>
      <c r="Z917" t="s">
        <v>7510</v>
      </c>
      <c r="AA917">
        <v>0.3264693199744301</v>
      </c>
      <c r="AB917">
        <f>HYPERLINK("Melting_Curves/meltCurve_P15082_srlR.pdf", "Melting_Curves/meltCurve_P15082_srlR.pdf")</f>
        <v>0</v>
      </c>
    </row>
    <row r="918" spans="1:28">
      <c r="A918" t="s">
        <v>944</v>
      </c>
      <c r="B918">
        <v>0.999984544473304</v>
      </c>
      <c r="C918">
        <v>1.24159300428741</v>
      </c>
      <c r="D918">
        <v>0.468442890599349</v>
      </c>
      <c r="E918">
        <v>0.279777629218021</v>
      </c>
      <c r="F918">
        <v>0.137848715707926</v>
      </c>
      <c r="G918">
        <v>0.0716520555076943</v>
      </c>
      <c r="H918">
        <v>0.0486787885786447</v>
      </c>
      <c r="I918">
        <v>0.0327832642693384</v>
      </c>
      <c r="J918">
        <v>0.0269103906298528</v>
      </c>
      <c r="K918">
        <v>0.0281644982624637</v>
      </c>
      <c r="L918">
        <v>10735.4588181698</v>
      </c>
      <c r="M918">
        <v>250</v>
      </c>
      <c r="N918">
        <v>42.9756970569716</v>
      </c>
      <c r="O918">
        <v>42.9390883728835</v>
      </c>
      <c r="P918">
        <v>-1.32542088694876</v>
      </c>
      <c r="Q918">
        <v>0.0894021906983882</v>
      </c>
      <c r="R918">
        <v>0.937460502539786</v>
      </c>
      <c r="S918" t="s">
        <v>2586</v>
      </c>
      <c r="T918" t="s">
        <v>3312</v>
      </c>
      <c r="U918" t="s">
        <v>3312</v>
      </c>
      <c r="V918" t="s">
        <v>3312</v>
      </c>
      <c r="W918" t="s">
        <v>4228</v>
      </c>
      <c r="X918">
        <v>2</v>
      </c>
      <c r="Y918" t="s">
        <v>5869</v>
      </c>
      <c r="Z918" t="s">
        <v>7511</v>
      </c>
      <c r="AA918">
        <v>0.2698248881515832</v>
      </c>
      <c r="AB918">
        <f>HYPERLINK("Melting_Curves/meltCurve_P15254_purL.pdf", "Melting_Curves/meltCurve_P15254_purL.pdf")</f>
        <v>0</v>
      </c>
    </row>
    <row r="919" spans="1:28">
      <c r="A919" t="s">
        <v>945</v>
      </c>
      <c r="B919">
        <v>0.999984544473304</v>
      </c>
      <c r="C919">
        <v>1.02610445694475</v>
      </c>
      <c r="D919">
        <v>1.10594309761197</v>
      </c>
      <c r="E919">
        <v>0.926521071665295</v>
      </c>
      <c r="F919">
        <v>1.12206438780906</v>
      </c>
      <c r="G919">
        <v>0.746894948236896</v>
      </c>
      <c r="H919">
        <v>0.533711769468308</v>
      </c>
      <c r="I919">
        <v>0.413409269439673</v>
      </c>
      <c r="J919">
        <v>0.435377160054288</v>
      </c>
      <c r="K919">
        <v>0.241786924772966</v>
      </c>
      <c r="L919">
        <v>1576.28904747941</v>
      </c>
      <c r="M919">
        <v>28.4363769230614</v>
      </c>
      <c r="N919">
        <v>57.7573479972265</v>
      </c>
      <c r="O919">
        <v>55.1601703007821</v>
      </c>
      <c r="P919">
        <v>-0.084951731311686</v>
      </c>
      <c r="Q919">
        <v>0.340856376523775</v>
      </c>
      <c r="R919">
        <v>0.9346269425946661</v>
      </c>
      <c r="S919" t="s">
        <v>2587</v>
      </c>
      <c r="T919" t="s">
        <v>3312</v>
      </c>
      <c r="U919" t="s">
        <v>3312</v>
      </c>
      <c r="V919" t="s">
        <v>3312</v>
      </c>
      <c r="W919" t="s">
        <v>4229</v>
      </c>
      <c r="X919">
        <v>1</v>
      </c>
      <c r="Y919" t="s">
        <v>5870</v>
      </c>
      <c r="Z919" t="s">
        <v>7512</v>
      </c>
      <c r="AA919">
        <v>0.7503754323395755</v>
      </c>
      <c r="AB919">
        <f>HYPERLINK("Melting_Curves/meltCurve_P15286_flk.pdf", "Melting_Curves/meltCurve_P15286_flk.pdf")</f>
        <v>0</v>
      </c>
    </row>
    <row r="920" spans="1:28">
      <c r="A920" t="s">
        <v>946</v>
      </c>
      <c r="B920">
        <v>0.999984544473304</v>
      </c>
      <c r="C920">
        <v>1.03438171002173</v>
      </c>
      <c r="D920">
        <v>1.07943488083933</v>
      </c>
      <c r="E920">
        <v>0.891895822544113</v>
      </c>
      <c r="F920">
        <v>0.918788636764283</v>
      </c>
      <c r="G920">
        <v>0.59060133702388</v>
      </c>
      <c r="H920">
        <v>0.270564527782471</v>
      </c>
      <c r="I920">
        <v>0.114381273529064</v>
      </c>
      <c r="J920">
        <v>0.0597555721062487</v>
      </c>
      <c r="K920">
        <v>0.0385852804767179</v>
      </c>
      <c r="L920">
        <v>1245.53831174783</v>
      </c>
      <c r="M920">
        <v>22.7939787900505</v>
      </c>
      <c r="N920">
        <v>54.7768079190476</v>
      </c>
      <c r="O920">
        <v>54.2279384044714</v>
      </c>
      <c r="P920">
        <v>-0.102246856150618</v>
      </c>
      <c r="Q920">
        <v>0.027018715181283</v>
      </c>
      <c r="R920">
        <v>0.990081539255193</v>
      </c>
      <c r="S920" t="s">
        <v>2588</v>
      </c>
      <c r="T920" t="s">
        <v>3312</v>
      </c>
      <c r="U920" t="s">
        <v>3312</v>
      </c>
      <c r="V920" t="s">
        <v>3312</v>
      </c>
      <c r="W920" t="s">
        <v>4230</v>
      </c>
      <c r="X920">
        <v>8</v>
      </c>
      <c r="Y920" t="s">
        <v>5871</v>
      </c>
      <c r="Z920" t="s">
        <v>7513</v>
      </c>
      <c r="AA920">
        <v>0.6088201707035343</v>
      </c>
      <c r="AB920">
        <f>HYPERLINK("Melting_Curves/meltCurve_P15288_pepD.pdf", "Melting_Curves/meltCurve_P15288_pepD.pdf")</f>
        <v>0</v>
      </c>
    </row>
    <row r="921" spans="1:28">
      <c r="A921" t="s">
        <v>947</v>
      </c>
      <c r="B921">
        <v>0.999984544473304</v>
      </c>
      <c r="C921">
        <v>1.0195900891005</v>
      </c>
      <c r="D921">
        <v>1.01489605782049</v>
      </c>
      <c r="E921">
        <v>1.18170805439893</v>
      </c>
      <c r="F921">
        <v>1.00997924976405</v>
      </c>
      <c r="G921">
        <v>0.838019824162029</v>
      </c>
      <c r="H921">
        <v>0.764113166554272</v>
      </c>
      <c r="I921">
        <v>0.576427915213192</v>
      </c>
      <c r="J921">
        <v>0.447598644300953</v>
      </c>
      <c r="K921">
        <v>0.572817521468601</v>
      </c>
      <c r="L921">
        <v>1370.20284111848</v>
      </c>
      <c r="M921">
        <v>24.0989916701952</v>
      </c>
      <c r="O921">
        <v>56.4701002395869</v>
      </c>
      <c r="P921">
        <v>-0.0537249518703278</v>
      </c>
      <c r="Q921">
        <v>0.496442628527722</v>
      </c>
      <c r="R921">
        <v>0.903816187094265</v>
      </c>
      <c r="S921" t="s">
        <v>2589</v>
      </c>
      <c r="T921" t="s">
        <v>3312</v>
      </c>
      <c r="U921" t="s">
        <v>3312</v>
      </c>
      <c r="V921" t="s">
        <v>3312</v>
      </c>
      <c r="W921" t="s">
        <v>4231</v>
      </c>
      <c r="X921">
        <v>2</v>
      </c>
      <c r="Y921" t="s">
        <v>5872</v>
      </c>
      <c r="Z921" t="s">
        <v>7514</v>
      </c>
      <c r="AA921">
        <v>0.8337157969817832</v>
      </c>
      <c r="AB921">
        <f>HYPERLINK("Melting_Curves/meltCurve_P15373_prlF.pdf", "Melting_Curves/meltCurve_P15373_prlF.pdf")</f>
        <v>0</v>
      </c>
    </row>
    <row r="922" spans="1:28">
      <c r="A922" t="s">
        <v>948</v>
      </c>
      <c r="B922">
        <v>0.999984544473304</v>
      </c>
      <c r="C922">
        <v>1.27194254036342</v>
      </c>
      <c r="D922">
        <v>1.07264800638871</v>
      </c>
      <c r="E922">
        <v>1.09080497072788</v>
      </c>
      <c r="F922">
        <v>1.08247742316795</v>
      </c>
      <c r="G922">
        <v>0.720466277925133</v>
      </c>
      <c r="H922">
        <v>0.195355755854516</v>
      </c>
      <c r="I922">
        <v>0.0648350952163191</v>
      </c>
      <c r="J922">
        <v>0.0443689056407142</v>
      </c>
      <c r="K922">
        <v>0.0365954493346662</v>
      </c>
      <c r="L922">
        <v>2376.73679943472</v>
      </c>
      <c r="M922">
        <v>43.2108625479992</v>
      </c>
      <c r="N922">
        <v>55.1273108529415</v>
      </c>
      <c r="O922">
        <v>54.8858040113821</v>
      </c>
      <c r="P922">
        <v>-0.187701489239861</v>
      </c>
      <c r="Q922">
        <v>0.0463385889567046</v>
      </c>
      <c r="R922">
        <v>0.958710234334019</v>
      </c>
      <c r="S922" t="s">
        <v>2590</v>
      </c>
      <c r="T922" t="s">
        <v>3312</v>
      </c>
      <c r="U922" t="s">
        <v>3312</v>
      </c>
      <c r="V922" t="s">
        <v>3312</v>
      </c>
      <c r="W922" t="s">
        <v>4232</v>
      </c>
      <c r="X922">
        <v>8</v>
      </c>
      <c r="Y922" t="s">
        <v>5873</v>
      </c>
      <c r="Z922" t="s">
        <v>7515</v>
      </c>
      <c r="AA922">
        <v>0.6217140713297014</v>
      </c>
      <c r="AB922">
        <f>HYPERLINK("Melting_Curves/meltCurve_P15639_purH.pdf", "Melting_Curves/meltCurve_P15639_purH.pdf")</f>
        <v>0</v>
      </c>
    </row>
    <row r="923" spans="1:28">
      <c r="A923" t="s">
        <v>949</v>
      </c>
      <c r="B923">
        <v>0.999984544473304</v>
      </c>
      <c r="C923">
        <v>0.99595942926854</v>
      </c>
      <c r="D923">
        <v>0.880547650357143</v>
      </c>
      <c r="E923">
        <v>0.828266463457447</v>
      </c>
      <c r="F923">
        <v>0.718485678759709</v>
      </c>
      <c r="G923">
        <v>0.431131930127881</v>
      </c>
      <c r="H923">
        <v>0.276295981747594</v>
      </c>
      <c r="I923">
        <v>0.191350987535151</v>
      </c>
      <c r="J923">
        <v>0.135621045995157</v>
      </c>
      <c r="K923">
        <v>0.136167700379667</v>
      </c>
      <c r="L923">
        <v>669.980521251455</v>
      </c>
      <c r="M923">
        <v>12.7815006314022</v>
      </c>
      <c r="N923">
        <v>52.9507308014438</v>
      </c>
      <c r="O923">
        <v>51.1845731807565</v>
      </c>
      <c r="P923">
        <v>-0.0586728884294565</v>
      </c>
      <c r="Q923">
        <v>0.0603356468825269</v>
      </c>
      <c r="R923">
        <v>0.991955251523547</v>
      </c>
      <c r="S923" t="s">
        <v>2591</v>
      </c>
      <c r="T923" t="s">
        <v>3312</v>
      </c>
      <c r="U923" t="s">
        <v>3312</v>
      </c>
      <c r="V923" t="s">
        <v>3312</v>
      </c>
      <c r="W923" t="s">
        <v>4233</v>
      </c>
      <c r="X923">
        <v>6</v>
      </c>
      <c r="Y923" t="s">
        <v>5874</v>
      </c>
      <c r="Z923" t="s">
        <v>7516</v>
      </c>
      <c r="AA923">
        <v>0.5636087918611056</v>
      </c>
      <c r="AB923">
        <f>HYPERLINK("Melting_Curves/meltCurve_P15640_purD.pdf", "Melting_Curves/meltCurve_P15640_purD.pdf")</f>
        <v>0</v>
      </c>
    </row>
    <row r="924" spans="1:28">
      <c r="A924" t="s">
        <v>950</v>
      </c>
      <c r="B924">
        <v>0.999984544473304</v>
      </c>
      <c r="C924">
        <v>1.01510076131417</v>
      </c>
      <c r="D924">
        <v>0.316906049039493</v>
      </c>
      <c r="E924">
        <v>0.67228512879672</v>
      </c>
      <c r="F924">
        <v>0.288121635884411</v>
      </c>
      <c r="G924">
        <v>0.151037271038204</v>
      </c>
      <c r="H924">
        <v>0.113331542432969</v>
      </c>
      <c r="I924">
        <v>0.07460473950282211</v>
      </c>
      <c r="J924">
        <v>0.0468165951474999</v>
      </c>
      <c r="K924">
        <v>0.0464728315614162</v>
      </c>
      <c r="L924">
        <v>481.83768360739</v>
      </c>
      <c r="M924">
        <v>10.509810798644</v>
      </c>
      <c r="N924">
        <v>45.9161388207312</v>
      </c>
      <c r="O924">
        <v>44.2799259490023</v>
      </c>
      <c r="P924">
        <v>-0.0588916110487338</v>
      </c>
      <c r="Q924">
        <v>0.00791049927227999</v>
      </c>
      <c r="R924">
        <v>0.84128136726252</v>
      </c>
      <c r="S924" t="s">
        <v>2592</v>
      </c>
      <c r="T924" t="s">
        <v>3312</v>
      </c>
      <c r="U924" t="s">
        <v>3312</v>
      </c>
      <c r="V924" t="s">
        <v>3312</v>
      </c>
      <c r="W924" t="s">
        <v>4234</v>
      </c>
      <c r="X924">
        <v>1</v>
      </c>
      <c r="Y924" t="s">
        <v>5875</v>
      </c>
      <c r="Z924" t="s">
        <v>7517</v>
      </c>
      <c r="AA924">
        <v>0.3433844770799268</v>
      </c>
      <c r="AB924">
        <f>HYPERLINK("Melting_Curves/meltCurve_P15770_aroE.pdf", "Melting_Curves/meltCurve_P15770_aroE.pdf")</f>
        <v>0</v>
      </c>
    </row>
    <row r="925" spans="1:28">
      <c r="A925" t="s">
        <v>951</v>
      </c>
      <c r="B925">
        <v>0.999984544473304</v>
      </c>
      <c r="C925">
        <v>1.05448288860146</v>
      </c>
      <c r="D925">
        <v>0.529323351537473</v>
      </c>
      <c r="E925">
        <v>0.281764625985056</v>
      </c>
      <c r="F925">
        <v>0.238639029845138</v>
      </c>
      <c r="G925">
        <v>0.118719095835403</v>
      </c>
      <c r="H925">
        <v>0.118678661571655</v>
      </c>
      <c r="I925">
        <v>0.0936339153473241</v>
      </c>
      <c r="J925">
        <v>0.0906682484840769</v>
      </c>
      <c r="K925">
        <v>0.073020974860437</v>
      </c>
      <c r="L925">
        <v>1294.08839296338</v>
      </c>
      <c r="M925">
        <v>29.9491165816591</v>
      </c>
      <c r="N925">
        <v>43.6317981359559</v>
      </c>
      <c r="O925">
        <v>43.0182925445933</v>
      </c>
      <c r="P925">
        <v>-0.152154237412098</v>
      </c>
      <c r="Q925">
        <v>0.125800916394943</v>
      </c>
      <c r="R925">
        <v>0.969798528130141</v>
      </c>
      <c r="S925" t="s">
        <v>2593</v>
      </c>
      <c r="T925" t="s">
        <v>3312</v>
      </c>
      <c r="U925" t="s">
        <v>3312</v>
      </c>
      <c r="V925" t="s">
        <v>3312</v>
      </c>
      <c r="W925" t="s">
        <v>4235</v>
      </c>
      <c r="X925">
        <v>7</v>
      </c>
      <c r="Y925" t="s">
        <v>5876</v>
      </c>
      <c r="Z925" t="s">
        <v>7518</v>
      </c>
      <c r="AA925">
        <v>0.311627881871626</v>
      </c>
      <c r="AB925">
        <f>HYPERLINK("Melting_Curves/meltCurve_P15877_gcd.pdf", "Melting_Curves/meltCurve_P15877_gcd.pdf")</f>
        <v>0</v>
      </c>
    </row>
    <row r="926" spans="1:28">
      <c r="A926" t="s">
        <v>952</v>
      </c>
      <c r="B926">
        <v>0.999984544473304</v>
      </c>
      <c r="C926">
        <v>1.80760301693029</v>
      </c>
      <c r="D926">
        <v>1.05921282020723</v>
      </c>
      <c r="E926">
        <v>0.45091489696105</v>
      </c>
      <c r="F926">
        <v>0.156444347433507</v>
      </c>
      <c r="G926">
        <v>0.0738331208781156</v>
      </c>
      <c r="H926">
        <v>0.0407997821833895</v>
      </c>
      <c r="I926">
        <v>0.0405936895239775</v>
      </c>
      <c r="J926">
        <v>0.019212192899263</v>
      </c>
      <c r="K926">
        <v>0.0107447768072682</v>
      </c>
      <c r="L926">
        <v>2604.80428334862</v>
      </c>
      <c r="M926">
        <v>56.1834240824458</v>
      </c>
      <c r="N926">
        <v>46.4567671817966</v>
      </c>
      <c r="O926">
        <v>46.3038831439442</v>
      </c>
      <c r="P926">
        <v>-0.287000170185524</v>
      </c>
      <c r="Q926">
        <v>0.053869419204236</v>
      </c>
      <c r="R926">
        <v>0.806293065280979</v>
      </c>
      <c r="S926" t="s">
        <v>2594</v>
      </c>
      <c r="T926" t="s">
        <v>3312</v>
      </c>
      <c r="U926" t="s">
        <v>3312</v>
      </c>
      <c r="V926" t="s">
        <v>3312</v>
      </c>
      <c r="W926" t="s">
        <v>4236</v>
      </c>
      <c r="X926">
        <v>3</v>
      </c>
      <c r="Y926" t="s">
        <v>5877</v>
      </c>
      <c r="Z926" t="s">
        <v>7519</v>
      </c>
      <c r="AA926">
        <v>0.3506718193382534</v>
      </c>
      <c r="AB926">
        <f>HYPERLINK("Melting_Curves/meltCurve_P15977_malQ.pdf", "Melting_Curves/meltCurve_P15977_malQ.pdf")</f>
        <v>0</v>
      </c>
    </row>
    <row r="927" spans="1:28">
      <c r="A927" t="s">
        <v>953</v>
      </c>
      <c r="B927">
        <v>0.999984544473304</v>
      </c>
      <c r="C927">
        <v>0.997916513578047</v>
      </c>
      <c r="D927">
        <v>0.836044279397483</v>
      </c>
      <c r="E927">
        <v>0.679237309772222</v>
      </c>
      <c r="F927">
        <v>0.448463465835196</v>
      </c>
      <c r="G927">
        <v>0.207217287603964</v>
      </c>
      <c r="H927">
        <v>0.09869813683224379</v>
      </c>
      <c r="I927">
        <v>0.055468961109145</v>
      </c>
      <c r="J927">
        <v>0.0381748734751582</v>
      </c>
      <c r="K927">
        <v>0.0546250058971568</v>
      </c>
      <c r="L927">
        <v>698.913205523483</v>
      </c>
      <c r="M927">
        <v>14.2716473591696</v>
      </c>
      <c r="N927">
        <v>49.027607329783</v>
      </c>
      <c r="O927">
        <v>48.0407371020171</v>
      </c>
      <c r="P927">
        <v>-0.0736828162187413</v>
      </c>
      <c r="Q927">
        <v>0.00800734441774679</v>
      </c>
      <c r="R927">
        <v>0.99624802155821</v>
      </c>
      <c r="S927" t="s">
        <v>2595</v>
      </c>
      <c r="T927" t="s">
        <v>3312</v>
      </c>
      <c r="U927" t="s">
        <v>3312</v>
      </c>
      <c r="V927" t="s">
        <v>3312</v>
      </c>
      <c r="W927" t="s">
        <v>4237</v>
      </c>
      <c r="X927">
        <v>6</v>
      </c>
      <c r="Y927" t="s">
        <v>5878</v>
      </c>
      <c r="Z927" t="s">
        <v>7520</v>
      </c>
      <c r="AA927">
        <v>0.4269471668693499</v>
      </c>
      <c r="AB927">
        <f>HYPERLINK("Melting_Curves/meltCurve_P16095_sdaA.pdf", "Melting_Curves/meltCurve_P16095_sdaA.pdf")</f>
        <v>0</v>
      </c>
    </row>
    <row r="928" spans="1:28">
      <c r="A928" t="s">
        <v>954</v>
      </c>
      <c r="B928">
        <v>0.999984544473304</v>
      </c>
      <c r="C928">
        <v>0.90427072062528</v>
      </c>
      <c r="D928">
        <v>0.829481538956829</v>
      </c>
      <c r="E928">
        <v>0.782477243089733</v>
      </c>
      <c r="F928">
        <v>0.773176070657675</v>
      </c>
      <c r="G928">
        <v>0.550453045247108</v>
      </c>
      <c r="H928">
        <v>0.476195924155052</v>
      </c>
      <c r="I928">
        <v>0.360705902229068</v>
      </c>
      <c r="J928">
        <v>0.24272674253596</v>
      </c>
      <c r="K928">
        <v>0.199568172863203</v>
      </c>
      <c r="L928">
        <v>405.756689190892</v>
      </c>
      <c r="M928">
        <v>7.27874797324693</v>
      </c>
      <c r="N928">
        <v>55.7453973226208</v>
      </c>
      <c r="O928">
        <v>51.9997060637599</v>
      </c>
      <c r="P928">
        <v>-0.0350503798910314</v>
      </c>
      <c r="Q928">
        <v>0</v>
      </c>
      <c r="R928">
        <v>0.9759133714092501</v>
      </c>
      <c r="S928" t="s">
        <v>2596</v>
      </c>
      <c r="T928" t="s">
        <v>3312</v>
      </c>
      <c r="U928" t="s">
        <v>3312</v>
      </c>
      <c r="V928" t="s">
        <v>3312</v>
      </c>
      <c r="W928" t="s">
        <v>4238</v>
      </c>
      <c r="X928">
        <v>8</v>
      </c>
      <c r="Y928" t="s">
        <v>5879</v>
      </c>
      <c r="Z928" t="s">
        <v>7521</v>
      </c>
      <c r="AA928">
        <v>0.6213262422691275</v>
      </c>
      <c r="AB928">
        <f>HYPERLINK("Melting_Curves/meltCurve_P16456_selD.pdf", "Melting_Curves/meltCurve_P16456_selD.pdf")</f>
        <v>0</v>
      </c>
    </row>
    <row r="929" spans="1:28">
      <c r="A929" t="s">
        <v>955</v>
      </c>
      <c r="B929">
        <v>0.999984544473304</v>
      </c>
      <c r="C929">
        <v>1.30591099975097</v>
      </c>
      <c r="D929">
        <v>1.19069857125308</v>
      </c>
      <c r="E929">
        <v>0.870280391875024</v>
      </c>
      <c r="F929">
        <v>0.442154612375166</v>
      </c>
      <c r="G929">
        <v>0.396565652253323</v>
      </c>
      <c r="H929">
        <v>0.247925486062439</v>
      </c>
      <c r="I929">
        <v>0.261588464652176</v>
      </c>
      <c r="J929">
        <v>0.180286613003409</v>
      </c>
      <c r="K929">
        <v>0.120727177953951</v>
      </c>
      <c r="L929">
        <v>1442.55357229693</v>
      </c>
      <c r="M929">
        <v>29.3461952217814</v>
      </c>
      <c r="N929">
        <v>50.1412076752917</v>
      </c>
      <c r="O929">
        <v>48.9298447378466</v>
      </c>
      <c r="P929">
        <v>-0.1170990139228</v>
      </c>
      <c r="Q929">
        <v>0.219033913365142</v>
      </c>
      <c r="R929">
        <v>0.907700455958469</v>
      </c>
      <c r="S929" t="s">
        <v>2597</v>
      </c>
      <c r="T929" t="s">
        <v>3312</v>
      </c>
      <c r="U929" t="s">
        <v>3312</v>
      </c>
      <c r="V929" t="s">
        <v>3312</v>
      </c>
      <c r="W929" t="s">
        <v>4239</v>
      </c>
      <c r="X929">
        <v>2</v>
      </c>
      <c r="Y929" t="s">
        <v>5880</v>
      </c>
      <c r="Z929" t="s">
        <v>7522</v>
      </c>
      <c r="AA929">
        <v>0.540427184753164</v>
      </c>
      <c r="AB929">
        <f>HYPERLINK("Melting_Curves/meltCurve_P16525_tus.pdf", "Melting_Curves/meltCurve_P16525_tus.pdf")</f>
        <v>0</v>
      </c>
    </row>
    <row r="930" spans="1:28">
      <c r="A930" t="s">
        <v>956</v>
      </c>
      <c r="B930">
        <v>0.999984544473304</v>
      </c>
      <c r="C930">
        <v>0.781226405634622</v>
      </c>
      <c r="D930">
        <v>0.350485921729679</v>
      </c>
      <c r="E930">
        <v>0.196839000935198</v>
      </c>
      <c r="F930">
        <v>0.101315511136479</v>
      </c>
      <c r="G930">
        <v>0.0592587074548788</v>
      </c>
      <c r="H930">
        <v>0.0515611123960177</v>
      </c>
      <c r="I930">
        <v>0.0407095054729849</v>
      </c>
      <c r="J930">
        <v>0.0286779125663533</v>
      </c>
      <c r="K930">
        <v>0.0352575602235362</v>
      </c>
      <c r="L930">
        <v>962.590732531476</v>
      </c>
      <c r="M930">
        <v>22.9800608063403</v>
      </c>
      <c r="N930">
        <v>42.0943188441559</v>
      </c>
      <c r="O930">
        <v>41.5747487348508</v>
      </c>
      <c r="P930">
        <v>-0.130830049834272</v>
      </c>
      <c r="Q930">
        <v>0.0532445774831866</v>
      </c>
      <c r="R930">
        <v>0.991826982851517</v>
      </c>
      <c r="S930" t="s">
        <v>2598</v>
      </c>
      <c r="T930" t="s">
        <v>3312</v>
      </c>
      <c r="U930" t="s">
        <v>3312</v>
      </c>
      <c r="V930" t="s">
        <v>3312</v>
      </c>
      <c r="W930" t="s">
        <v>4240</v>
      </c>
      <c r="X930">
        <v>11</v>
      </c>
      <c r="Y930" t="s">
        <v>5881</v>
      </c>
      <c r="Z930" t="s">
        <v>7523</v>
      </c>
      <c r="AA930">
        <v>0.2178972942606511</v>
      </c>
      <c r="AB930">
        <f>HYPERLINK("Melting_Curves/meltCurve_P16659_proS.pdf", "Melting_Curves/meltCurve_P16659_proS.pdf")</f>
        <v>0</v>
      </c>
    </row>
    <row r="931" spans="1:28">
      <c r="A931" t="s">
        <v>957</v>
      </c>
      <c r="B931">
        <v>0.999984544473304</v>
      </c>
      <c r="C931">
        <v>0.743716136956209</v>
      </c>
      <c r="D931">
        <v>1.09371365517801</v>
      </c>
      <c r="E931">
        <v>1.00368630238152</v>
      </c>
      <c r="F931">
        <v>1.25486155992156</v>
      </c>
      <c r="G931">
        <v>1.08374052602092</v>
      </c>
      <c r="H931">
        <v>1.06676997008906</v>
      </c>
      <c r="I931">
        <v>1.05307214498691</v>
      </c>
      <c r="J931">
        <v>0.874325724912219</v>
      </c>
      <c r="K931">
        <v>0.891595935404432</v>
      </c>
      <c r="L931">
        <v>15000</v>
      </c>
      <c r="M931">
        <v>239.064319856302</v>
      </c>
      <c r="O931">
        <v>62.7402053722329</v>
      </c>
      <c r="P931">
        <v>-0.111790741783919</v>
      </c>
      <c r="Q931">
        <v>0.882646196644235</v>
      </c>
      <c r="R931">
        <v>0.148981778317836</v>
      </c>
      <c r="S931" t="s">
        <v>2599</v>
      </c>
      <c r="T931" t="s">
        <v>3312</v>
      </c>
      <c r="U931" t="s">
        <v>3312</v>
      </c>
      <c r="V931" t="s">
        <v>3312</v>
      </c>
      <c r="W931" t="s">
        <v>4241</v>
      </c>
      <c r="X931">
        <v>6</v>
      </c>
      <c r="Y931" t="s">
        <v>5882</v>
      </c>
      <c r="Z931" t="s">
        <v>7524</v>
      </c>
      <c r="AA931">
        <v>0.9833679657547066</v>
      </c>
      <c r="AB931">
        <f>HYPERLINK("Melting_Curves/meltCurve_P16681_phnB.pdf", "Melting_Curves/meltCurve_P16681_phnB.pdf")</f>
        <v>0</v>
      </c>
    </row>
    <row r="932" spans="1:28">
      <c r="A932" t="s">
        <v>958</v>
      </c>
      <c r="B932">
        <v>0.999984544473304</v>
      </c>
      <c r="C932">
        <v>0.802214267887477</v>
      </c>
      <c r="D932">
        <v>1.07029136234729</v>
      </c>
      <c r="E932">
        <v>0.909474862650691</v>
      </c>
      <c r="F932">
        <v>1.20328158982924</v>
      </c>
      <c r="G932">
        <v>1.06338632321908</v>
      </c>
      <c r="H932">
        <v>1.0184658992072</v>
      </c>
      <c r="I932">
        <v>0.806794477396982</v>
      </c>
      <c r="J932">
        <v>0.37417688099456</v>
      </c>
      <c r="K932">
        <v>0.138081860884949</v>
      </c>
      <c r="L932">
        <v>2715.97133676725</v>
      </c>
      <c r="M932">
        <v>43.136120958157</v>
      </c>
      <c r="N932">
        <v>63.2053055632112</v>
      </c>
      <c r="O932">
        <v>62.8279258743375</v>
      </c>
      <c r="P932">
        <v>-0.158553800495296</v>
      </c>
      <c r="Q932">
        <v>0.0762643208639326</v>
      </c>
      <c r="R932">
        <v>0.902089301316124</v>
      </c>
      <c r="S932" t="s">
        <v>2600</v>
      </c>
      <c r="T932" t="s">
        <v>3312</v>
      </c>
      <c r="U932" t="s">
        <v>3312</v>
      </c>
      <c r="V932" t="s">
        <v>3312</v>
      </c>
      <c r="W932" t="s">
        <v>4242</v>
      </c>
      <c r="X932">
        <v>18</v>
      </c>
      <c r="Y932" t="s">
        <v>5883</v>
      </c>
      <c r="Z932" t="s">
        <v>7525</v>
      </c>
      <c r="AA932">
        <v>0.8752963439409844</v>
      </c>
      <c r="AB932">
        <f>HYPERLINK("Melting_Curves/meltCurve_P16700_cysP.pdf", "Melting_Curves/meltCurve_P16700_cysP.pdf")</f>
        <v>0</v>
      </c>
    </row>
    <row r="933" spans="1:28">
      <c r="A933" t="s">
        <v>959</v>
      </c>
      <c r="B933">
        <v>0.999984544473304</v>
      </c>
      <c r="C933">
        <v>0.994269482018491</v>
      </c>
      <c r="D933">
        <v>0.705794910270917</v>
      </c>
      <c r="E933">
        <v>0.913170188819648</v>
      </c>
      <c r="F933">
        <v>0.731144544950975</v>
      </c>
      <c r="G933">
        <v>0.627969585284101</v>
      </c>
      <c r="H933">
        <v>0.618054620427727</v>
      </c>
      <c r="I933">
        <v>0.481399865724356</v>
      </c>
      <c r="J933">
        <v>0.356649201207576</v>
      </c>
      <c r="K933">
        <v>0.245501888201674</v>
      </c>
      <c r="L933">
        <v>361.556655830576</v>
      </c>
      <c r="M933">
        <v>6.14684456176974</v>
      </c>
      <c r="N933">
        <v>58.8198883133922</v>
      </c>
      <c r="O933">
        <v>53.507868945563</v>
      </c>
      <c r="P933">
        <v>-0.0288046449122352</v>
      </c>
      <c r="Q933">
        <v>0</v>
      </c>
      <c r="R933">
        <v>0.894356325369875</v>
      </c>
      <c r="S933" t="s">
        <v>2601</v>
      </c>
      <c r="T933" t="s">
        <v>3312</v>
      </c>
      <c r="U933" t="s">
        <v>3312</v>
      </c>
      <c r="V933" t="s">
        <v>3312</v>
      </c>
      <c r="W933" t="s">
        <v>4243</v>
      </c>
      <c r="X933">
        <v>9</v>
      </c>
      <c r="Y933" t="s">
        <v>5884</v>
      </c>
      <c r="Z933" t="s">
        <v>7526</v>
      </c>
      <c r="AA933">
        <v>0.6766127289240392</v>
      </c>
      <c r="AB933">
        <f>HYPERLINK("Melting_Curves/meltCurve_P16703_cysM.pdf", "Melting_Curves/meltCurve_P16703_cysM.pdf")</f>
        <v>0</v>
      </c>
    </row>
    <row r="934" spans="1:28">
      <c r="A934" t="s">
        <v>960</v>
      </c>
      <c r="B934">
        <v>0.999984544473304</v>
      </c>
      <c r="C934">
        <v>1.32072125774877</v>
      </c>
      <c r="D934">
        <v>1.06906542515656</v>
      </c>
      <c r="E934">
        <v>1.08900635543506</v>
      </c>
      <c r="F934">
        <v>0.980113150033077</v>
      </c>
      <c r="G934">
        <v>0.436215287276098</v>
      </c>
      <c r="H934">
        <v>0.243685281849406</v>
      </c>
      <c r="I934">
        <v>0.205320205109399</v>
      </c>
      <c r="J934">
        <v>0.119391913268005</v>
      </c>
      <c r="K934">
        <v>0.0850426737152067</v>
      </c>
      <c r="L934">
        <v>2610.26767391433</v>
      </c>
      <c r="M934">
        <v>49.1419100620989</v>
      </c>
      <c r="N934">
        <v>53.5222247340913</v>
      </c>
      <c r="O934">
        <v>53.0291794003776</v>
      </c>
      <c r="P934">
        <v>-0.195680231418652</v>
      </c>
      <c r="Q934">
        <v>0.155364044612524</v>
      </c>
      <c r="R934">
        <v>0.936991251814384</v>
      </c>
      <c r="S934" t="s">
        <v>2602</v>
      </c>
      <c r="T934" t="s">
        <v>3312</v>
      </c>
      <c r="U934" t="s">
        <v>3312</v>
      </c>
      <c r="V934" t="s">
        <v>3312</v>
      </c>
      <c r="W934" t="s">
        <v>4244</v>
      </c>
      <c r="X934">
        <v>2</v>
      </c>
      <c r="Y934" t="s">
        <v>5885</v>
      </c>
      <c r="Z934" t="s">
        <v>7527</v>
      </c>
      <c r="AA934">
        <v>0.611176003841551</v>
      </c>
      <c r="AB934">
        <f>HYPERLINK("Melting_Curves/meltCurve_P16926_mreC.pdf", "Melting_Curves/meltCurve_P16926_mreC.pdf")</f>
        <v>0</v>
      </c>
    </row>
    <row r="935" spans="1:28">
      <c r="A935" t="s">
        <v>961</v>
      </c>
      <c r="B935">
        <v>0.999984544473304</v>
      </c>
      <c r="C935">
        <v>0.881822359830849</v>
      </c>
      <c r="D935">
        <v>0.959692687531927</v>
      </c>
      <c r="E935">
        <v>0.779970246000367</v>
      </c>
      <c r="F935">
        <v>0.78686281543351</v>
      </c>
      <c r="G935">
        <v>0.546247292441848</v>
      </c>
      <c r="H935">
        <v>0.303919472903414</v>
      </c>
      <c r="I935">
        <v>0.119729154388497</v>
      </c>
      <c r="J935">
        <v>0.0435595130783804</v>
      </c>
      <c r="K935">
        <v>0.0469081517210237</v>
      </c>
      <c r="L935">
        <v>762.666977641047</v>
      </c>
      <c r="M935">
        <v>14.1613989701172</v>
      </c>
      <c r="N935">
        <v>53.8553415152476</v>
      </c>
      <c r="O935">
        <v>52.8155578086561</v>
      </c>
      <c r="P935">
        <v>-0.0670408089714136</v>
      </c>
      <c r="Q935">
        <v>0</v>
      </c>
      <c r="R935">
        <v>0.973376299083804</v>
      </c>
      <c r="S935" t="s">
        <v>2603</v>
      </c>
      <c r="T935" t="s">
        <v>3312</v>
      </c>
      <c r="U935" t="s">
        <v>3312</v>
      </c>
      <c r="V935" t="s">
        <v>3312</v>
      </c>
      <c r="W935" t="s">
        <v>4245</v>
      </c>
      <c r="X935">
        <v>6</v>
      </c>
      <c r="Y935" t="s">
        <v>5886</v>
      </c>
      <c r="Z935" t="s">
        <v>7528</v>
      </c>
      <c r="AA935">
        <v>0.5789774426777853</v>
      </c>
      <c r="AB935">
        <f>HYPERLINK("Melting_Curves/meltCurve_P17115_gutQ.pdf", "Melting_Curves/meltCurve_P17115_gutQ.pdf")</f>
        <v>0</v>
      </c>
    </row>
    <row r="936" spans="1:28">
      <c r="A936" t="s">
        <v>962</v>
      </c>
      <c r="B936">
        <v>0.999984544473304</v>
      </c>
      <c r="C936">
        <v>0.753719046096163</v>
      </c>
      <c r="D936">
        <v>0.9721693067248141</v>
      </c>
      <c r="E936">
        <v>0.870843897086061</v>
      </c>
      <c r="F936">
        <v>1.06955139985423</v>
      </c>
      <c r="G936">
        <v>0.498429869919149</v>
      </c>
      <c r="H936">
        <v>0.192735910400783</v>
      </c>
      <c r="I936">
        <v>0.130222270793121</v>
      </c>
      <c r="J936">
        <v>0.09090708196744381</v>
      </c>
      <c r="K936">
        <v>0.0711404563859892</v>
      </c>
      <c r="L936">
        <v>4354.60429148087</v>
      </c>
      <c r="M936">
        <v>81.210359999706</v>
      </c>
      <c r="N936">
        <v>53.8028167257828</v>
      </c>
      <c r="O936">
        <v>53.5888020188758</v>
      </c>
      <c r="P936">
        <v>-0.333459100927092</v>
      </c>
      <c r="Q936">
        <v>0.119832920780323</v>
      </c>
      <c r="R936">
        <v>0.940572734125708</v>
      </c>
      <c r="S936" t="s">
        <v>2604</v>
      </c>
      <c r="T936" t="s">
        <v>3312</v>
      </c>
      <c r="U936" t="s">
        <v>3312</v>
      </c>
      <c r="V936" t="s">
        <v>3312</v>
      </c>
      <c r="W936" t="s">
        <v>4246</v>
      </c>
      <c r="X936">
        <v>8</v>
      </c>
      <c r="Y936" t="s">
        <v>5887</v>
      </c>
      <c r="Z936" t="s">
        <v>7529</v>
      </c>
      <c r="AA936">
        <v>0.6082697485500818</v>
      </c>
      <c r="AB936">
        <f>HYPERLINK("Melting_Curves/meltCurve_P17117_nfsA.pdf", "Melting_Curves/meltCurve_P17117_nfsA.pdf")</f>
        <v>0</v>
      </c>
    </row>
    <row r="937" spans="1:28">
      <c r="A937" t="s">
        <v>963</v>
      </c>
      <c r="B937">
        <v>0.999984544473304</v>
      </c>
      <c r="C937">
        <v>1.20013329588565</v>
      </c>
      <c r="D937">
        <v>1.06731894823183</v>
      </c>
      <c r="E937">
        <v>0.85964536676814</v>
      </c>
      <c r="F937">
        <v>0.59007438252628</v>
      </c>
      <c r="G937">
        <v>0.43322707171079</v>
      </c>
      <c r="H937">
        <v>0.169330595738137</v>
      </c>
      <c r="I937">
        <v>0.0593364047339125</v>
      </c>
      <c r="J937">
        <v>0.0253005996328437</v>
      </c>
      <c r="K937">
        <v>0.0219717833450919</v>
      </c>
      <c r="L937">
        <v>878.865757519044</v>
      </c>
      <c r="M937">
        <v>16.8752456154412</v>
      </c>
      <c r="N937">
        <v>52.080174232933</v>
      </c>
      <c r="O937">
        <v>51.3653221972595</v>
      </c>
      <c r="P937">
        <v>-0.0821386807221179</v>
      </c>
      <c r="Q937">
        <v>0</v>
      </c>
      <c r="R937">
        <v>0.968842792621802</v>
      </c>
      <c r="S937" t="s">
        <v>2605</v>
      </c>
      <c r="T937" t="s">
        <v>3312</v>
      </c>
      <c r="U937" t="s">
        <v>3312</v>
      </c>
      <c r="V937" t="s">
        <v>3312</v>
      </c>
      <c r="W937" t="s">
        <v>4247</v>
      </c>
      <c r="X937">
        <v>15</v>
      </c>
      <c r="Y937" t="s">
        <v>5888</v>
      </c>
      <c r="Z937" t="s">
        <v>7530</v>
      </c>
      <c r="AA937">
        <v>0.5191468348557627</v>
      </c>
      <c r="AB937">
        <f>HYPERLINK("Melting_Curves/meltCurve_P17169_glmS.pdf", "Melting_Curves/meltCurve_P17169_glmS.pdf")</f>
        <v>0</v>
      </c>
    </row>
    <row r="938" spans="1:28">
      <c r="A938" t="s">
        <v>964</v>
      </c>
      <c r="B938">
        <v>0.999984544473304</v>
      </c>
      <c r="C938">
        <v>0.597203652190066</v>
      </c>
      <c r="D938">
        <v>0.600598772296536</v>
      </c>
      <c r="E938">
        <v>0.231481487436858</v>
      </c>
      <c r="F938">
        <v>0.173566513570415</v>
      </c>
      <c r="G938">
        <v>0.126986138535998</v>
      </c>
      <c r="H938">
        <v>0.110272532511653</v>
      </c>
      <c r="I938">
        <v>0.06263650712329979</v>
      </c>
      <c r="J938">
        <v>0.0473485989206961</v>
      </c>
      <c r="K938">
        <v>0.0543900907361466</v>
      </c>
      <c r="L938">
        <v>572.8622012610321</v>
      </c>
      <c r="M938">
        <v>13.4266747147218</v>
      </c>
      <c r="N938">
        <v>43.0372238086915</v>
      </c>
      <c r="O938">
        <v>41.7528763114291</v>
      </c>
      <c r="P938">
        <v>-0.0760094144110337</v>
      </c>
      <c r="Q938">
        <v>0.054682586519317</v>
      </c>
      <c r="R938">
        <v>0.953217727324099</v>
      </c>
      <c r="S938" t="s">
        <v>2606</v>
      </c>
      <c r="T938" t="s">
        <v>3312</v>
      </c>
      <c r="U938" t="s">
        <v>3312</v>
      </c>
      <c r="V938" t="s">
        <v>3312</v>
      </c>
      <c r="W938" t="s">
        <v>4248</v>
      </c>
      <c r="X938">
        <v>3</v>
      </c>
      <c r="Y938" t="s">
        <v>5889</v>
      </c>
      <c r="Z938" t="s">
        <v>7531</v>
      </c>
      <c r="AA938">
        <v>0.2655528136900657</v>
      </c>
      <c r="AB938">
        <f>HYPERLINK("Melting_Curves/meltCurve_P17443_murG.pdf", "Melting_Curves/meltCurve_P17443_murG.pdf")</f>
        <v>0</v>
      </c>
    </row>
    <row r="939" spans="1:28">
      <c r="A939" t="s">
        <v>965</v>
      </c>
      <c r="B939">
        <v>0.999984544473304</v>
      </c>
      <c r="C939">
        <v>0.712031585626372</v>
      </c>
      <c r="D939">
        <v>0.9695196199731601</v>
      </c>
      <c r="E939">
        <v>0.32918305441385</v>
      </c>
      <c r="F939">
        <v>0.0623725061539505</v>
      </c>
      <c r="G939">
        <v>0.0241519962461156</v>
      </c>
      <c r="H939">
        <v>0.0192928066822468</v>
      </c>
      <c r="I939">
        <v>0.0116325462783368</v>
      </c>
      <c r="J939">
        <v>0.00745042691156713</v>
      </c>
      <c r="K939">
        <v>0.00691757291819945</v>
      </c>
      <c r="L939">
        <v>1954.78710744514</v>
      </c>
      <c r="M939">
        <v>42.6820118633455</v>
      </c>
      <c r="N939">
        <v>45.8364111837896</v>
      </c>
      <c r="O939">
        <v>45.6986418787435</v>
      </c>
      <c r="P939">
        <v>-0.229485880919896</v>
      </c>
      <c r="Q939">
        <v>0.0171803534736815</v>
      </c>
      <c r="R939">
        <v>0.94694594992193</v>
      </c>
      <c r="S939" t="s">
        <v>2607</v>
      </c>
      <c r="T939" t="s">
        <v>3312</v>
      </c>
      <c r="U939" t="s">
        <v>3312</v>
      </c>
      <c r="V939" t="s">
        <v>3312</v>
      </c>
      <c r="W939" t="s">
        <v>4249</v>
      </c>
      <c r="X939">
        <v>2</v>
      </c>
      <c r="Y939" t="s">
        <v>5890</v>
      </c>
      <c r="Z939" t="s">
        <v>7532</v>
      </c>
      <c r="AA939">
        <v>0.3081676895414912</v>
      </c>
      <c r="AB939">
        <f>HYPERLINK("Melting_Curves/meltCurve_P17854_cysH.pdf", "Melting_Curves/meltCurve_P17854_cysH.pdf")</f>
        <v>0</v>
      </c>
    </row>
    <row r="940" spans="1:28">
      <c r="A940" t="s">
        <v>966</v>
      </c>
      <c r="B940">
        <v>0.999984544473304</v>
      </c>
      <c r="C940">
        <v>0.930127404205992</v>
      </c>
      <c r="D940">
        <v>0.444255620538034</v>
      </c>
      <c r="E940">
        <v>0.161987945218917</v>
      </c>
      <c r="F940">
        <v>0.113230522133342</v>
      </c>
      <c r="G940">
        <v>0.0583883073410909</v>
      </c>
      <c r="H940">
        <v>0.0480460864078027</v>
      </c>
      <c r="I940">
        <v>0.0383841398888286</v>
      </c>
      <c r="J940">
        <v>0.0268173978755586</v>
      </c>
      <c r="K940">
        <v>0.0346541005287491</v>
      </c>
      <c r="L940">
        <v>1293.51603826529</v>
      </c>
      <c r="M940">
        <v>30.3251171965766</v>
      </c>
      <c r="N940">
        <v>42.8207836040672</v>
      </c>
      <c r="O940">
        <v>42.4707424440463</v>
      </c>
      <c r="P940">
        <v>-0.168616544517649</v>
      </c>
      <c r="Q940">
        <v>0.0554068418014901</v>
      </c>
      <c r="R940">
        <v>0.994313941078956</v>
      </c>
      <c r="S940" t="s">
        <v>2608</v>
      </c>
      <c r="T940" t="s">
        <v>3312</v>
      </c>
      <c r="U940" t="s">
        <v>3312</v>
      </c>
      <c r="V940" t="s">
        <v>3312</v>
      </c>
      <c r="W940" t="s">
        <v>4250</v>
      </c>
      <c r="X940">
        <v>2</v>
      </c>
      <c r="Y940" t="s">
        <v>5891</v>
      </c>
      <c r="Z940" t="s">
        <v>7533</v>
      </c>
      <c r="AA940">
        <v>0.2386431659277011</v>
      </c>
      <c r="AB940">
        <f>HYPERLINK("Melting_Curves/meltCurve_P17952_murC.pdf", "Melting_Curves/meltCurve_P17952_murC.pdf")</f>
        <v>0</v>
      </c>
    </row>
    <row r="941" spans="1:28">
      <c r="A941" t="s">
        <v>967</v>
      </c>
      <c r="B941">
        <v>0.999984544473304</v>
      </c>
      <c r="C941">
        <v>0.854897552965834</v>
      </c>
      <c r="D941">
        <v>0.873355699880823</v>
      </c>
      <c r="E941">
        <v>0.667841620414941</v>
      </c>
      <c r="F941">
        <v>0.234559479675368</v>
      </c>
      <c r="G941">
        <v>0.086423323198335</v>
      </c>
      <c r="H941">
        <v>0.0625426662916803</v>
      </c>
      <c r="I941">
        <v>0.0484384395915015</v>
      </c>
      <c r="J941">
        <v>0.0365663065879955</v>
      </c>
      <c r="K941">
        <v>0.041422720045216</v>
      </c>
      <c r="L941">
        <v>995.192274659184</v>
      </c>
      <c r="M941">
        <v>20.9368836904178</v>
      </c>
      <c r="N941">
        <v>47.6704052953974</v>
      </c>
      <c r="O941">
        <v>47.1057123673526</v>
      </c>
      <c r="P941">
        <v>-0.107865043785915</v>
      </c>
      <c r="Q941">
        <v>0.0292878759934829</v>
      </c>
      <c r="R941">
        <v>0.985220500759597</v>
      </c>
      <c r="S941" t="s">
        <v>2609</v>
      </c>
      <c r="T941" t="s">
        <v>3312</v>
      </c>
      <c r="U941" t="s">
        <v>3312</v>
      </c>
      <c r="V941" t="s">
        <v>3312</v>
      </c>
      <c r="W941" t="s">
        <v>4251</v>
      </c>
      <c r="X941">
        <v>4</v>
      </c>
      <c r="Y941" t="s">
        <v>5892</v>
      </c>
      <c r="Z941" t="s">
        <v>7534</v>
      </c>
      <c r="AA941">
        <v>0.3817577667850375</v>
      </c>
      <c r="AB941">
        <f>HYPERLINK("Melting_Curves/meltCurve_P17993_ubiG.pdf", "Melting_Curves/meltCurve_P17993_ubiG.pdf")</f>
        <v>0</v>
      </c>
    </row>
    <row r="942" spans="1:28">
      <c r="A942" t="s">
        <v>968</v>
      </c>
      <c r="B942">
        <v>0.999984544473304</v>
      </c>
      <c r="C942">
        <v>0.862104731133557</v>
      </c>
      <c r="D942">
        <v>0.8356812964942389</v>
      </c>
      <c r="E942">
        <v>0.790779524699318</v>
      </c>
      <c r="F942">
        <v>0.377522539757129</v>
      </c>
      <c r="G942">
        <v>0.116095762200792</v>
      </c>
      <c r="H942">
        <v>0.08907962548359701</v>
      </c>
      <c r="I942">
        <v>0.08044286506584419</v>
      </c>
      <c r="J942">
        <v>0.0596637691794441</v>
      </c>
      <c r="K942">
        <v>0.0453296020920763</v>
      </c>
      <c r="L942">
        <v>945.962322117117</v>
      </c>
      <c r="M942">
        <v>19.4236816580024</v>
      </c>
      <c r="N942">
        <v>48.9050495581708</v>
      </c>
      <c r="O942">
        <v>48.1940924328686</v>
      </c>
      <c r="P942">
        <v>-0.0968484900822025</v>
      </c>
      <c r="Q942">
        <v>0.0388321564413374</v>
      </c>
      <c r="R942">
        <v>0.976296290627085</v>
      </c>
      <c r="S942" t="s">
        <v>2610</v>
      </c>
      <c r="T942" t="s">
        <v>3312</v>
      </c>
      <c r="U942" t="s">
        <v>3312</v>
      </c>
      <c r="V942" t="s">
        <v>3312</v>
      </c>
      <c r="W942" t="s">
        <v>4252</v>
      </c>
      <c r="X942">
        <v>3</v>
      </c>
      <c r="Y942" t="s">
        <v>5893</v>
      </c>
      <c r="Z942" t="s">
        <v>7535</v>
      </c>
      <c r="AA942">
        <v>0.4270885033035541</v>
      </c>
      <c r="AB942">
        <f>HYPERLINK("Melting_Curves/meltCurve_P18196_minC.pdf", "Melting_Curves/meltCurve_P18196_minC.pdf")</f>
        <v>0</v>
      </c>
    </row>
    <row r="943" spans="1:28">
      <c r="A943" t="s">
        <v>969</v>
      </c>
      <c r="B943">
        <v>0.999984544473304</v>
      </c>
      <c r="C943">
        <v>0.757369130415236</v>
      </c>
      <c r="D943">
        <v>1.09603233793327</v>
      </c>
      <c r="E943">
        <v>0.806298122354698</v>
      </c>
      <c r="F943">
        <v>1.05422884115939</v>
      </c>
      <c r="G943">
        <v>0.373260524122429</v>
      </c>
      <c r="H943">
        <v>0.112565840265642</v>
      </c>
      <c r="I943">
        <v>0.08528708108352021</v>
      </c>
      <c r="J943">
        <v>0.0368123808370396</v>
      </c>
      <c r="K943">
        <v>0</v>
      </c>
      <c r="L943">
        <v>9092.254995456011</v>
      </c>
      <c r="M943">
        <v>169.690229888506</v>
      </c>
      <c r="N943">
        <v>53.620924176611</v>
      </c>
      <c r="O943">
        <v>53.5740377146581</v>
      </c>
      <c r="P943">
        <v>-0.745397281966776</v>
      </c>
      <c r="Q943">
        <v>0.0586624031607983</v>
      </c>
      <c r="R943">
        <v>0.9377489449866589</v>
      </c>
      <c r="S943" t="s">
        <v>2611</v>
      </c>
      <c r="T943" t="s">
        <v>3312</v>
      </c>
      <c r="U943" t="s">
        <v>3312</v>
      </c>
      <c r="V943" t="s">
        <v>3312</v>
      </c>
      <c r="W943" t="s">
        <v>4253</v>
      </c>
      <c r="X943">
        <v>1</v>
      </c>
      <c r="Y943" t="s">
        <v>5894</v>
      </c>
      <c r="Z943" t="s">
        <v>7536</v>
      </c>
      <c r="AA943">
        <v>0.5791471832933285</v>
      </c>
      <c r="AB943">
        <f>HYPERLINK("Melting_Curves/meltCurve_P18335_argD.pdf", "Melting_Curves/meltCurve_P18335_argD.pdf")</f>
        <v>0</v>
      </c>
    </row>
    <row r="944" spans="1:28">
      <c r="A944" t="s">
        <v>970</v>
      </c>
      <c r="B944">
        <v>0.999984544473304</v>
      </c>
      <c r="C944">
        <v>0.9894893043602671</v>
      </c>
      <c r="D944">
        <v>0.690238963147825</v>
      </c>
      <c r="E944">
        <v>0.624206751013656</v>
      </c>
      <c r="F944">
        <v>0.418317411447224</v>
      </c>
      <c r="G944">
        <v>0.308743108548481</v>
      </c>
      <c r="H944">
        <v>0.213326655102758</v>
      </c>
      <c r="I944">
        <v>0.125333851582278</v>
      </c>
      <c r="J944">
        <v>0.0793250796750751</v>
      </c>
      <c r="K944">
        <v>0.0521342286047813</v>
      </c>
      <c r="L944">
        <v>473.953296703786</v>
      </c>
      <c r="M944">
        <v>9.71509138054671</v>
      </c>
      <c r="N944">
        <v>48.7857152936212</v>
      </c>
      <c r="O944">
        <v>46.8528239579012</v>
      </c>
      <c r="P944">
        <v>-0.0518640896144685</v>
      </c>
      <c r="Q944">
        <v>4.64819777012135e-05</v>
      </c>
      <c r="R944">
        <v>0.981463701213957</v>
      </c>
      <c r="S944" t="s">
        <v>2612</v>
      </c>
      <c r="T944" t="s">
        <v>3312</v>
      </c>
      <c r="U944" t="s">
        <v>3312</v>
      </c>
      <c r="V944" t="s">
        <v>3312</v>
      </c>
      <c r="W944" t="s">
        <v>4254</v>
      </c>
      <c r="X944">
        <v>7</v>
      </c>
      <c r="Y944" t="s">
        <v>5895</v>
      </c>
      <c r="Z944" t="s">
        <v>7537</v>
      </c>
      <c r="AA944">
        <v>0.4319205278725896</v>
      </c>
      <c r="AB944">
        <f>HYPERLINK("Melting_Curves/meltCurve_P18775_dmsA.pdf", "Melting_Curves/meltCurve_P18775_dmsA.pdf")</f>
        <v>0</v>
      </c>
    </row>
    <row r="945" spans="1:28">
      <c r="A945" t="s">
        <v>971</v>
      </c>
      <c r="B945">
        <v>0.999984544473304</v>
      </c>
      <c r="C945">
        <v>1.10339070276751</v>
      </c>
      <c r="D945">
        <v>0.768061618871282</v>
      </c>
      <c r="E945">
        <v>0.775870806866519</v>
      </c>
      <c r="F945">
        <v>0.669032723118372</v>
      </c>
      <c r="G945">
        <v>0.569635401593551</v>
      </c>
      <c r="H945">
        <v>0.553797020399771</v>
      </c>
      <c r="I945">
        <v>0.5301806930233</v>
      </c>
      <c r="J945">
        <v>0.461342304219165</v>
      </c>
      <c r="K945">
        <v>0.547663034034534</v>
      </c>
      <c r="L945">
        <v>646.857123498059</v>
      </c>
      <c r="M945">
        <v>13.8496001994856</v>
      </c>
      <c r="O945">
        <v>45.7643928038786</v>
      </c>
      <c r="P945">
        <v>-0.0372821084225731</v>
      </c>
      <c r="Q945">
        <v>0.507290462119278</v>
      </c>
      <c r="R945">
        <v>0.900968112604993</v>
      </c>
      <c r="S945" t="s">
        <v>2613</v>
      </c>
      <c r="T945" t="s">
        <v>3312</v>
      </c>
      <c r="U945" t="s">
        <v>3312</v>
      </c>
      <c r="V945" t="s">
        <v>3312</v>
      </c>
      <c r="W945" t="s">
        <v>4255</v>
      </c>
      <c r="X945">
        <v>2</v>
      </c>
      <c r="Y945" t="s">
        <v>5896</v>
      </c>
      <c r="Z945" t="s">
        <v>7538</v>
      </c>
      <c r="AA945">
        <v>0.6795772696470299</v>
      </c>
      <c r="AB945">
        <f>HYPERLINK("Melting_Curves/meltCurve_P18776_dmsB.pdf", "Melting_Curves/meltCurve_P18776_dmsB.pdf")</f>
        <v>0</v>
      </c>
    </row>
    <row r="946" spans="1:28">
      <c r="A946" t="s">
        <v>972</v>
      </c>
      <c r="B946">
        <v>0.999984544473304</v>
      </c>
      <c r="C946">
        <v>0.757939171575667</v>
      </c>
      <c r="D946">
        <v>0.591494644865215</v>
      </c>
      <c r="E946">
        <v>0.15144695385952</v>
      </c>
      <c r="F946">
        <v>0.0792006243789915</v>
      </c>
      <c r="G946">
        <v>0.0453338678629339</v>
      </c>
      <c r="H946">
        <v>0.0412398302625501</v>
      </c>
      <c r="I946">
        <v>0.0262639748705452</v>
      </c>
      <c r="J946">
        <v>0.0191140468573108</v>
      </c>
      <c r="K946">
        <v>0.0221388251822935</v>
      </c>
      <c r="L946">
        <v>839.396308272286</v>
      </c>
      <c r="M946">
        <v>19.4670338683988</v>
      </c>
      <c r="N946">
        <v>43.2084328962539</v>
      </c>
      <c r="O946">
        <v>42.6715826872307</v>
      </c>
      <c r="P946">
        <v>-0.11180003033938</v>
      </c>
      <c r="Q946">
        <v>0.0197763387221471</v>
      </c>
      <c r="R946">
        <v>0.987927655722373</v>
      </c>
      <c r="S946" t="s">
        <v>2614</v>
      </c>
      <c r="T946" t="s">
        <v>3312</v>
      </c>
      <c r="U946" t="s">
        <v>3312</v>
      </c>
      <c r="V946" t="s">
        <v>3312</v>
      </c>
      <c r="W946" t="s">
        <v>4256</v>
      </c>
      <c r="X946">
        <v>9</v>
      </c>
      <c r="Y946" t="s">
        <v>5897</v>
      </c>
      <c r="Z946" t="s">
        <v>7539</v>
      </c>
      <c r="AA946">
        <v>0.2341432090726528</v>
      </c>
      <c r="AB946">
        <f>HYPERLINK("Melting_Curves/meltCurve_P18843_nadE.pdf", "Melting_Curves/meltCurve_P18843_nadE.pdf")</f>
        <v>0</v>
      </c>
    </row>
    <row r="947" spans="1:28">
      <c r="A947" t="s">
        <v>973</v>
      </c>
      <c r="B947">
        <v>0.999984544473304</v>
      </c>
      <c r="C947">
        <v>0.8933497502850301</v>
      </c>
      <c r="D947">
        <v>0.978953431936052</v>
      </c>
      <c r="E947">
        <v>0.945545755949994</v>
      </c>
      <c r="F947">
        <v>1.08544714933973</v>
      </c>
      <c r="G947">
        <v>0.892586924292131</v>
      </c>
      <c r="H947">
        <v>0.661934238481343</v>
      </c>
      <c r="I947">
        <v>0.37278397034207</v>
      </c>
      <c r="J947">
        <v>0.296303863889249</v>
      </c>
      <c r="K947">
        <v>0.305521220482019</v>
      </c>
      <c r="L947">
        <v>1821.04359394801</v>
      </c>
      <c r="M947">
        <v>31.687924317569</v>
      </c>
      <c r="N947">
        <v>59.0190372435527</v>
      </c>
      <c r="O947">
        <v>57.2406516282209</v>
      </c>
      <c r="P947">
        <v>-0.099291180118095</v>
      </c>
      <c r="Q947">
        <v>0.282570725827073</v>
      </c>
      <c r="R947">
        <v>0.970826678157503</v>
      </c>
      <c r="S947" t="s">
        <v>2615</v>
      </c>
      <c r="T947" t="s">
        <v>3312</v>
      </c>
      <c r="U947" t="s">
        <v>3312</v>
      </c>
      <c r="V947" t="s">
        <v>3312</v>
      </c>
      <c r="W947" t="s">
        <v>4257</v>
      </c>
      <c r="X947">
        <v>10</v>
      </c>
      <c r="Y947" t="s">
        <v>5898</v>
      </c>
      <c r="Z947" t="s">
        <v>7540</v>
      </c>
      <c r="AA947">
        <v>0.7759171191460884</v>
      </c>
      <c r="AB947">
        <f>HYPERLINK("Melting_Curves/meltCurve_P18956_ggt.pdf", "Melting_Curves/meltCurve_P18956_ggt.pdf")</f>
        <v>0</v>
      </c>
    </row>
    <row r="948" spans="1:28">
      <c r="A948" t="s">
        <v>974</v>
      </c>
      <c r="B948">
        <v>0.999984544473304</v>
      </c>
      <c r="C948">
        <v>1.28873351620412</v>
      </c>
      <c r="D948">
        <v>1.03733644039971</v>
      </c>
      <c r="E948">
        <v>0.918865533971259</v>
      </c>
      <c r="F948">
        <v>0.720175089384996</v>
      </c>
      <c r="G948">
        <v>0.500041913005999</v>
      </c>
      <c r="H948">
        <v>0.418412505801437</v>
      </c>
      <c r="I948">
        <v>0.316970938971843</v>
      </c>
      <c r="J948">
        <v>0.288386412549856</v>
      </c>
      <c r="K948">
        <v>0.205509046835634</v>
      </c>
      <c r="L948">
        <v>916.758783281359</v>
      </c>
      <c r="M948">
        <v>17.5942551514954</v>
      </c>
      <c r="N948">
        <v>54.1854726996784</v>
      </c>
      <c r="O948">
        <v>51.4464356418926</v>
      </c>
      <c r="P948">
        <v>-0.064510706394192</v>
      </c>
      <c r="Q948">
        <v>0.245511298817157</v>
      </c>
      <c r="R948">
        <v>0.924880763159888</v>
      </c>
      <c r="S948" t="s">
        <v>2616</v>
      </c>
      <c r="T948" t="s">
        <v>3312</v>
      </c>
      <c r="U948" t="s">
        <v>3312</v>
      </c>
      <c r="V948" t="s">
        <v>3312</v>
      </c>
      <c r="W948" t="s">
        <v>4258</v>
      </c>
      <c r="X948">
        <v>5</v>
      </c>
      <c r="Y948" t="s">
        <v>5899</v>
      </c>
      <c r="Z948" t="s">
        <v>7541</v>
      </c>
      <c r="AA948">
        <v>0.6371480120313293</v>
      </c>
      <c r="AB948">
        <f>HYPERLINK("Melting_Curves/meltCurve_P19318_narY.pdf", "Melting_Curves/meltCurve_P19318_narY.pdf")</f>
        <v>0</v>
      </c>
    </row>
    <row r="949" spans="1:28">
      <c r="A949" t="s">
        <v>975</v>
      </c>
      <c r="B949">
        <v>0.999984544473304</v>
      </c>
      <c r="C949">
        <v>1.80423152263129</v>
      </c>
      <c r="D949">
        <v>0.897837154989211</v>
      </c>
      <c r="E949">
        <v>1.14264069701585</v>
      </c>
      <c r="F949">
        <v>0.651588654635574</v>
      </c>
      <c r="G949">
        <v>0.543494608677234</v>
      </c>
      <c r="H949">
        <v>0.482649257813378</v>
      </c>
      <c r="I949">
        <v>0.37138158373424</v>
      </c>
      <c r="J949">
        <v>0.270356775919271</v>
      </c>
      <c r="K949">
        <v>0.296737839482281</v>
      </c>
      <c r="L949">
        <v>1170.32004432764</v>
      </c>
      <c r="M949">
        <v>22.6611614355512</v>
      </c>
      <c r="N949">
        <v>54.1864817607251</v>
      </c>
      <c r="O949">
        <v>51.2472033159276</v>
      </c>
      <c r="P949">
        <v>-0.0743655508229346</v>
      </c>
      <c r="Q949">
        <v>0.327316124268899</v>
      </c>
      <c r="R949">
        <v>0.6469631333514499</v>
      </c>
      <c r="S949" t="s">
        <v>2617</v>
      </c>
      <c r="T949" t="s">
        <v>3312</v>
      </c>
      <c r="U949" t="s">
        <v>3312</v>
      </c>
      <c r="V949" t="s">
        <v>3312</v>
      </c>
      <c r="W949" t="s">
        <v>4259</v>
      </c>
      <c r="X949">
        <v>8</v>
      </c>
      <c r="Y949" t="s">
        <v>5900</v>
      </c>
      <c r="Z949" t="s">
        <v>7542</v>
      </c>
      <c r="AA949">
        <v>0.6627744687217401</v>
      </c>
      <c r="AB949">
        <f>HYPERLINK("Melting_Curves/meltCurve_P19319_narZ.pdf", "Melting_Curves/meltCurve_P19319_narZ.pdf")</f>
        <v>0</v>
      </c>
    </row>
    <row r="950" spans="1:28">
      <c r="A950" t="s">
        <v>976</v>
      </c>
      <c r="B950">
        <v>0.999984544473304</v>
      </c>
      <c r="C950">
        <v>0.957705797111297</v>
      </c>
      <c r="D950">
        <v>0.331810549756043</v>
      </c>
      <c r="E950">
        <v>0.666686396792416</v>
      </c>
      <c r="F950">
        <v>0.491579740695591</v>
      </c>
      <c r="G950">
        <v>0.244274952872089</v>
      </c>
      <c r="H950">
        <v>0.245851768525404</v>
      </c>
      <c r="I950">
        <v>0.161542150235453</v>
      </c>
      <c r="J950">
        <v>0.137339842996296</v>
      </c>
      <c r="K950">
        <v>0.179928588012232</v>
      </c>
      <c r="L950">
        <v>397.153559500063</v>
      </c>
      <c r="M950">
        <v>8.621316064973019</v>
      </c>
      <c r="N950">
        <v>47.2068247391094</v>
      </c>
      <c r="O950">
        <v>43.7890077849591</v>
      </c>
      <c r="P950">
        <v>-0.0446319743870181</v>
      </c>
      <c r="Q950">
        <v>0.0940029409791962</v>
      </c>
      <c r="R950">
        <v>0.802776632767411</v>
      </c>
      <c r="S950" t="s">
        <v>2618</v>
      </c>
      <c r="T950" t="s">
        <v>3312</v>
      </c>
      <c r="U950" t="s">
        <v>3312</v>
      </c>
      <c r="V950" t="s">
        <v>3312</v>
      </c>
      <c r="W950" t="s">
        <v>4260</v>
      </c>
      <c r="X950">
        <v>1</v>
      </c>
      <c r="Y950" t="s">
        <v>5901</v>
      </c>
      <c r="Z950" t="s">
        <v>7543</v>
      </c>
      <c r="AA950">
        <v>0.41926452894091</v>
      </c>
      <c r="AB950">
        <f>HYPERLINK("Melting_Curves/meltCurve_P19624_pdxA.pdf", "Melting_Curves/meltCurve_P19624_pdxA.pdf")</f>
        <v>0</v>
      </c>
    </row>
    <row r="951" spans="1:28">
      <c r="A951" t="s">
        <v>977</v>
      </c>
      <c r="B951">
        <v>0.999984544473304</v>
      </c>
      <c r="C951">
        <v>0.791135455002464</v>
      </c>
      <c r="D951">
        <v>0.696307747218173</v>
      </c>
      <c r="E951">
        <v>0.578773915008831</v>
      </c>
      <c r="F951">
        <v>0.424474873630112</v>
      </c>
      <c r="G951">
        <v>0.275087947948469</v>
      </c>
      <c r="H951">
        <v>0.205731026121356</v>
      </c>
      <c r="I951">
        <v>0.152632208696176</v>
      </c>
      <c r="J951">
        <v>0.118524979865452</v>
      </c>
      <c r="K951">
        <v>0.122367542190424</v>
      </c>
      <c r="L951">
        <v>414.324406320714</v>
      </c>
      <c r="M951">
        <v>8.74024620441222</v>
      </c>
      <c r="N951">
        <v>47.8380008364123</v>
      </c>
      <c r="O951">
        <v>45.1189903197618</v>
      </c>
      <c r="P951">
        <v>-0.0466215764779946</v>
      </c>
      <c r="Q951">
        <v>0.0380987825527288</v>
      </c>
      <c r="R951">
        <v>0.987974758422113</v>
      </c>
      <c r="S951" t="s">
        <v>2619</v>
      </c>
      <c r="T951" t="s">
        <v>3312</v>
      </c>
      <c r="U951" t="s">
        <v>3312</v>
      </c>
      <c r="V951" t="s">
        <v>3312</v>
      </c>
      <c r="W951" t="s">
        <v>4261</v>
      </c>
      <c r="X951">
        <v>5</v>
      </c>
      <c r="Y951" t="s">
        <v>5902</v>
      </c>
      <c r="Z951" t="s">
        <v>7544</v>
      </c>
      <c r="AA951">
        <v>0.4195905916797689</v>
      </c>
      <c r="AB951">
        <f>HYPERLINK("Melting_Curves/meltCurve_P19636_eutC.pdf", "Melting_Curves/meltCurve_P19636_eutC.pdf")</f>
        <v>0</v>
      </c>
    </row>
    <row r="952" spans="1:28">
      <c r="A952" t="s">
        <v>978</v>
      </c>
      <c r="B952">
        <v>0.999984544473304</v>
      </c>
      <c r="C952">
        <v>0.934250656652029</v>
      </c>
      <c r="D952">
        <v>1.16852076396831</v>
      </c>
      <c r="E952">
        <v>1.0812477485199</v>
      </c>
      <c r="F952">
        <v>1.13992994963308</v>
      </c>
      <c r="G952">
        <v>0.992113301967726</v>
      </c>
      <c r="H952">
        <v>0.301202093830398</v>
      </c>
      <c r="I952">
        <v>0.0546079778431519</v>
      </c>
      <c r="J952">
        <v>0.0303449805663433</v>
      </c>
      <c r="K952">
        <v>0.0294896011574631</v>
      </c>
      <c r="L952">
        <v>4676.33419307333</v>
      </c>
      <c r="M952">
        <v>82.4399276555898</v>
      </c>
      <c r="N952">
        <v>56.7771402204883</v>
      </c>
      <c r="O952">
        <v>56.690797168891</v>
      </c>
      <c r="P952">
        <v>-0.350087466998921</v>
      </c>
      <c r="Q952">
        <v>0.0370329843287339</v>
      </c>
      <c r="R952">
        <v>0.973731854643332</v>
      </c>
      <c r="S952" t="s">
        <v>2620</v>
      </c>
      <c r="T952" t="s">
        <v>3312</v>
      </c>
      <c r="U952" t="s">
        <v>3312</v>
      </c>
      <c r="V952" t="s">
        <v>3312</v>
      </c>
      <c r="W952" t="s">
        <v>4262</v>
      </c>
      <c r="X952">
        <v>17</v>
      </c>
      <c r="Y952" t="s">
        <v>5903</v>
      </c>
      <c r="Z952" t="s">
        <v>7545</v>
      </c>
      <c r="AA952">
        <v>0.6710393421712578</v>
      </c>
      <c r="AB952">
        <f>HYPERLINK("Melting_Curves/meltCurve_P19926_agp.pdf", "Melting_Curves/meltCurve_P19926_agp.pdf")</f>
        <v>0</v>
      </c>
    </row>
    <row r="953" spans="1:28">
      <c r="A953" t="s">
        <v>979</v>
      </c>
      <c r="B953">
        <v>0.999984544473304</v>
      </c>
      <c r="C953">
        <v>0.997572717226925</v>
      </c>
      <c r="D953">
        <v>0.9251648685682859</v>
      </c>
      <c r="E953">
        <v>0.972251172058193</v>
      </c>
      <c r="F953">
        <v>1.05649531153951</v>
      </c>
      <c r="G953">
        <v>0.8510402293799491</v>
      </c>
      <c r="H953">
        <v>0.636108963662216</v>
      </c>
      <c r="I953">
        <v>0.628505259453097</v>
      </c>
      <c r="J953">
        <v>0.5354418097689529</v>
      </c>
      <c r="K953">
        <v>0.523498452867362</v>
      </c>
      <c r="L953">
        <v>1956.79902010767</v>
      </c>
      <c r="M953">
        <v>35.5308259494276</v>
      </c>
      <c r="O953">
        <v>54.8996950249107</v>
      </c>
      <c r="P953">
        <v>-0.0721020720598191</v>
      </c>
      <c r="Q953">
        <v>0.554373588307012</v>
      </c>
      <c r="R953">
        <v>0.957778159175899</v>
      </c>
      <c r="S953" t="s">
        <v>2621</v>
      </c>
      <c r="T953" t="s">
        <v>3312</v>
      </c>
      <c r="U953" t="s">
        <v>3312</v>
      </c>
      <c r="V953" t="s">
        <v>3312</v>
      </c>
      <c r="W953" t="s">
        <v>4263</v>
      </c>
      <c r="X953">
        <v>4</v>
      </c>
      <c r="Y953" t="s">
        <v>5904</v>
      </c>
      <c r="Z953" t="s">
        <v>7546</v>
      </c>
      <c r="AA953">
        <v>0.82492804359218</v>
      </c>
      <c r="AB953">
        <f>HYPERLINK("Melting_Curves/meltCurve_P19934_tolA.pdf", "Melting_Curves/meltCurve_P19934_tolA.pdf")</f>
        <v>0</v>
      </c>
    </row>
    <row r="954" spans="1:28">
      <c r="A954" t="s">
        <v>980</v>
      </c>
      <c r="B954">
        <v>0.999984544473304</v>
      </c>
      <c r="C954">
        <v>0.961055444514231</v>
      </c>
      <c r="D954">
        <v>0.902704295040509</v>
      </c>
      <c r="E954">
        <v>0.479118323321409</v>
      </c>
      <c r="F954">
        <v>0.200918349849771</v>
      </c>
      <c r="G954">
        <v>0.08704554432574781</v>
      </c>
      <c r="H954">
        <v>0.06850084292188691</v>
      </c>
      <c r="I954">
        <v>0.0493779637722018</v>
      </c>
      <c r="J954">
        <v>0.0433083876596386</v>
      </c>
      <c r="K954">
        <v>0.0405764450591123</v>
      </c>
      <c r="L954">
        <v>1115.42077017448</v>
      </c>
      <c r="M954">
        <v>24.0431880337142</v>
      </c>
      <c r="N954">
        <v>46.5962500995566</v>
      </c>
      <c r="O954">
        <v>46.0750248333927</v>
      </c>
      <c r="P954">
        <v>-0.12394566945823</v>
      </c>
      <c r="Q954">
        <v>0.0499246773029975</v>
      </c>
      <c r="R954">
        <v>0.9986037141588811</v>
      </c>
      <c r="S954" t="s">
        <v>2622</v>
      </c>
      <c r="T954" t="s">
        <v>3312</v>
      </c>
      <c r="U954" t="s">
        <v>3312</v>
      </c>
      <c r="V954" t="s">
        <v>3312</v>
      </c>
      <c r="W954" t="s">
        <v>4264</v>
      </c>
      <c r="X954">
        <v>4</v>
      </c>
      <c r="Y954" t="s">
        <v>5905</v>
      </c>
      <c r="Z954" t="s">
        <v>7547</v>
      </c>
      <c r="AA954">
        <v>0.3559385720080471</v>
      </c>
      <c r="AB954">
        <f>HYPERLINK("Melting_Curves/meltCurve_P20083_parE.pdf", "Melting_Curves/meltCurve_P20083_parE.pdf")</f>
        <v>0</v>
      </c>
    </row>
    <row r="955" spans="1:28">
      <c r="A955" t="s">
        <v>981</v>
      </c>
      <c r="B955">
        <v>0.999984544473304</v>
      </c>
      <c r="C955">
        <v>1.10252703323153</v>
      </c>
      <c r="D955">
        <v>0.766133152852184</v>
      </c>
      <c r="E955">
        <v>0.939762457741006</v>
      </c>
      <c r="F955">
        <v>0.416545479912278</v>
      </c>
      <c r="G955">
        <v>0.317703653495418</v>
      </c>
      <c r="H955">
        <v>0.209864556729619</v>
      </c>
      <c r="I955">
        <v>0.197002651831154</v>
      </c>
      <c r="J955">
        <v>0.170192583000067</v>
      </c>
      <c r="K955">
        <v>0.0869553125879885</v>
      </c>
      <c r="L955">
        <v>1073.78748083301</v>
      </c>
      <c r="M955">
        <v>21.749907749279</v>
      </c>
      <c r="N955">
        <v>50.2095893916056</v>
      </c>
      <c r="O955">
        <v>48.9580863840431</v>
      </c>
      <c r="P955">
        <v>-0.094130386069166</v>
      </c>
      <c r="Q955">
        <v>0.152486349779344</v>
      </c>
      <c r="R955">
        <v>0.939919317128488</v>
      </c>
      <c r="S955" t="s">
        <v>2623</v>
      </c>
      <c r="T955" t="s">
        <v>3312</v>
      </c>
      <c r="U955" t="s">
        <v>3312</v>
      </c>
      <c r="V955" t="s">
        <v>3312</v>
      </c>
      <c r="W955" t="s">
        <v>4265</v>
      </c>
      <c r="X955">
        <v>4</v>
      </c>
      <c r="Y955" t="s">
        <v>5906</v>
      </c>
      <c r="Z955" t="s">
        <v>7548</v>
      </c>
      <c r="AA955">
        <v>0.5115191404385466</v>
      </c>
      <c r="AB955">
        <f>HYPERLINK("Melting_Curves/meltCurve_P20099_bisC.pdf", "Melting_Curves/meltCurve_P20099_bisC.pdf")</f>
        <v>0</v>
      </c>
    </row>
    <row r="956" spans="1:28">
      <c r="A956" t="s">
        <v>982</v>
      </c>
      <c r="B956">
        <v>0.999984544473304</v>
      </c>
      <c r="C956">
        <v>0.921541349070082</v>
      </c>
      <c r="D956">
        <v>0.935112746486105</v>
      </c>
      <c r="E956">
        <v>1.04433846051229</v>
      </c>
      <c r="F956">
        <v>1.09441919136861</v>
      </c>
      <c r="G956">
        <v>0.814986946932127</v>
      </c>
      <c r="H956">
        <v>0.31510668847062</v>
      </c>
      <c r="I956">
        <v>0.0499381042302543</v>
      </c>
      <c r="J956">
        <v>0.0251292047921558</v>
      </c>
      <c r="K956">
        <v>0.0201059088118215</v>
      </c>
      <c r="L956">
        <v>2134.0420359116</v>
      </c>
      <c r="M956">
        <v>38.0542621967149</v>
      </c>
      <c r="N956">
        <v>56.1252930147625</v>
      </c>
      <c r="O956">
        <v>55.9247068476503</v>
      </c>
      <c r="P956">
        <v>-0.167482578720502</v>
      </c>
      <c r="Q956">
        <v>0.0154695878239027</v>
      </c>
      <c r="R956">
        <v>0.9873297994101</v>
      </c>
      <c r="S956" t="s">
        <v>2624</v>
      </c>
      <c r="T956" t="s">
        <v>3312</v>
      </c>
      <c r="U956" t="s">
        <v>3312</v>
      </c>
      <c r="V956" t="s">
        <v>3312</v>
      </c>
      <c r="W956" t="s">
        <v>4266</v>
      </c>
      <c r="X956">
        <v>3</v>
      </c>
      <c r="Y956" t="s">
        <v>5907</v>
      </c>
      <c r="Z956" t="s">
        <v>7549</v>
      </c>
      <c r="AA956">
        <v>0.6456680956298666</v>
      </c>
      <c r="AB956">
        <f>HYPERLINK("Melting_Curves/meltCurve_P20605_fic.pdf", "Melting_Curves/meltCurve_P20605_fic.pdf")</f>
        <v>0</v>
      </c>
    </row>
    <row r="957" spans="1:28">
      <c r="A957" t="s">
        <v>983</v>
      </c>
      <c r="B957">
        <v>0.999984544473304</v>
      </c>
      <c r="C957">
        <v>1.01898892885481</v>
      </c>
      <c r="D957">
        <v>0.599273363097812</v>
      </c>
      <c r="E957">
        <v>0.498985535787104</v>
      </c>
      <c r="F957">
        <v>0.29865898680348</v>
      </c>
      <c r="G957">
        <v>0.194550239984866</v>
      </c>
      <c r="H957">
        <v>0.1156028512744</v>
      </c>
      <c r="I957">
        <v>0.125395803018675</v>
      </c>
      <c r="J957">
        <v>0.0837445099759133</v>
      </c>
      <c r="K957">
        <v>0.0768276687634044</v>
      </c>
      <c r="L957">
        <v>647.701484439319</v>
      </c>
      <c r="M957">
        <v>14.2223015710293</v>
      </c>
      <c r="N957">
        <v>46.1392376883276</v>
      </c>
      <c r="O957">
        <v>44.6692752826327</v>
      </c>
      <c r="P957">
        <v>-0.07290730030527411</v>
      </c>
      <c r="Q957">
        <v>0.08416773757166331</v>
      </c>
      <c r="R957">
        <v>0.9705626730672759</v>
      </c>
      <c r="S957" t="s">
        <v>2625</v>
      </c>
      <c r="T957" t="s">
        <v>3312</v>
      </c>
      <c r="U957" t="s">
        <v>3312</v>
      </c>
      <c r="V957" t="s">
        <v>3312</v>
      </c>
      <c r="W957" t="s">
        <v>4267</v>
      </c>
      <c r="X957">
        <v>1</v>
      </c>
      <c r="Y957" t="s">
        <v>5908</v>
      </c>
      <c r="Z957" t="s">
        <v>7550</v>
      </c>
      <c r="AA957">
        <v>0.3686164751219997</v>
      </c>
      <c r="AB957">
        <f>HYPERLINK("Melting_Curves/meltCurve_P20966_fruA.pdf", "Melting_Curves/meltCurve_P20966_fruA.pdf")</f>
        <v>0</v>
      </c>
    </row>
    <row r="958" spans="1:28">
      <c r="A958" t="s">
        <v>984</v>
      </c>
      <c r="B958">
        <v>0.999984544473304</v>
      </c>
      <c r="C958">
        <v>0.85755338954048</v>
      </c>
      <c r="D958">
        <v>0.901026633126076</v>
      </c>
      <c r="E958">
        <v>0.713194042806889</v>
      </c>
      <c r="F958">
        <v>0.627696312664667</v>
      </c>
      <c r="G958">
        <v>0.37773845321693</v>
      </c>
      <c r="H958">
        <v>0.251758729832781</v>
      </c>
      <c r="I958">
        <v>0.189324382745763</v>
      </c>
      <c r="J958">
        <v>0.178409782612956</v>
      </c>
      <c r="K958">
        <v>0.176556408448688</v>
      </c>
      <c r="L958">
        <v>529.9541798328009</v>
      </c>
      <c r="M958">
        <v>10.4714449359945</v>
      </c>
      <c r="N958">
        <v>51.4590311088398</v>
      </c>
      <c r="O958">
        <v>48.8681930776612</v>
      </c>
      <c r="P958">
        <v>-0.0493374790806226</v>
      </c>
      <c r="Q958">
        <v>0.07938173821716719</v>
      </c>
      <c r="R958">
        <v>0.9819846672395</v>
      </c>
      <c r="S958" t="s">
        <v>2626</v>
      </c>
      <c r="T958" t="s">
        <v>3312</v>
      </c>
      <c r="U958" t="s">
        <v>3312</v>
      </c>
      <c r="V958" t="s">
        <v>3312</v>
      </c>
      <c r="W958" t="s">
        <v>4268</v>
      </c>
      <c r="X958">
        <v>2</v>
      </c>
      <c r="Y958" t="s">
        <v>5909</v>
      </c>
      <c r="Z958" t="s">
        <v>7551</v>
      </c>
      <c r="AA958">
        <v>0.5252245264637494</v>
      </c>
      <c r="AB958">
        <f>HYPERLINK("Melting_Curves/meltCurve_P21151_fadA.pdf", "Melting_Curves/meltCurve_P21151_fadA.pdf")</f>
        <v>0</v>
      </c>
    </row>
    <row r="959" spans="1:28">
      <c r="A959" t="s">
        <v>985</v>
      </c>
      <c r="B959">
        <v>0.999984544473304</v>
      </c>
      <c r="C959">
        <v>1.25072694645064</v>
      </c>
      <c r="D959">
        <v>1.29502012395704</v>
      </c>
      <c r="E959">
        <v>0.94772219700338</v>
      </c>
      <c r="F959">
        <v>0.593262265501265</v>
      </c>
      <c r="G959">
        <v>0.562776340831038</v>
      </c>
      <c r="H959">
        <v>0.318593728906185</v>
      </c>
      <c r="I959">
        <v>0.222800861239792</v>
      </c>
      <c r="J959">
        <v>0.0770016659352335</v>
      </c>
      <c r="K959">
        <v>0.09930986931869951</v>
      </c>
      <c r="L959">
        <v>855.543894277502</v>
      </c>
      <c r="M959">
        <v>16.0531900467077</v>
      </c>
      <c r="N959">
        <v>53.8187298536526</v>
      </c>
      <c r="O959">
        <v>52.4878899528788</v>
      </c>
      <c r="P959">
        <v>-0.0709310365988714</v>
      </c>
      <c r="Q959">
        <v>0.07240063547757269</v>
      </c>
      <c r="R959">
        <v>0.8969040449204571</v>
      </c>
      <c r="S959" t="s">
        <v>2627</v>
      </c>
      <c r="T959" t="s">
        <v>3312</v>
      </c>
      <c r="U959" t="s">
        <v>3312</v>
      </c>
      <c r="V959" t="s">
        <v>3312</v>
      </c>
      <c r="W959" t="s">
        <v>4269</v>
      </c>
      <c r="X959">
        <v>1</v>
      </c>
      <c r="Y959" t="s">
        <v>5910</v>
      </c>
      <c r="Z959" t="s">
        <v>7552</v>
      </c>
      <c r="AA959">
        <v>0.5913443938451494</v>
      </c>
      <c r="AB959">
        <f>HYPERLINK("Melting_Curves/meltCurve_P21156_cysD.pdf", "Melting_Curves/meltCurve_P21156_cysD.pdf")</f>
        <v>0</v>
      </c>
    </row>
    <row r="960" spans="1:28">
      <c r="A960" t="s">
        <v>986</v>
      </c>
      <c r="B960">
        <v>0.999984544473304</v>
      </c>
      <c r="C960">
        <v>1.14760921280898</v>
      </c>
      <c r="D960">
        <v>1.1725412631724</v>
      </c>
      <c r="E960">
        <v>1.06162383481359</v>
      </c>
      <c r="F960">
        <v>1.21072991885699</v>
      </c>
      <c r="G960">
        <v>1.13234201313292</v>
      </c>
      <c r="H960">
        <v>0.987222813267548</v>
      </c>
      <c r="I960">
        <v>0.536272296316001</v>
      </c>
      <c r="J960">
        <v>0.146878178495917</v>
      </c>
      <c r="K960">
        <v>0.0714655177705371</v>
      </c>
      <c r="L960">
        <v>3444.26633159169</v>
      </c>
      <c r="M960">
        <v>56.4521245811172</v>
      </c>
      <c r="N960">
        <v>61.191836619628</v>
      </c>
      <c r="O960">
        <v>60.9357446111507</v>
      </c>
      <c r="P960">
        <v>-0.213916829917995</v>
      </c>
      <c r="Q960">
        <v>0.0763731510007853</v>
      </c>
      <c r="R960">
        <v>0.930133209559699</v>
      </c>
      <c r="S960" t="s">
        <v>2628</v>
      </c>
      <c r="T960" t="s">
        <v>3312</v>
      </c>
      <c r="U960" t="s">
        <v>3312</v>
      </c>
      <c r="V960" t="s">
        <v>3312</v>
      </c>
      <c r="W960" t="s">
        <v>4270</v>
      </c>
      <c r="X960">
        <v>11</v>
      </c>
      <c r="Y960" t="s">
        <v>5911</v>
      </c>
      <c r="Z960" t="s">
        <v>7553</v>
      </c>
      <c r="AA960">
        <v>0.8173285148974798</v>
      </c>
      <c r="AB960">
        <f>HYPERLINK("Melting_Curves/meltCurve_P21165_pepQ.pdf", "Melting_Curves/meltCurve_P21165_pepQ.pdf")</f>
        <v>0</v>
      </c>
    </row>
    <row r="961" spans="1:28">
      <c r="A961" t="s">
        <v>987</v>
      </c>
      <c r="B961">
        <v>0.999984544473304</v>
      </c>
      <c r="C961">
        <v>1.41820137726167</v>
      </c>
      <c r="D961">
        <v>1.01129899663659</v>
      </c>
      <c r="E961">
        <v>1.21207512261155</v>
      </c>
      <c r="F961">
        <v>0.702465380859396</v>
      </c>
      <c r="G961">
        <v>0.326631452191741</v>
      </c>
      <c r="H961">
        <v>0.178797586061135</v>
      </c>
      <c r="I961">
        <v>0.144815433013729</v>
      </c>
      <c r="J961">
        <v>0.0920625727044299</v>
      </c>
      <c r="K961">
        <v>0.067162986317353</v>
      </c>
      <c r="L961">
        <v>1735.51465250658</v>
      </c>
      <c r="M961">
        <v>33.5814644335545</v>
      </c>
      <c r="N961">
        <v>52.0816342303056</v>
      </c>
      <c r="O961">
        <v>51.4984987892196</v>
      </c>
      <c r="P961">
        <v>-0.144454598443646</v>
      </c>
      <c r="Q961">
        <v>0.113896448983127</v>
      </c>
      <c r="R961">
        <v>0.899858233053804</v>
      </c>
      <c r="S961" t="s">
        <v>2629</v>
      </c>
      <c r="T961" t="s">
        <v>3312</v>
      </c>
      <c r="U961" t="s">
        <v>3312</v>
      </c>
      <c r="V961" t="s">
        <v>3312</v>
      </c>
      <c r="W961" t="s">
        <v>4271</v>
      </c>
      <c r="X961">
        <v>5</v>
      </c>
      <c r="Y961" t="s">
        <v>5912</v>
      </c>
      <c r="Z961" t="s">
        <v>7554</v>
      </c>
      <c r="AA961">
        <v>0.5519889918904308</v>
      </c>
      <c r="AB961">
        <f>HYPERLINK("Melting_Curves/meltCurve_P21169_speC.pdf", "Melting_Curves/meltCurve_P21169_speC.pdf")</f>
        <v>0</v>
      </c>
    </row>
    <row r="962" spans="1:28">
      <c r="A962" t="s">
        <v>988</v>
      </c>
      <c r="B962">
        <v>0.999984544473304</v>
      </c>
      <c r="C962">
        <v>1.06548432515387</v>
      </c>
      <c r="D962">
        <v>0.511659115884439</v>
      </c>
      <c r="E962">
        <v>0.162677643804975</v>
      </c>
      <c r="F962">
        <v>0.0565192821778994</v>
      </c>
      <c r="G962">
        <v>0.0354458314086492</v>
      </c>
      <c r="H962">
        <v>0.0239121966494108</v>
      </c>
      <c r="I962">
        <v>0.0163425010995804</v>
      </c>
      <c r="J962">
        <v>0.011841650329266</v>
      </c>
      <c r="K962">
        <v>0.0120177956348535</v>
      </c>
      <c r="L962">
        <v>1751.78188760857</v>
      </c>
      <c r="M962">
        <v>40.6472418119676</v>
      </c>
      <c r="N962">
        <v>43.1786192995941</v>
      </c>
      <c r="O962">
        <v>42.9932700883883</v>
      </c>
      <c r="P962">
        <v>-0.227638890376598</v>
      </c>
      <c r="Q962">
        <v>0.0368919759774867</v>
      </c>
      <c r="R962">
        <v>0.987430457489186</v>
      </c>
      <c r="S962" t="s">
        <v>2630</v>
      </c>
      <c r="T962" t="s">
        <v>3312</v>
      </c>
      <c r="U962" t="s">
        <v>3312</v>
      </c>
      <c r="V962" t="s">
        <v>3312</v>
      </c>
      <c r="W962" t="s">
        <v>4272</v>
      </c>
      <c r="X962">
        <v>10</v>
      </c>
      <c r="Y962" t="s">
        <v>5913</v>
      </c>
      <c r="Z962" t="s">
        <v>7555</v>
      </c>
      <c r="AA962">
        <v>0.2354418352367461</v>
      </c>
      <c r="AB962">
        <f>HYPERLINK("Melting_Curves/meltCurve_P21170_speA.pdf", "Melting_Curves/meltCurve_P21170_speA.pdf")</f>
        <v>0</v>
      </c>
    </row>
    <row r="963" spans="1:28">
      <c r="A963" t="s">
        <v>989</v>
      </c>
      <c r="B963">
        <v>0.999984544473304</v>
      </c>
      <c r="C963">
        <v>0.876800653210456</v>
      </c>
      <c r="D963">
        <v>0.592751668672392</v>
      </c>
      <c r="E963">
        <v>0.489076244249898</v>
      </c>
      <c r="F963">
        <v>0.450049906598937</v>
      </c>
      <c r="G963">
        <v>0.296614179027737</v>
      </c>
      <c r="H963">
        <v>0.25408755045694</v>
      </c>
      <c r="I963">
        <v>0.190223798727634</v>
      </c>
      <c r="J963">
        <v>0.15064632148231</v>
      </c>
      <c r="K963">
        <v>0.172835445851029</v>
      </c>
      <c r="L963">
        <v>464.677185259741</v>
      </c>
      <c r="M963">
        <v>10.2408878011849</v>
      </c>
      <c r="N963">
        <v>46.9324625868598</v>
      </c>
      <c r="O963">
        <v>43.7466183497695</v>
      </c>
      <c r="P963">
        <v>-0.0501137920262928</v>
      </c>
      <c r="Q963">
        <v>0.144083441898577</v>
      </c>
      <c r="R963">
        <v>0.9685647433821321</v>
      </c>
      <c r="S963" t="s">
        <v>2631</v>
      </c>
      <c r="T963" t="s">
        <v>3312</v>
      </c>
      <c r="U963" t="s">
        <v>3312</v>
      </c>
      <c r="V963" t="s">
        <v>3312</v>
      </c>
      <c r="W963" t="s">
        <v>4273</v>
      </c>
      <c r="X963">
        <v>4</v>
      </c>
      <c r="Y963" t="s">
        <v>5914</v>
      </c>
      <c r="Z963" t="s">
        <v>7556</v>
      </c>
      <c r="AA963">
        <v>0.4228249032552955</v>
      </c>
      <c r="AB963">
        <f>HYPERLINK("Melting_Curves/meltCurve_P21177_fadB.pdf", "Melting_Curves/meltCurve_P21177_fadB.pdf")</f>
        <v>0</v>
      </c>
    </row>
    <row r="964" spans="1:28">
      <c r="A964" t="s">
        <v>990</v>
      </c>
      <c r="B964">
        <v>0.999984544473304</v>
      </c>
      <c r="C964">
        <v>1.80471537758605</v>
      </c>
      <c r="D964">
        <v>1.28361547752122</v>
      </c>
      <c r="E964">
        <v>1.96168848635491</v>
      </c>
      <c r="F964">
        <v>0.922663173770627</v>
      </c>
      <c r="G964">
        <v>1.16127920226126</v>
      </c>
      <c r="H964">
        <v>0.598562916931567</v>
      </c>
      <c r="I964">
        <v>0.473715311956499</v>
      </c>
      <c r="J964">
        <v>0.403958108440987</v>
      </c>
      <c r="K964">
        <v>0.501950009132595</v>
      </c>
      <c r="L964">
        <v>14288.9941982606</v>
      </c>
      <c r="M964">
        <v>250</v>
      </c>
      <c r="N964">
        <v>57.738583684699</v>
      </c>
      <c r="O964">
        <v>57.15231909617</v>
      </c>
      <c r="P964">
        <v>-0.590664549729763</v>
      </c>
      <c r="Q964">
        <v>0.459874418550555</v>
      </c>
      <c r="R964">
        <v>0.379849291325543</v>
      </c>
      <c r="S964" t="s">
        <v>2632</v>
      </c>
      <c r="T964" t="s">
        <v>3312</v>
      </c>
      <c r="U964" t="s">
        <v>3312</v>
      </c>
      <c r="V964" t="s">
        <v>3312</v>
      </c>
      <c r="W964" t="s">
        <v>4274</v>
      </c>
      <c r="X964">
        <v>21</v>
      </c>
      <c r="Y964" t="s">
        <v>5915</v>
      </c>
      <c r="Z964" t="s">
        <v>7557</v>
      </c>
      <c r="AA964">
        <v>0.822820553553665</v>
      </c>
      <c r="AB964">
        <f>HYPERLINK("Melting_Curves/meltCurve_P21179_katE.pdf", "Melting_Curves/meltCurve_P21179_katE.pdf")</f>
        <v>0</v>
      </c>
    </row>
    <row r="965" spans="1:28">
      <c r="A965" t="s">
        <v>991</v>
      </c>
      <c r="B965">
        <v>0.999984544473304</v>
      </c>
      <c r="C965">
        <v>1.22953575336513</v>
      </c>
      <c r="D965">
        <v>1.33400416004291</v>
      </c>
      <c r="E965">
        <v>1.36466283263941</v>
      </c>
      <c r="F965">
        <v>1.32004981838248</v>
      </c>
      <c r="G965">
        <v>1.1709522018581</v>
      </c>
      <c r="H965">
        <v>1.02306697040576</v>
      </c>
      <c r="I965">
        <v>0.467306798605887</v>
      </c>
      <c r="J965">
        <v>0.0758565091499208</v>
      </c>
      <c r="K965">
        <v>0.0363299769034947</v>
      </c>
      <c r="L965">
        <v>5651.51049177605</v>
      </c>
      <c r="M965">
        <v>92.89138742561509</v>
      </c>
      <c r="N965">
        <v>60.9113135346632</v>
      </c>
      <c r="O965">
        <v>60.8118022400498</v>
      </c>
      <c r="P965">
        <v>-0.362198837539609</v>
      </c>
      <c r="Q965">
        <v>0.0515390883642612</v>
      </c>
      <c r="R965">
        <v>0.820810255179009</v>
      </c>
      <c r="S965" t="s">
        <v>2633</v>
      </c>
      <c r="T965" t="s">
        <v>3312</v>
      </c>
      <c r="U965" t="s">
        <v>3312</v>
      </c>
      <c r="V965" t="s">
        <v>3312</v>
      </c>
      <c r="W965" t="s">
        <v>4275</v>
      </c>
      <c r="X965">
        <v>5</v>
      </c>
      <c r="Y965" t="s">
        <v>5916</v>
      </c>
      <c r="Z965" t="s">
        <v>7558</v>
      </c>
      <c r="AA965">
        <v>0.8059783500564843</v>
      </c>
      <c r="AB965">
        <f>HYPERLINK("Melting_Curves/meltCurve_P21338_rna.pdf", "Melting_Curves/meltCurve_P21338_rna.pdf")</f>
        <v>0</v>
      </c>
    </row>
    <row r="966" spans="1:28">
      <c r="A966" t="s">
        <v>992</v>
      </c>
      <c r="B966">
        <v>0.999984544473304</v>
      </c>
      <c r="C966">
        <v>0.846698073760196</v>
      </c>
      <c r="D966">
        <v>1.10011084327054</v>
      </c>
      <c r="E966">
        <v>1.20481759578096</v>
      </c>
      <c r="F966">
        <v>1.98939402429083</v>
      </c>
      <c r="G966">
        <v>1.36235917609281</v>
      </c>
      <c r="H966">
        <v>1.73190552757789</v>
      </c>
      <c r="I966">
        <v>1.53338129483105</v>
      </c>
      <c r="J966">
        <v>1.35925367900472</v>
      </c>
      <c r="K966">
        <v>1.04368776368533</v>
      </c>
      <c r="L966">
        <v>11667.0310567139</v>
      </c>
      <c r="M966">
        <v>250</v>
      </c>
      <c r="O966">
        <v>46.665133301585</v>
      </c>
      <c r="P966">
        <v>0.669664797344555</v>
      </c>
      <c r="Q966">
        <v>1.5</v>
      </c>
      <c r="R966">
        <v>0.491658091404894</v>
      </c>
      <c r="S966" t="s">
        <v>2634</v>
      </c>
      <c r="T966" t="s">
        <v>3312</v>
      </c>
      <c r="U966" t="s">
        <v>3312</v>
      </c>
      <c r="V966" t="s">
        <v>3312</v>
      </c>
      <c r="W966" t="s">
        <v>4276</v>
      </c>
      <c r="X966">
        <v>2</v>
      </c>
      <c r="Y966" t="s">
        <v>5917</v>
      </c>
      <c r="Z966" t="s">
        <v>7559</v>
      </c>
      <c r="AA966">
        <v>1.338823645303216</v>
      </c>
      <c r="AB966">
        <f>HYPERLINK("Melting_Curves/meltCurve_P21362_yciF.pdf", "Melting_Curves/meltCurve_P21362_yciF.pdf")</f>
        <v>0</v>
      </c>
    </row>
    <row r="967" spans="1:28">
      <c r="A967" t="s">
        <v>993</v>
      </c>
      <c r="B967">
        <v>0.999984544473304</v>
      </c>
      <c r="C967">
        <v>1.0617436643547</v>
      </c>
      <c r="D967">
        <v>0.718273588256385</v>
      </c>
      <c r="E967">
        <v>1.08072343729919</v>
      </c>
      <c r="F967">
        <v>0.95814610924782</v>
      </c>
      <c r="G967">
        <v>0.773377838797685</v>
      </c>
      <c r="H967">
        <v>0.6947249235634469</v>
      </c>
      <c r="I967">
        <v>0.51673255941584</v>
      </c>
      <c r="J967">
        <v>0.339466115248988</v>
      </c>
      <c r="K967">
        <v>0.445857602499621</v>
      </c>
      <c r="L967">
        <v>975.809316911528</v>
      </c>
      <c r="M967">
        <v>17.1252291280959</v>
      </c>
      <c r="N967">
        <v>61.0806729051978</v>
      </c>
      <c r="O967">
        <v>56.2208503080157</v>
      </c>
      <c r="P967">
        <v>-0.0501412367582306</v>
      </c>
      <c r="Q967">
        <v>0.341599761598726</v>
      </c>
      <c r="R967">
        <v>0.830793347960691</v>
      </c>
      <c r="S967" t="s">
        <v>2635</v>
      </c>
      <c r="T967" t="s">
        <v>3312</v>
      </c>
      <c r="U967" t="s">
        <v>3312</v>
      </c>
      <c r="V967" t="s">
        <v>3312</v>
      </c>
      <c r="W967" t="s">
        <v>4277</v>
      </c>
      <c r="X967">
        <v>8</v>
      </c>
      <c r="Y967" t="s">
        <v>5918</v>
      </c>
      <c r="Z967" t="s">
        <v>7560</v>
      </c>
      <c r="AA967">
        <v>0.7860149172032139</v>
      </c>
      <c r="AB967">
        <f>HYPERLINK("Melting_Curves/meltCurve_P21363_yciE.pdf", "Melting_Curves/meltCurve_P21363_yciE.pdf")</f>
        <v>0</v>
      </c>
    </row>
    <row r="968" spans="1:28">
      <c r="A968" t="s">
        <v>994</v>
      </c>
      <c r="B968">
        <v>0.999984544473304</v>
      </c>
      <c r="C968">
        <v>0.884559140350507</v>
      </c>
      <c r="D968">
        <v>1.23514954195142</v>
      </c>
      <c r="E968">
        <v>1.13751009591178</v>
      </c>
      <c r="F968">
        <v>1.19070389596674</v>
      </c>
      <c r="G968">
        <v>1.13271973733187</v>
      </c>
      <c r="H968">
        <v>0.577781153904539</v>
      </c>
      <c r="I968">
        <v>0.105216303779127</v>
      </c>
      <c r="J968">
        <v>0.0274977036903835</v>
      </c>
      <c r="K968">
        <v>0.0135402157372347</v>
      </c>
      <c r="L968">
        <v>4710.15983082968</v>
      </c>
      <c r="M968">
        <v>81.8096666268446</v>
      </c>
      <c r="N968">
        <v>57.6409216321407</v>
      </c>
      <c r="O968">
        <v>57.5402370863182</v>
      </c>
      <c r="P968">
        <v>-0.339483181024779</v>
      </c>
      <c r="Q968">
        <v>0.044907964267064</v>
      </c>
      <c r="R968">
        <v>0.936776670340737</v>
      </c>
      <c r="S968" t="s">
        <v>2636</v>
      </c>
      <c r="T968" t="s">
        <v>3312</v>
      </c>
      <c r="U968" t="s">
        <v>3312</v>
      </c>
      <c r="V968" t="s">
        <v>3312</v>
      </c>
      <c r="W968" t="s">
        <v>4278</v>
      </c>
      <c r="X968">
        <v>5</v>
      </c>
      <c r="Y968" t="s">
        <v>5919</v>
      </c>
      <c r="Z968" t="s">
        <v>7561</v>
      </c>
      <c r="AA968">
        <v>0.7008321268316141</v>
      </c>
      <c r="AB968">
        <f>HYPERLINK("Melting_Curves/meltCurve_P21367_ycaC.pdf", "Melting_Curves/meltCurve_P21367_ycaC.pdf")</f>
        <v>0</v>
      </c>
    </row>
    <row r="969" spans="1:28">
      <c r="A969" t="s">
        <v>995</v>
      </c>
      <c r="B969">
        <v>0.999984544473304</v>
      </c>
      <c r="C969">
        <v>0.597519020610858</v>
      </c>
      <c r="D969">
        <v>0.8537771663293811</v>
      </c>
      <c r="E969">
        <v>0.864961648761457</v>
      </c>
      <c r="F969">
        <v>0.883935453761877</v>
      </c>
      <c r="G969">
        <v>0.594669702162082</v>
      </c>
      <c r="H969">
        <v>0.33437667317241</v>
      </c>
      <c r="I969">
        <v>0.233214276547727</v>
      </c>
      <c r="J969">
        <v>0.149584394313936</v>
      </c>
      <c r="K969">
        <v>0.175738702924248</v>
      </c>
      <c r="L969">
        <v>589.446639563718</v>
      </c>
      <c r="M969">
        <v>10.6828854938055</v>
      </c>
      <c r="N969">
        <v>55.1767119386975</v>
      </c>
      <c r="O969">
        <v>53.3486826379157</v>
      </c>
      <c r="P969">
        <v>-0.0500805201210041</v>
      </c>
      <c r="Q969">
        <v>0</v>
      </c>
      <c r="R969">
        <v>0.802727503224192</v>
      </c>
      <c r="S969" t="s">
        <v>2637</v>
      </c>
      <c r="T969" t="s">
        <v>3312</v>
      </c>
      <c r="U969" t="s">
        <v>3312</v>
      </c>
      <c r="V969" t="s">
        <v>3312</v>
      </c>
      <c r="W969" t="s">
        <v>4279</v>
      </c>
      <c r="X969">
        <v>1</v>
      </c>
      <c r="Y969" t="s">
        <v>5920</v>
      </c>
      <c r="Z969" t="s">
        <v>7562</v>
      </c>
      <c r="AA969">
        <v>0.6181198999258881</v>
      </c>
      <c r="AB969">
        <f>HYPERLINK("Melting_Curves/meltCurve_P21369_pncA.pdf", "Melting_Curves/meltCurve_P21369_pncA.pdf")</f>
        <v>0</v>
      </c>
    </row>
    <row r="970" spans="1:28">
      <c r="A970" t="s">
        <v>996</v>
      </c>
      <c r="B970">
        <v>0.999984544473304</v>
      </c>
      <c r="C970">
        <v>2.00718838148645</v>
      </c>
      <c r="D970">
        <v>1.45954323693904</v>
      </c>
      <c r="E970">
        <v>1.899667287188</v>
      </c>
      <c r="F970">
        <v>1.25012413842807</v>
      </c>
      <c r="G970">
        <v>0.385842602850238</v>
      </c>
      <c r="H970">
        <v>0.08933128507677281</v>
      </c>
      <c r="I970">
        <v>0.0607194289210949</v>
      </c>
      <c r="J970">
        <v>0.0504364854602477</v>
      </c>
      <c r="K970">
        <v>0.0563999546272477</v>
      </c>
      <c r="L970">
        <v>13415.1979811395</v>
      </c>
      <c r="M970">
        <v>250</v>
      </c>
      <c r="N970">
        <v>53.690317658425</v>
      </c>
      <c r="O970">
        <v>53.657357783606</v>
      </c>
      <c r="P970">
        <v>-1.08999291496093</v>
      </c>
      <c r="Q970">
        <v>0.06422176038616929</v>
      </c>
      <c r="R970">
        <v>0.63024930480858</v>
      </c>
      <c r="S970" t="s">
        <v>2638</v>
      </c>
      <c r="T970" t="s">
        <v>3312</v>
      </c>
      <c r="U970" t="s">
        <v>3312</v>
      </c>
      <c r="V970" t="s">
        <v>3312</v>
      </c>
      <c r="W970" t="s">
        <v>4280</v>
      </c>
      <c r="X970">
        <v>17</v>
      </c>
      <c r="Y970" t="s">
        <v>5921</v>
      </c>
      <c r="Z970" t="s">
        <v>7563</v>
      </c>
      <c r="AA970">
        <v>0.5840034374879619</v>
      </c>
      <c r="AB970">
        <f>HYPERLINK("Melting_Curves/meltCurve_P21499_rnr.pdf", "Melting_Curves/meltCurve_P21499_rnr.pdf")</f>
        <v>0</v>
      </c>
    </row>
    <row r="971" spans="1:28">
      <c r="A971" t="s">
        <v>997</v>
      </c>
      <c r="B971">
        <v>0.999984544473304</v>
      </c>
      <c r="C971">
        <v>1.07258974625836</v>
      </c>
      <c r="D971">
        <v>0.678129598608198</v>
      </c>
      <c r="E971">
        <v>0.33139664864272</v>
      </c>
      <c r="F971">
        <v>0.159222915564926</v>
      </c>
      <c r="G971">
        <v>0.0905649735859211</v>
      </c>
      <c r="H971">
        <v>0.0847584316877706</v>
      </c>
      <c r="I971">
        <v>0.0594268638726854</v>
      </c>
      <c r="J971">
        <v>0.0607861101690508</v>
      </c>
      <c r="K971">
        <v>0.0708014474351127</v>
      </c>
      <c r="L971">
        <v>1089.91572309653</v>
      </c>
      <c r="M971">
        <v>24.4463447625366</v>
      </c>
      <c r="N971">
        <v>44.8835685874314</v>
      </c>
      <c r="O971">
        <v>44.2888743985807</v>
      </c>
      <c r="P971">
        <v>-0.127608062712314</v>
      </c>
      <c r="Q971">
        <v>0.0752753659760349</v>
      </c>
      <c r="R971">
        <v>0.986670649254584</v>
      </c>
      <c r="S971" t="s">
        <v>2639</v>
      </c>
      <c r="T971" t="s">
        <v>3312</v>
      </c>
      <c r="U971" t="s">
        <v>3312</v>
      </c>
      <c r="V971" t="s">
        <v>3312</v>
      </c>
      <c r="W971" t="s">
        <v>4281</v>
      </c>
      <c r="X971">
        <v>2</v>
      </c>
      <c r="Y971" t="s">
        <v>5922</v>
      </c>
      <c r="Z971" t="s">
        <v>7564</v>
      </c>
      <c r="AA971">
        <v>0.3169961035869304</v>
      </c>
      <c r="AB971">
        <f>HYPERLINK("Melting_Curves/meltCurve_P21507_srmB.pdf", "Melting_Curves/meltCurve_P21507_srmB.pdf")</f>
        <v>0</v>
      </c>
    </row>
    <row r="972" spans="1:28">
      <c r="A972" t="s">
        <v>998</v>
      </c>
      <c r="B972">
        <v>0.999984544473304</v>
      </c>
      <c r="C972">
        <v>1.86482216124175</v>
      </c>
      <c r="D972">
        <v>0.8180121024222829</v>
      </c>
      <c r="E972">
        <v>0.437075849502965</v>
      </c>
      <c r="F972">
        <v>0.391789900022432</v>
      </c>
      <c r="G972">
        <v>0.322854226322002</v>
      </c>
      <c r="H972">
        <v>0.26975759208998</v>
      </c>
      <c r="I972">
        <v>0.246420504305253</v>
      </c>
      <c r="J972">
        <v>0.212295667938723</v>
      </c>
      <c r="K972">
        <v>0.273802792964605</v>
      </c>
      <c r="L972">
        <v>1818.22698064427</v>
      </c>
      <c r="M972">
        <v>40.5072026128029</v>
      </c>
      <c r="N972">
        <v>45.8462538250743</v>
      </c>
      <c r="O972">
        <v>44.7775342077951</v>
      </c>
      <c r="P972">
        <v>-0.161508968935303</v>
      </c>
      <c r="Q972">
        <v>0.28585951084969</v>
      </c>
      <c r="R972">
        <v>0.680509620168912</v>
      </c>
      <c r="S972" t="s">
        <v>2640</v>
      </c>
      <c r="T972" t="s">
        <v>3312</v>
      </c>
      <c r="U972" t="s">
        <v>3312</v>
      </c>
      <c r="V972" t="s">
        <v>3312</v>
      </c>
      <c r="W972" t="s">
        <v>4282</v>
      </c>
      <c r="X972">
        <v>8</v>
      </c>
      <c r="Y972" t="s">
        <v>5923</v>
      </c>
      <c r="Z972" t="s">
        <v>7565</v>
      </c>
      <c r="AA972">
        <v>0.4757591187302268</v>
      </c>
      <c r="AB972">
        <f>HYPERLINK("Melting_Curves/meltCurve_P21513_rne.pdf", "Melting_Curves/meltCurve_P21513_rne.pdf")</f>
        <v>0</v>
      </c>
    </row>
    <row r="973" spans="1:28">
      <c r="A973" t="s">
        <v>999</v>
      </c>
      <c r="B973">
        <v>0.999984544473304</v>
      </c>
      <c r="C973">
        <v>1.29630245442991</v>
      </c>
      <c r="D973">
        <v>1.29203534985678</v>
      </c>
      <c r="E973">
        <v>1.1598136658739</v>
      </c>
      <c r="F973">
        <v>0.871968848146473</v>
      </c>
      <c r="G973">
        <v>0.212116959546175</v>
      </c>
      <c r="H973">
        <v>0.0571778892565414</v>
      </c>
      <c r="I973">
        <v>0.0367570690617902</v>
      </c>
      <c r="J973">
        <v>0.0256256501098293</v>
      </c>
      <c r="K973">
        <v>0.0282687471534251</v>
      </c>
      <c r="L973">
        <v>2588.25891280156</v>
      </c>
      <c r="M973">
        <v>49.6100366504292</v>
      </c>
      <c r="N973">
        <v>52.247022362933</v>
      </c>
      <c r="O973">
        <v>52.087496098798</v>
      </c>
      <c r="P973">
        <v>-0.229932050504387</v>
      </c>
      <c r="Q973">
        <v>0.03434222438601</v>
      </c>
      <c r="R973">
        <v>0.93181631841739</v>
      </c>
      <c r="S973" t="s">
        <v>2641</v>
      </c>
      <c r="T973" t="s">
        <v>3312</v>
      </c>
      <c r="U973" t="s">
        <v>3312</v>
      </c>
      <c r="V973" t="s">
        <v>3312</v>
      </c>
      <c r="W973" t="s">
        <v>4283</v>
      </c>
      <c r="X973">
        <v>16</v>
      </c>
      <c r="Y973" t="s">
        <v>5924</v>
      </c>
      <c r="Z973" t="s">
        <v>7566</v>
      </c>
      <c r="AA973">
        <v>0.5249667686831053</v>
      </c>
      <c r="AB973">
        <f>HYPERLINK("Melting_Curves/meltCurve_P21599_pykA.pdf", "Melting_Curves/meltCurve_P21599_pykA.pdf")</f>
        <v>0</v>
      </c>
    </row>
    <row r="974" spans="1:28">
      <c r="A974" t="s">
        <v>1000</v>
      </c>
      <c r="B974">
        <v>0.999984544473304</v>
      </c>
      <c r="C974">
        <v>1.121608848018</v>
      </c>
      <c r="D974">
        <v>0.747812123376882</v>
      </c>
      <c r="E974">
        <v>0.490988576420352</v>
      </c>
      <c r="F974">
        <v>0.215660205578473</v>
      </c>
      <c r="G974">
        <v>0.11340736081761</v>
      </c>
      <c r="H974">
        <v>0.0462547614794887</v>
      </c>
      <c r="I974">
        <v>0.0192637822020422</v>
      </c>
      <c r="J974">
        <v>0.0105021075376962</v>
      </c>
      <c r="K974">
        <v>0.00539174962337552</v>
      </c>
      <c r="L974">
        <v>872.063025258404</v>
      </c>
      <c r="M974">
        <v>18.7916320332055</v>
      </c>
      <c r="N974">
        <v>46.4875956546944</v>
      </c>
      <c r="O974">
        <v>45.8910082001042</v>
      </c>
      <c r="P974">
        <v>-0.100734176399554</v>
      </c>
      <c r="Q974">
        <v>0.0160295765384327</v>
      </c>
      <c r="R974">
        <v>0.9801279942330779</v>
      </c>
      <c r="S974" t="s">
        <v>2642</v>
      </c>
      <c r="T974" t="s">
        <v>3312</v>
      </c>
      <c r="U974" t="s">
        <v>3312</v>
      </c>
      <c r="V974" t="s">
        <v>3312</v>
      </c>
      <c r="W974" t="s">
        <v>4284</v>
      </c>
      <c r="X974">
        <v>1</v>
      </c>
      <c r="Y974" t="s">
        <v>5925</v>
      </c>
      <c r="Z974" t="s">
        <v>7567</v>
      </c>
      <c r="AA974">
        <v>0.3391319381881495</v>
      </c>
      <c r="AB974">
        <f>HYPERLINK("Melting_Curves/meltCurve_P21645_lpxD.pdf", "Melting_Curves/meltCurve_P21645_lpxD.pdf")</f>
        <v>0</v>
      </c>
    </row>
    <row r="975" spans="1:28">
      <c r="A975" t="s">
        <v>1001</v>
      </c>
      <c r="B975">
        <v>0.999984544473304</v>
      </c>
      <c r="C975">
        <v>1.09513539132094</v>
      </c>
      <c r="D975">
        <v>1.18560394922299</v>
      </c>
      <c r="E975">
        <v>1.01223688366748</v>
      </c>
      <c r="F975">
        <v>0.632424287498613</v>
      </c>
      <c r="G975">
        <v>0.114149971333371</v>
      </c>
      <c r="H975">
        <v>0.0429332983041833</v>
      </c>
      <c r="I975">
        <v>0.0254895032421116</v>
      </c>
      <c r="J975">
        <v>0.0199296616347244</v>
      </c>
      <c r="K975">
        <v>0.018391199434316</v>
      </c>
      <c r="L975">
        <v>2226.88883372726</v>
      </c>
      <c r="M975">
        <v>43.8346119807662</v>
      </c>
      <c r="N975">
        <v>50.865806399494</v>
      </c>
      <c r="O975">
        <v>50.6966796869359</v>
      </c>
      <c r="P975">
        <v>-0.210385702753984</v>
      </c>
      <c r="Q975">
        <v>0.0267197817055658</v>
      </c>
      <c r="R975">
        <v>0.981266937629571</v>
      </c>
      <c r="S975" t="s">
        <v>2643</v>
      </c>
      <c r="T975" t="s">
        <v>3312</v>
      </c>
      <c r="U975" t="s">
        <v>3312</v>
      </c>
      <c r="V975" t="s">
        <v>3312</v>
      </c>
      <c r="W975" t="s">
        <v>4285</v>
      </c>
      <c r="X975">
        <v>9</v>
      </c>
      <c r="Y975" t="s">
        <v>5926</v>
      </c>
      <c r="Z975" t="s">
        <v>7568</v>
      </c>
      <c r="AA975">
        <v>0.4773364914591741</v>
      </c>
      <c r="AB975">
        <f>HYPERLINK("Melting_Curves/meltCurve_P21888_cysS.pdf", "Melting_Curves/meltCurve_P21888_cysS.pdf")</f>
        <v>0</v>
      </c>
    </row>
    <row r="976" spans="1:28">
      <c r="A976" t="s">
        <v>1002</v>
      </c>
      <c r="B976">
        <v>0.999984544473304</v>
      </c>
      <c r="C976">
        <v>0.904416443424091</v>
      </c>
      <c r="D976">
        <v>0.274137551843801</v>
      </c>
      <c r="E976">
        <v>0.13543162975752</v>
      </c>
      <c r="F976">
        <v>0.09072955590578841</v>
      </c>
      <c r="G976">
        <v>0.0725579237824678</v>
      </c>
      <c r="H976">
        <v>0.0454202984741451</v>
      </c>
      <c r="I976">
        <v>0.0184857980837385</v>
      </c>
      <c r="J976">
        <v>0.0116382943958215</v>
      </c>
      <c r="K976">
        <v>0.0114580105062142</v>
      </c>
      <c r="L976">
        <v>1773.19164236275</v>
      </c>
      <c r="M976">
        <v>42.3609692991067</v>
      </c>
      <c r="N976">
        <v>41.9680562380485</v>
      </c>
      <c r="O976">
        <v>41.7661279190959</v>
      </c>
      <c r="P976">
        <v>-0.240358750881448</v>
      </c>
      <c r="Q976">
        <v>0.0520672287894892</v>
      </c>
      <c r="R976">
        <v>0.990920458414583</v>
      </c>
      <c r="S976" t="s">
        <v>2644</v>
      </c>
      <c r="T976" t="s">
        <v>3312</v>
      </c>
      <c r="U976" t="s">
        <v>3312</v>
      </c>
      <c r="V976" t="s">
        <v>3312</v>
      </c>
      <c r="W976" t="s">
        <v>4286</v>
      </c>
      <c r="X976">
        <v>17</v>
      </c>
      <c r="Y976" t="s">
        <v>5927</v>
      </c>
      <c r="Z976" t="s">
        <v>7569</v>
      </c>
      <c r="AA976">
        <v>0.2081372292291042</v>
      </c>
      <c r="AB976">
        <f>HYPERLINK("Melting_Curves/meltCurve_P21889_aspS.pdf", "Melting_Curves/meltCurve_P21889_aspS.pdf")</f>
        <v>0</v>
      </c>
    </row>
    <row r="977" spans="1:28">
      <c r="A977" t="s">
        <v>1003</v>
      </c>
      <c r="B977">
        <v>0.999984544473304</v>
      </c>
      <c r="C977">
        <v>0.890377956209065</v>
      </c>
      <c r="D977">
        <v>0.7772058061064639</v>
      </c>
      <c r="E977">
        <v>0.32173385337665</v>
      </c>
      <c r="F977">
        <v>0.2036696970958</v>
      </c>
      <c r="G977">
        <v>0.147288909139899</v>
      </c>
      <c r="H977">
        <v>0.103535746598343</v>
      </c>
      <c r="I977">
        <v>0.114139176801533</v>
      </c>
      <c r="J977">
        <v>0.0962010132321119</v>
      </c>
      <c r="K977">
        <v>0.095284958084351</v>
      </c>
      <c r="L977">
        <v>1005.7199461709</v>
      </c>
      <c r="M977">
        <v>22.5140701955883</v>
      </c>
      <c r="N977">
        <v>45.1531412199585</v>
      </c>
      <c r="O977">
        <v>44.3227756192097</v>
      </c>
      <c r="P977">
        <v>-0.113416672336689</v>
      </c>
      <c r="Q977">
        <v>0.106898000381937</v>
      </c>
      <c r="R977">
        <v>0.993752726249293</v>
      </c>
      <c r="S977" t="s">
        <v>2645</v>
      </c>
      <c r="T977" t="s">
        <v>3312</v>
      </c>
      <c r="U977" t="s">
        <v>3312</v>
      </c>
      <c r="V977" t="s">
        <v>3312</v>
      </c>
      <c r="W977" t="s">
        <v>4287</v>
      </c>
      <c r="X977">
        <v>2</v>
      </c>
      <c r="Y977" t="s">
        <v>5928</v>
      </c>
      <c r="Z977" t="s">
        <v>7570</v>
      </c>
      <c r="AA977">
        <v>0.3444071171862435</v>
      </c>
      <c r="AB977">
        <f>HYPERLINK("Melting_Curves/meltCurve_P22106_asnB.pdf", "Melting_Curves/meltCurve_P22106_asnB.pdf")</f>
        <v>0</v>
      </c>
    </row>
    <row r="978" spans="1:28">
      <c r="A978" t="s">
        <v>1004</v>
      </c>
      <c r="B978">
        <v>0.999984544473304</v>
      </c>
      <c r="C978">
        <v>1.5718773559149</v>
      </c>
      <c r="D978">
        <v>1.46088795425512</v>
      </c>
      <c r="E978">
        <v>1.35299388574326</v>
      </c>
      <c r="F978">
        <v>0.781106961753338</v>
      </c>
      <c r="G978">
        <v>0.68166018885177</v>
      </c>
      <c r="H978">
        <v>0.690390713450568</v>
      </c>
      <c r="I978">
        <v>0.602837752772419</v>
      </c>
      <c r="J978">
        <v>0.364663914950296</v>
      </c>
      <c r="K978">
        <v>0.449752803865605</v>
      </c>
      <c r="L978">
        <v>1058.17928974831</v>
      </c>
      <c r="M978">
        <v>19.3524879134843</v>
      </c>
      <c r="N978">
        <v>61.4823001610924</v>
      </c>
      <c r="O978">
        <v>54.1054328474779</v>
      </c>
      <c r="P978">
        <v>-0.0499651623047107</v>
      </c>
      <c r="Q978">
        <v>0.441252950269911</v>
      </c>
      <c r="R978">
        <v>0.558682270455875</v>
      </c>
      <c r="S978" t="s">
        <v>2646</v>
      </c>
      <c r="T978" t="s">
        <v>3312</v>
      </c>
      <c r="U978" t="s">
        <v>3312</v>
      </c>
      <c r="V978" t="s">
        <v>3312</v>
      </c>
      <c r="W978" t="s">
        <v>4288</v>
      </c>
      <c r="X978">
        <v>2</v>
      </c>
      <c r="Y978" t="s">
        <v>5929</v>
      </c>
      <c r="Z978" t="s">
        <v>7571</v>
      </c>
      <c r="AA978">
        <v>0.7772619445230866</v>
      </c>
      <c r="AB978">
        <f>HYPERLINK("Melting_Curves/meltCurve_P22186_mraZ.pdf", "Melting_Curves/meltCurve_P22186_mraZ.pdf")</f>
        <v>0</v>
      </c>
    </row>
    <row r="979" spans="1:28">
      <c r="A979" t="s">
        <v>1005</v>
      </c>
      <c r="B979">
        <v>0.999984544473304</v>
      </c>
      <c r="C979">
        <v>1.03602298034738</v>
      </c>
      <c r="D979">
        <v>0.930069527646525</v>
      </c>
      <c r="E979">
        <v>0.766763793266212</v>
      </c>
      <c r="F979">
        <v>0.457069135756903</v>
      </c>
      <c r="G979">
        <v>0.197184048407708</v>
      </c>
      <c r="H979">
        <v>0.145688964209216</v>
      </c>
      <c r="I979">
        <v>0.126254781905594</v>
      </c>
      <c r="J979">
        <v>0.101228664253304</v>
      </c>
      <c r="K979">
        <v>0.0930546933089732</v>
      </c>
      <c r="L979">
        <v>1007.59638729175</v>
      </c>
      <c r="M979">
        <v>20.5501088008092</v>
      </c>
      <c r="N979">
        <v>49.5437470521315</v>
      </c>
      <c r="O979">
        <v>48.5739825418237</v>
      </c>
      <c r="P979">
        <v>-0.0956418517733723</v>
      </c>
      <c r="Q979">
        <v>0.09575762398073891</v>
      </c>
      <c r="R979">
        <v>0.997570273735451</v>
      </c>
      <c r="S979" t="s">
        <v>2647</v>
      </c>
      <c r="T979" t="s">
        <v>3312</v>
      </c>
      <c r="U979" t="s">
        <v>3312</v>
      </c>
      <c r="V979" t="s">
        <v>3312</v>
      </c>
      <c r="W979" t="s">
        <v>4289</v>
      </c>
      <c r="X979">
        <v>8</v>
      </c>
      <c r="Y979" t="s">
        <v>5930</v>
      </c>
      <c r="Z979" t="s">
        <v>7572</v>
      </c>
      <c r="AA979">
        <v>0.4697310165856232</v>
      </c>
      <c r="AB979">
        <f>HYPERLINK("Melting_Curves/meltCurve_P22188_murE.pdf", "Melting_Curves/meltCurve_P22188_murE.pdf")</f>
        <v>0</v>
      </c>
    </row>
    <row r="980" spans="1:28">
      <c r="A980" t="s">
        <v>1006</v>
      </c>
      <c r="B980">
        <v>0.999984544473304</v>
      </c>
      <c r="C980">
        <v>0.8738897031845489</v>
      </c>
      <c r="D980">
        <v>0.971053463907706</v>
      </c>
      <c r="E980">
        <v>1.05728745180688</v>
      </c>
      <c r="F980">
        <v>0.929581927960153</v>
      </c>
      <c r="G980">
        <v>0.492595922953072</v>
      </c>
      <c r="H980">
        <v>0.0955711885525156</v>
      </c>
      <c r="I980">
        <v>0.0452573436872201</v>
      </c>
      <c r="J980">
        <v>0.0319007961081418</v>
      </c>
      <c r="K980">
        <v>0.0378053043392261</v>
      </c>
      <c r="L980">
        <v>2120.97564184235</v>
      </c>
      <c r="M980">
        <v>39.5369146603546</v>
      </c>
      <c r="N980">
        <v>53.739992779112</v>
      </c>
      <c r="O980">
        <v>53.5087605037082</v>
      </c>
      <c r="P980">
        <v>-0.178516274026616</v>
      </c>
      <c r="Q980">
        <v>0.0335954223795494</v>
      </c>
      <c r="R980">
        <v>0.989106990813607</v>
      </c>
      <c r="S980" t="s">
        <v>2648</v>
      </c>
      <c r="T980" t="s">
        <v>3312</v>
      </c>
      <c r="U980" t="s">
        <v>3312</v>
      </c>
      <c r="V980" t="s">
        <v>3312</v>
      </c>
      <c r="W980" t="s">
        <v>4290</v>
      </c>
      <c r="X980">
        <v>5</v>
      </c>
      <c r="Y980" t="s">
        <v>5931</v>
      </c>
      <c r="Z980" t="s">
        <v>7573</v>
      </c>
      <c r="AA980">
        <v>0.5734456874174985</v>
      </c>
      <c r="AB980">
        <f>HYPERLINK("Melting_Curves/meltCurve_P22255_cysQ.pdf", "Melting_Curves/meltCurve_P22255_cysQ.pdf")</f>
        <v>0</v>
      </c>
    </row>
    <row r="981" spans="1:28">
      <c r="A981" t="s">
        <v>1007</v>
      </c>
      <c r="B981">
        <v>0.999984544473304</v>
      </c>
      <c r="C981">
        <v>1.08190718888549</v>
      </c>
      <c r="D981">
        <v>1.15697273254648</v>
      </c>
      <c r="E981">
        <v>1.02491981392152</v>
      </c>
      <c r="F981">
        <v>1.05013854930513</v>
      </c>
      <c r="G981">
        <v>1.08298707279732</v>
      </c>
      <c r="H981">
        <v>0.759882183760943</v>
      </c>
      <c r="I981">
        <v>0.579033178277308</v>
      </c>
      <c r="J981">
        <v>0.358148589110695</v>
      </c>
      <c r="K981">
        <v>0.107187333372374</v>
      </c>
      <c r="L981">
        <v>1360.0240972853</v>
      </c>
      <c r="M981">
        <v>22.0127870486973</v>
      </c>
      <c r="N981">
        <v>61.7833668195343</v>
      </c>
      <c r="O981">
        <v>61.2802610573335</v>
      </c>
      <c r="P981">
        <v>-0.0898057423818862</v>
      </c>
      <c r="Q981">
        <v>0</v>
      </c>
      <c r="R981">
        <v>0.947644867128278</v>
      </c>
      <c r="S981" t="s">
        <v>2649</v>
      </c>
      <c r="T981" t="s">
        <v>3312</v>
      </c>
      <c r="U981" t="s">
        <v>3312</v>
      </c>
      <c r="V981" t="s">
        <v>3312</v>
      </c>
      <c r="W981" t="s">
        <v>4291</v>
      </c>
      <c r="X981">
        <v>18</v>
      </c>
      <c r="Y981" t="s">
        <v>5932</v>
      </c>
      <c r="Z981" t="s">
        <v>7574</v>
      </c>
      <c r="AA981">
        <v>0.8200669679256862</v>
      </c>
      <c r="AB981">
        <f>HYPERLINK("Melting_Curves/meltCurve_P22256_gabT.pdf", "Melting_Curves/meltCurve_P22256_gabT.pdf")</f>
        <v>0</v>
      </c>
    </row>
    <row r="982" spans="1:28">
      <c r="A982" t="s">
        <v>1008</v>
      </c>
      <c r="B982">
        <v>0.999984544473304</v>
      </c>
      <c r="C982">
        <v>1.10823624207095</v>
      </c>
      <c r="D982">
        <v>1.00374026290389</v>
      </c>
      <c r="E982">
        <v>1.08125409195801</v>
      </c>
      <c r="F982">
        <v>1.1690104369748</v>
      </c>
      <c r="G982">
        <v>0.841718907524597</v>
      </c>
      <c r="H982">
        <v>0.395328732018185</v>
      </c>
      <c r="I982">
        <v>0.06663694227428379</v>
      </c>
      <c r="J982">
        <v>0.025947535368159</v>
      </c>
      <c r="K982">
        <v>0.019281948388636</v>
      </c>
      <c r="L982">
        <v>2105.20590141257</v>
      </c>
      <c r="M982">
        <v>37.1852039769496</v>
      </c>
      <c r="N982">
        <v>56.6528742930961</v>
      </c>
      <c r="O982">
        <v>56.4510894116289</v>
      </c>
      <c r="P982">
        <v>-0.16260883167313</v>
      </c>
      <c r="Q982">
        <v>0.0125728822668109</v>
      </c>
      <c r="R982">
        <v>0.9759819635947961</v>
      </c>
      <c r="S982" t="s">
        <v>2650</v>
      </c>
      <c r="T982" t="s">
        <v>3312</v>
      </c>
      <c r="U982" t="s">
        <v>3312</v>
      </c>
      <c r="V982" t="s">
        <v>3312</v>
      </c>
      <c r="W982" t="s">
        <v>4292</v>
      </c>
      <c r="X982">
        <v>20</v>
      </c>
      <c r="Y982" t="s">
        <v>5933</v>
      </c>
      <c r="Z982" t="s">
        <v>7575</v>
      </c>
      <c r="AA982">
        <v>0.6623985909771957</v>
      </c>
      <c r="AB982">
        <f>HYPERLINK("Melting_Curves/meltCurve_P22259_pckA.pdf", "Melting_Curves/meltCurve_P22259_pckA.pdf")</f>
        <v>0</v>
      </c>
    </row>
    <row r="983" spans="1:28">
      <c r="A983" t="s">
        <v>1009</v>
      </c>
      <c r="B983">
        <v>0.999984544473304</v>
      </c>
      <c r="C983">
        <v>0.763289815959201</v>
      </c>
      <c r="D983">
        <v>0.665642617694936</v>
      </c>
      <c r="E983">
        <v>0.530596602754222</v>
      </c>
      <c r="F983">
        <v>0.464210544217775</v>
      </c>
      <c r="G983">
        <v>0.311745428402203</v>
      </c>
      <c r="H983">
        <v>0.231688500844436</v>
      </c>
      <c r="I983">
        <v>0.179717679132827</v>
      </c>
      <c r="J983">
        <v>0.129481579467115</v>
      </c>
      <c r="K983">
        <v>0.143797394662172</v>
      </c>
      <c r="L983">
        <v>369.872664913963</v>
      </c>
      <c r="M983">
        <v>7.83273651308739</v>
      </c>
      <c r="N983">
        <v>47.7919766975886</v>
      </c>
      <c r="O983">
        <v>44.4402421668435</v>
      </c>
      <c r="P983">
        <v>-0.0421479206217657</v>
      </c>
      <c r="Q983">
        <v>0.0446380982573355</v>
      </c>
      <c r="R983">
        <v>0.978286608233125</v>
      </c>
      <c r="S983" t="s">
        <v>2651</v>
      </c>
      <c r="T983" t="s">
        <v>3312</v>
      </c>
      <c r="U983" t="s">
        <v>3312</v>
      </c>
      <c r="V983" t="s">
        <v>3312</v>
      </c>
      <c r="W983" t="s">
        <v>4293</v>
      </c>
      <c r="X983">
        <v>6</v>
      </c>
      <c r="Y983" t="s">
        <v>5934</v>
      </c>
      <c r="Z983" t="s">
        <v>7576</v>
      </c>
      <c r="AA983">
        <v>0.4250710704895866</v>
      </c>
      <c r="AB983">
        <f>HYPERLINK("Melting_Curves/meltCurve_P22333_add.pdf", "Melting_Curves/meltCurve_P22333_add.pdf")</f>
        <v>0</v>
      </c>
    </row>
    <row r="984" spans="1:28">
      <c r="A984" t="s">
        <v>1010</v>
      </c>
      <c r="B984">
        <v>0.999984544473304</v>
      </c>
      <c r="C984">
        <v>0.840867197429745</v>
      </c>
      <c r="D984">
        <v>0.740338124213139</v>
      </c>
      <c r="E984">
        <v>0.746038037602383</v>
      </c>
      <c r="F984">
        <v>0.567942560378581</v>
      </c>
      <c r="G984">
        <v>0.350836434044608</v>
      </c>
      <c r="H984">
        <v>0.262650893258006</v>
      </c>
      <c r="I984">
        <v>0.151801323692988</v>
      </c>
      <c r="J984">
        <v>0.0909488588392125</v>
      </c>
      <c r="K984">
        <v>0.08227273711228041</v>
      </c>
      <c r="L984">
        <v>452.748173299074</v>
      </c>
      <c r="M984">
        <v>8.965120732851551</v>
      </c>
      <c r="N984">
        <v>50.5010672999438</v>
      </c>
      <c r="O984">
        <v>48.1781357139726</v>
      </c>
      <c r="P984">
        <v>-0.046554975976908</v>
      </c>
      <c r="Q984">
        <v>0</v>
      </c>
      <c r="R984">
        <v>0.9761568527237759</v>
      </c>
      <c r="S984" t="s">
        <v>2652</v>
      </c>
      <c r="T984" t="s">
        <v>3312</v>
      </c>
      <c r="U984" t="s">
        <v>3312</v>
      </c>
      <c r="V984" t="s">
        <v>3312</v>
      </c>
      <c r="W984" t="s">
        <v>4294</v>
      </c>
      <c r="X984">
        <v>5</v>
      </c>
      <c r="Y984" t="s">
        <v>5935</v>
      </c>
      <c r="Z984" t="s">
        <v>7577</v>
      </c>
      <c r="AA984">
        <v>0.4851486103505524</v>
      </c>
      <c r="AB984">
        <f>HYPERLINK("Melting_Curves/meltCurve_P22524_mukE.pdf", "Melting_Curves/meltCurve_P22524_mukE.pdf")</f>
        <v>0</v>
      </c>
    </row>
    <row r="985" spans="1:28">
      <c r="A985" t="s">
        <v>1011</v>
      </c>
      <c r="B985">
        <v>0.999984544473304</v>
      </c>
      <c r="C985">
        <v>1.01668765098382</v>
      </c>
      <c r="D985">
        <v>0.969404617478086</v>
      </c>
      <c r="E985">
        <v>0.883364920688929</v>
      </c>
      <c r="F985">
        <v>1.02430081800147</v>
      </c>
      <c r="G985">
        <v>0.999879059225676</v>
      </c>
      <c r="H985">
        <v>0.828050391544399</v>
      </c>
      <c r="I985">
        <v>0.829690231693414</v>
      </c>
      <c r="J985">
        <v>0.800935415628337</v>
      </c>
      <c r="K985">
        <v>0.675791920828426</v>
      </c>
      <c r="L985">
        <v>521.149950705798</v>
      </c>
      <c r="M985">
        <v>6.95573510023093</v>
      </c>
      <c r="Q985">
        <v>0</v>
      </c>
      <c r="R985">
        <v>0.804882535276697</v>
      </c>
      <c r="S985" t="s">
        <v>2653</v>
      </c>
      <c r="T985" t="s">
        <v>3312</v>
      </c>
      <c r="U985" t="s">
        <v>3312</v>
      </c>
      <c r="V985" t="s">
        <v>3312</v>
      </c>
      <c r="W985" t="s">
        <v>4295</v>
      </c>
      <c r="X985">
        <v>1</v>
      </c>
      <c r="Y985" t="s">
        <v>5936</v>
      </c>
      <c r="Z985" t="s">
        <v>7578</v>
      </c>
      <c r="AA985">
        <v>0.9169451874968809</v>
      </c>
      <c r="AB985">
        <f>HYPERLINK("Melting_Curves/meltCurve_P22564_rihC.pdf", "Melting_Curves/meltCurve_P22564_rihC.pdf")</f>
        <v>0</v>
      </c>
    </row>
    <row r="986" spans="1:28">
      <c r="A986" t="s">
        <v>1012</v>
      </c>
      <c r="B986">
        <v>0.999984544473304</v>
      </c>
      <c r="C986">
        <v>0.650229608259782</v>
      </c>
      <c r="D986">
        <v>0.364465570971059</v>
      </c>
      <c r="E986">
        <v>0.167651815410406</v>
      </c>
      <c r="F986">
        <v>0.113199176757078</v>
      </c>
      <c r="G986">
        <v>0.0834072404176469</v>
      </c>
      <c r="H986">
        <v>0.0506487576310497</v>
      </c>
      <c r="I986">
        <v>0.0538740910494959</v>
      </c>
      <c r="J986">
        <v>0.0353091361928109</v>
      </c>
      <c r="K986">
        <v>0.0476250205081775</v>
      </c>
      <c r="L986">
        <v>830.411087917231</v>
      </c>
      <c r="M986">
        <v>20.0730111273828</v>
      </c>
      <c r="N986">
        <v>41.6304356535424</v>
      </c>
      <c r="O986">
        <v>40.9654862166941</v>
      </c>
      <c r="P986">
        <v>-0.115262957379328</v>
      </c>
      <c r="Q986">
        <v>0.0591039393472042</v>
      </c>
      <c r="R986">
        <v>0.988613796184135</v>
      </c>
      <c r="S986" t="s">
        <v>2654</v>
      </c>
      <c r="T986" t="s">
        <v>3312</v>
      </c>
      <c r="U986" t="s">
        <v>3312</v>
      </c>
      <c r="V986" t="s">
        <v>3312</v>
      </c>
      <c r="W986" t="s">
        <v>4296</v>
      </c>
      <c r="X986">
        <v>2</v>
      </c>
      <c r="Y986" t="s">
        <v>5937</v>
      </c>
      <c r="Z986" t="s">
        <v>7579</v>
      </c>
      <c r="AA986">
        <v>0.2112871508123699</v>
      </c>
      <c r="AB986">
        <f>HYPERLINK("Melting_Curves/meltCurve_P22939_ispA.pdf", "Melting_Curves/meltCurve_P22939_ispA.pdf")</f>
        <v>0</v>
      </c>
    </row>
    <row r="987" spans="1:28">
      <c r="A987" t="s">
        <v>1013</v>
      </c>
      <c r="B987">
        <v>0.999984544473304</v>
      </c>
      <c r="C987">
        <v>0.886679658471802</v>
      </c>
      <c r="D987">
        <v>0.640880053483846</v>
      </c>
      <c r="E987">
        <v>0.474503774778689</v>
      </c>
      <c r="F987">
        <v>0.571860219312842</v>
      </c>
      <c r="G987">
        <v>0.509178764947133</v>
      </c>
      <c r="H987">
        <v>0.316532274117094</v>
      </c>
      <c r="I987">
        <v>0.079034444165966</v>
      </c>
      <c r="J987">
        <v>0.0345506757893633</v>
      </c>
      <c r="K987">
        <v>0.0636432050511694</v>
      </c>
      <c r="L987">
        <v>376.406810261224</v>
      </c>
      <c r="M987">
        <v>7.65280260278655</v>
      </c>
      <c r="N987">
        <v>49.1854822996388</v>
      </c>
      <c r="O987">
        <v>46.1645281788318</v>
      </c>
      <c r="P987">
        <v>-0.0414983828119711</v>
      </c>
      <c r="Q987">
        <v>0</v>
      </c>
      <c r="R987">
        <v>0.896585045748561</v>
      </c>
      <c r="S987" t="s">
        <v>2655</v>
      </c>
      <c r="T987" t="s">
        <v>3312</v>
      </c>
      <c r="U987" t="s">
        <v>3312</v>
      </c>
      <c r="V987" t="s">
        <v>3312</v>
      </c>
      <c r="W987" t="s">
        <v>4297</v>
      </c>
      <c r="X987">
        <v>1</v>
      </c>
      <c r="Y987" t="s">
        <v>5938</v>
      </c>
      <c r="Z987" t="s">
        <v>7580</v>
      </c>
      <c r="AA987">
        <v>0.4532574055085447</v>
      </c>
      <c r="AB987">
        <f>HYPERLINK("Melting_Curves/meltCurve_P23003_trmA.pdf", "Melting_Curves/meltCurve_P23003_trmA.pdf")</f>
        <v>0</v>
      </c>
    </row>
    <row r="988" spans="1:28">
      <c r="A988" t="s">
        <v>1014</v>
      </c>
      <c r="B988">
        <v>0.999984544473304</v>
      </c>
      <c r="C988">
        <v>1.30961832035613</v>
      </c>
      <c r="D988">
        <v>0.5753561659763849</v>
      </c>
      <c r="E988">
        <v>0.40672952637628</v>
      </c>
      <c r="F988">
        <v>0.174978304333584</v>
      </c>
      <c r="G988">
        <v>0.101536940411388</v>
      </c>
      <c r="H988">
        <v>0.07442950942164089</v>
      </c>
      <c r="I988">
        <v>0.049560088931387</v>
      </c>
      <c r="J988">
        <v>0.035977199700467</v>
      </c>
      <c r="K988">
        <v>0.0305412182463576</v>
      </c>
      <c r="L988">
        <v>1024.84354896108</v>
      </c>
      <c r="M988">
        <v>22.8195846634874</v>
      </c>
      <c r="N988">
        <v>45.170490333571</v>
      </c>
      <c r="O988">
        <v>44.5700733379247</v>
      </c>
      <c r="P988">
        <v>-0.120129624989217</v>
      </c>
      <c r="Q988">
        <v>0.0614933832993369</v>
      </c>
      <c r="R988">
        <v>0.9094669497843511</v>
      </c>
      <c r="S988" t="s">
        <v>2656</v>
      </c>
      <c r="T988" t="s">
        <v>3312</v>
      </c>
      <c r="U988" t="s">
        <v>3312</v>
      </c>
      <c r="V988" t="s">
        <v>3312</v>
      </c>
      <c r="W988" t="s">
        <v>4298</v>
      </c>
      <c r="X988">
        <v>1</v>
      </c>
      <c r="Y988" t="s">
        <v>5939</v>
      </c>
      <c r="Z988" t="s">
        <v>7581</v>
      </c>
      <c r="AA988">
        <v>0.3183055425022971</v>
      </c>
      <c r="AB988">
        <f>HYPERLINK("Melting_Curves/meltCurve_P23173_tnaB.pdf", "Melting_Curves/meltCurve_P23173_tnaB.pdf")</f>
        <v>0</v>
      </c>
    </row>
    <row r="989" spans="1:28">
      <c r="A989" t="s">
        <v>1015</v>
      </c>
      <c r="B989">
        <v>0.999984544473304</v>
      </c>
      <c r="C989">
        <v>1.45052223717263</v>
      </c>
      <c r="D989">
        <v>0.786592163570535</v>
      </c>
      <c r="E989">
        <v>0.625267310700498</v>
      </c>
      <c r="F989">
        <v>0.265990211433001</v>
      </c>
      <c r="G989">
        <v>0.120230800412014</v>
      </c>
      <c r="H989">
        <v>0.0436310983473179</v>
      </c>
      <c r="I989">
        <v>0.0203681131468236</v>
      </c>
      <c r="J989">
        <v>0.0186461671731169</v>
      </c>
      <c r="K989">
        <v>0.0120152246211413</v>
      </c>
      <c r="L989">
        <v>1035.05841333514</v>
      </c>
      <c r="M989">
        <v>21.746090248133</v>
      </c>
      <c r="N989">
        <v>47.6901765908208</v>
      </c>
      <c r="O989">
        <v>47.2004269107933</v>
      </c>
      <c r="P989">
        <v>-0.112797877605099</v>
      </c>
      <c r="Q989">
        <v>0.0207005550784264</v>
      </c>
      <c r="R989">
        <v>0.899312372729164</v>
      </c>
      <c r="S989" t="s">
        <v>2657</v>
      </c>
      <c r="T989" t="s">
        <v>3312</v>
      </c>
      <c r="U989" t="s">
        <v>3312</v>
      </c>
      <c r="V989" t="s">
        <v>3312</v>
      </c>
      <c r="W989" t="s">
        <v>4299</v>
      </c>
      <c r="X989">
        <v>2</v>
      </c>
      <c r="Y989" t="s">
        <v>5940</v>
      </c>
      <c r="Z989" t="s">
        <v>7582</v>
      </c>
      <c r="AA989">
        <v>0.3775617185359634</v>
      </c>
      <c r="AB989">
        <f>HYPERLINK("Melting_Curves/meltCurve_P23200_mglC.pdf", "Melting_Curves/meltCurve_P23200_mglC.pdf")</f>
        <v>0</v>
      </c>
    </row>
    <row r="990" spans="1:28">
      <c r="A990" t="s">
        <v>1016</v>
      </c>
      <c r="B990">
        <v>0.999984544473304</v>
      </c>
      <c r="C990">
        <v>0.818832167411599</v>
      </c>
      <c r="D990">
        <v>0.635965816384395</v>
      </c>
      <c r="E990">
        <v>0.611408040015373</v>
      </c>
      <c r="F990">
        <v>0.470152229368707</v>
      </c>
      <c r="G990">
        <v>0.376070848063411</v>
      </c>
      <c r="H990">
        <v>0.202642594124274</v>
      </c>
      <c r="I990">
        <v>0.177745295671893</v>
      </c>
      <c r="J990">
        <v>0.129713437790119</v>
      </c>
      <c r="K990">
        <v>0.150799302452951</v>
      </c>
      <c r="L990">
        <v>360.325236629925</v>
      </c>
      <c r="M990">
        <v>7.41510563198874</v>
      </c>
      <c r="N990">
        <v>48.6999088533078</v>
      </c>
      <c r="O990">
        <v>45.4347958684854</v>
      </c>
      <c r="P990">
        <v>-0.0405333349695563</v>
      </c>
      <c r="Q990">
        <v>0.00804319271118889</v>
      </c>
      <c r="R990">
        <v>0.97236839652663</v>
      </c>
      <c r="S990" t="s">
        <v>2658</v>
      </c>
      <c r="T990" t="s">
        <v>3312</v>
      </c>
      <c r="U990" t="s">
        <v>3312</v>
      </c>
      <c r="V990" t="s">
        <v>3312</v>
      </c>
      <c r="W990" t="s">
        <v>4300</v>
      </c>
      <c r="X990">
        <v>3</v>
      </c>
      <c r="Y990" t="s">
        <v>5941</v>
      </c>
      <c r="Z990" t="s">
        <v>7583</v>
      </c>
      <c r="AA990">
        <v>0.4431011409006748</v>
      </c>
      <c r="AB990">
        <f>HYPERLINK("Melting_Curves/meltCurve_P23256_malY.pdf", "Melting_Curves/meltCurve_P23256_malY.pdf")</f>
        <v>0</v>
      </c>
    </row>
    <row r="991" spans="1:28">
      <c r="A991" t="s">
        <v>1017</v>
      </c>
      <c r="B991">
        <v>0.999984544473304</v>
      </c>
      <c r="C991">
        <v>0.965247783849394</v>
      </c>
      <c r="D991">
        <v>1.16250236046537</v>
      </c>
      <c r="E991">
        <v>0.885022077409383</v>
      </c>
      <c r="F991">
        <v>1.0209652883304</v>
      </c>
      <c r="G991">
        <v>0.870775067917778</v>
      </c>
      <c r="H991">
        <v>0.887491303449231</v>
      </c>
      <c r="I991">
        <v>0.87277886198109</v>
      </c>
      <c r="J991">
        <v>0.8383205151993099</v>
      </c>
      <c r="K991">
        <v>0.6283087749788669</v>
      </c>
      <c r="L991">
        <v>596.839845393504</v>
      </c>
      <c r="M991">
        <v>8.125162193566609</v>
      </c>
      <c r="Q991">
        <v>0</v>
      </c>
      <c r="R991">
        <v>0.668929247540345</v>
      </c>
      <c r="S991" t="s">
        <v>2659</v>
      </c>
      <c r="T991" t="s">
        <v>3312</v>
      </c>
      <c r="U991" t="s">
        <v>3312</v>
      </c>
      <c r="V991" t="s">
        <v>3312</v>
      </c>
      <c r="W991" t="s">
        <v>4301</v>
      </c>
      <c r="X991">
        <v>2</v>
      </c>
      <c r="Y991" t="s">
        <v>5942</v>
      </c>
      <c r="Z991" t="s">
        <v>7584</v>
      </c>
      <c r="AA991">
        <v>0.9231593813212479</v>
      </c>
      <c r="AB991">
        <f>HYPERLINK("Melting_Curves/meltCurve_P23331_tdk.pdf", "Melting_Curves/meltCurve_P23331_tdk.pdf")</f>
        <v>0</v>
      </c>
    </row>
    <row r="992" spans="1:28">
      <c r="A992" t="s">
        <v>1018</v>
      </c>
      <c r="B992">
        <v>0.999984544473304</v>
      </c>
      <c r="C992">
        <v>1.04479384351939</v>
      </c>
      <c r="D992">
        <v>0.62202475687375</v>
      </c>
      <c r="E992">
        <v>0.663537055378507</v>
      </c>
      <c r="F992">
        <v>0.862643630711999</v>
      </c>
      <c r="G992">
        <v>0.567130958816465</v>
      </c>
      <c r="H992">
        <v>0.637491923120357</v>
      </c>
      <c r="I992">
        <v>0.277807817694359</v>
      </c>
      <c r="J992">
        <v>0.152914066333894</v>
      </c>
      <c r="K992">
        <v>0</v>
      </c>
      <c r="L992">
        <v>457.538724592638</v>
      </c>
      <c r="M992">
        <v>8.300570885982481</v>
      </c>
      <c r="N992">
        <v>55.1213518410384</v>
      </c>
      <c r="O992">
        <v>52.2000411039185</v>
      </c>
      <c r="P992">
        <v>-0.0397928242531448</v>
      </c>
      <c r="Q992">
        <v>0</v>
      </c>
      <c r="R992">
        <v>0.783915481676445</v>
      </c>
      <c r="S992" t="s">
        <v>2660</v>
      </c>
      <c r="T992" t="s">
        <v>3312</v>
      </c>
      <c r="U992" t="s">
        <v>3312</v>
      </c>
      <c r="V992" t="s">
        <v>3312</v>
      </c>
      <c r="W992" t="s">
        <v>4302</v>
      </c>
      <c r="X992">
        <v>1</v>
      </c>
      <c r="Y992" t="s">
        <v>5943</v>
      </c>
      <c r="Z992" t="s">
        <v>7585</v>
      </c>
      <c r="AA992">
        <v>0.6109873988060709</v>
      </c>
      <c r="AB992">
        <f>HYPERLINK("Melting_Curves/meltCurve_P23367_mutL.pdf", "Melting_Curves/meltCurve_P23367_mutL.pdf")</f>
        <v>0</v>
      </c>
    </row>
    <row r="993" spans="1:28">
      <c r="A993" t="s">
        <v>1019</v>
      </c>
      <c r="B993">
        <v>0.999984544473304</v>
      </c>
      <c r="C993">
        <v>0.917136098535292</v>
      </c>
      <c r="D993">
        <v>1.08331951471839</v>
      </c>
      <c r="E993">
        <v>1.02850762733445</v>
      </c>
      <c r="F993">
        <v>0.975923286480272</v>
      </c>
      <c r="G993">
        <v>1.04401202554452</v>
      </c>
      <c r="H993">
        <v>0.5409932341653541</v>
      </c>
      <c r="I993">
        <v>0.216122581520079</v>
      </c>
      <c r="J993">
        <v>0.0517311775179589</v>
      </c>
      <c r="K993">
        <v>0.0335582468053478</v>
      </c>
      <c r="L993">
        <v>2296.32601057843</v>
      </c>
      <c r="M993">
        <v>39.7733128079711</v>
      </c>
      <c r="N993">
        <v>57.8992624349162</v>
      </c>
      <c r="O993">
        <v>57.5899700458678</v>
      </c>
      <c r="P993">
        <v>-0.163465334720959</v>
      </c>
      <c r="Q993">
        <v>0.0532401512540438</v>
      </c>
      <c r="R993">
        <v>0.982350309103711</v>
      </c>
      <c r="S993" t="s">
        <v>2661</v>
      </c>
      <c r="T993" t="s">
        <v>3312</v>
      </c>
      <c r="U993" t="s">
        <v>3312</v>
      </c>
      <c r="V993" t="s">
        <v>3312</v>
      </c>
      <c r="W993" t="s">
        <v>4303</v>
      </c>
      <c r="X993">
        <v>3</v>
      </c>
      <c r="Y993" t="s">
        <v>5944</v>
      </c>
      <c r="Z993" t="s">
        <v>7586</v>
      </c>
      <c r="AA993">
        <v>0.7111751617520606</v>
      </c>
      <c r="AB993">
        <f>HYPERLINK("Melting_Curves/meltCurve_P23522_garL.pdf", "Melting_Curves/meltCurve_P23522_garL.pdf")</f>
        <v>0</v>
      </c>
    </row>
    <row r="994" spans="1:28">
      <c r="A994" t="s">
        <v>1020</v>
      </c>
      <c r="B994">
        <v>0.999984544473304</v>
      </c>
      <c r="C994">
        <v>1.06319573108761</v>
      </c>
      <c r="D994">
        <v>0.590321651869478</v>
      </c>
      <c r="E994">
        <v>0.335798033711872</v>
      </c>
      <c r="F994">
        <v>0.13728956335502</v>
      </c>
      <c r="G994">
        <v>0.07669124893171871</v>
      </c>
      <c r="H994">
        <v>0.0565294867156358</v>
      </c>
      <c r="I994">
        <v>0.0426461262483748</v>
      </c>
      <c r="J994">
        <v>0.0342556847024722</v>
      </c>
      <c r="K994">
        <v>0.0357993321750857</v>
      </c>
      <c r="L994">
        <v>970.455618831051</v>
      </c>
      <c r="M994">
        <v>21.8890850324703</v>
      </c>
      <c r="N994">
        <v>44.5463852232075</v>
      </c>
      <c r="O994">
        <v>43.9700787818017</v>
      </c>
      <c r="P994">
        <v>-0.118321680113492</v>
      </c>
      <c r="Q994">
        <v>0.0492987557154122</v>
      </c>
      <c r="R994">
        <v>0.979411151436044</v>
      </c>
      <c r="S994" t="s">
        <v>2662</v>
      </c>
      <c r="T994" t="s">
        <v>3312</v>
      </c>
      <c r="U994" t="s">
        <v>3312</v>
      </c>
      <c r="V994" t="s">
        <v>3312</v>
      </c>
      <c r="W994" t="s">
        <v>4304</v>
      </c>
      <c r="X994">
        <v>16</v>
      </c>
      <c r="Y994" t="s">
        <v>5945</v>
      </c>
      <c r="Z994" t="s">
        <v>7587</v>
      </c>
      <c r="AA994">
        <v>0.292129973912267</v>
      </c>
      <c r="AB994">
        <f>HYPERLINK("Melting_Curves/meltCurve_P23538_ppsA.pdf", "Melting_Curves/meltCurve_P23538_ppsA.pdf")</f>
        <v>0</v>
      </c>
    </row>
    <row r="995" spans="1:28">
      <c r="A995" t="s">
        <v>1021</v>
      </c>
      <c r="B995">
        <v>0.999984544473304</v>
      </c>
      <c r="C995">
        <v>0.977479462693246</v>
      </c>
      <c r="D995">
        <v>1.05343713907373</v>
      </c>
      <c r="E995">
        <v>0.959611405592998</v>
      </c>
      <c r="F995">
        <v>1.15063048710111</v>
      </c>
      <c r="G995">
        <v>1.08819514486829</v>
      </c>
      <c r="H995">
        <v>0.9488611269573189</v>
      </c>
      <c r="I995">
        <v>0.264705980182318</v>
      </c>
      <c r="J995">
        <v>0.06967217292870501</v>
      </c>
      <c r="K995">
        <v>0.0288130390416963</v>
      </c>
      <c r="L995">
        <v>3940.29849183159</v>
      </c>
      <c r="M995">
        <v>65.78022479611499</v>
      </c>
      <c r="N995">
        <v>59.9806084438123</v>
      </c>
      <c r="O995">
        <v>59.8456901392222</v>
      </c>
      <c r="P995">
        <v>-0.263297940206627</v>
      </c>
      <c r="Q995">
        <v>0.0418252825962992</v>
      </c>
      <c r="R995">
        <v>0.979817270191216</v>
      </c>
      <c r="S995" t="s">
        <v>2663</v>
      </c>
      <c r="T995" t="s">
        <v>3312</v>
      </c>
      <c r="U995" t="s">
        <v>3312</v>
      </c>
      <c r="V995" t="s">
        <v>3312</v>
      </c>
      <c r="W995" t="s">
        <v>4305</v>
      </c>
      <c r="X995">
        <v>10</v>
      </c>
      <c r="Y995" t="s">
        <v>5946</v>
      </c>
      <c r="Z995" t="s">
        <v>7588</v>
      </c>
      <c r="AA995">
        <v>0.7746864611508182</v>
      </c>
      <c r="AB995">
        <f>HYPERLINK("Melting_Curves/meltCurve_P23721_serC.pdf", "Melting_Curves/meltCurve_P23721_serC.pdf")</f>
        <v>0</v>
      </c>
    </row>
    <row r="996" spans="1:28">
      <c r="A996" t="s">
        <v>1022</v>
      </c>
      <c r="B996">
        <v>0.999984544473304</v>
      </c>
      <c r="C996">
        <v>0.952036293843328</v>
      </c>
      <c r="D996">
        <v>0.896045821642526</v>
      </c>
      <c r="E996">
        <v>0.9930494601989071</v>
      </c>
      <c r="F996">
        <v>1.11035285642802</v>
      </c>
      <c r="G996">
        <v>0.90541006187798</v>
      </c>
      <c r="H996">
        <v>1.10525209541783</v>
      </c>
      <c r="I996">
        <v>0.921269230784688</v>
      </c>
      <c r="J996">
        <v>0.778526745722989</v>
      </c>
      <c r="K996">
        <v>0.66443091492173</v>
      </c>
      <c r="L996">
        <v>2777.79111409549</v>
      </c>
      <c r="M996">
        <v>43.8874308305466</v>
      </c>
      <c r="O996">
        <v>63.1625582704956</v>
      </c>
      <c r="P996">
        <v>-0.06282403574635199</v>
      </c>
      <c r="Q996">
        <v>0.638336453852361</v>
      </c>
      <c r="R996">
        <v>0.721923707317298</v>
      </c>
      <c r="S996" t="s">
        <v>2664</v>
      </c>
      <c r="T996" t="s">
        <v>3312</v>
      </c>
      <c r="U996" t="s">
        <v>3312</v>
      </c>
      <c r="V996" t="s">
        <v>3312</v>
      </c>
      <c r="W996" t="s">
        <v>4306</v>
      </c>
      <c r="X996">
        <v>8</v>
      </c>
      <c r="Y996" t="s">
        <v>5947</v>
      </c>
      <c r="Z996" t="s">
        <v>7589</v>
      </c>
      <c r="AA996">
        <v>0.9548949027552693</v>
      </c>
      <c r="AB996">
        <f>HYPERLINK("Melting_Curves/meltCurve_P23827_eco.pdf", "Melting_Curves/meltCurve_P23827_eco.pdf")</f>
        <v>0</v>
      </c>
    </row>
    <row r="997" spans="1:28">
      <c r="A997" t="s">
        <v>1023</v>
      </c>
      <c r="B997">
        <v>0.999984544473304</v>
      </c>
      <c r="C997">
        <v>1.30003054606953</v>
      </c>
      <c r="D997">
        <v>0.852140114706342</v>
      </c>
      <c r="E997">
        <v>0.21692243151989</v>
      </c>
      <c r="F997">
        <v>0.0883855338621273</v>
      </c>
      <c r="G997">
        <v>0.0546948280531656</v>
      </c>
      <c r="H997">
        <v>0.0293394256020813</v>
      </c>
      <c r="I997">
        <v>0.0236363335519976</v>
      </c>
      <c r="J997">
        <v>0.0172957785776551</v>
      </c>
      <c r="K997">
        <v>0.0115070513722514</v>
      </c>
      <c r="L997">
        <v>1885.65275888014</v>
      </c>
      <c r="M997">
        <v>41.9512516208397</v>
      </c>
      <c r="N997">
        <v>45.0276677490394</v>
      </c>
      <c r="O997">
        <v>44.8468972500579</v>
      </c>
      <c r="P997">
        <v>-0.225561137255837</v>
      </c>
      <c r="Q997">
        <v>0.0354807006824216</v>
      </c>
      <c r="R997">
        <v>0.955813111869163</v>
      </c>
      <c r="S997" t="s">
        <v>2665</v>
      </c>
      <c r="T997" t="s">
        <v>3312</v>
      </c>
      <c r="U997" t="s">
        <v>3312</v>
      </c>
      <c r="V997" t="s">
        <v>3312</v>
      </c>
      <c r="W997" t="s">
        <v>4307</v>
      </c>
      <c r="X997">
        <v>7</v>
      </c>
      <c r="Y997" t="s">
        <v>5948</v>
      </c>
      <c r="Z997" t="s">
        <v>7590</v>
      </c>
      <c r="AA997">
        <v>0.2937610900420347</v>
      </c>
      <c r="AB997">
        <f>HYPERLINK("Melting_Curves/meltCurve_P23830_pssA.pdf", "Melting_Curves/meltCurve_P23830_pssA.pdf")</f>
        <v>0</v>
      </c>
    </row>
    <row r="998" spans="1:28">
      <c r="A998" t="s">
        <v>1024</v>
      </c>
      <c r="B998">
        <v>0.999984544473304</v>
      </c>
      <c r="C998">
        <v>0.834560680803853</v>
      </c>
      <c r="D998">
        <v>1.00757101674556</v>
      </c>
      <c r="E998">
        <v>0.928625559339781</v>
      </c>
      <c r="F998">
        <v>0.816548165018397</v>
      </c>
      <c r="G998">
        <v>0.360013240096919</v>
      </c>
      <c r="H998">
        <v>0.107984514490734</v>
      </c>
      <c r="I998">
        <v>0.0602201898431605</v>
      </c>
      <c r="J998">
        <v>0.0377969419154719</v>
      </c>
      <c r="K998">
        <v>0.039863328459839</v>
      </c>
      <c r="L998">
        <v>1514.54127004071</v>
      </c>
      <c r="M998">
        <v>28.8136417941366</v>
      </c>
      <c r="N998">
        <v>52.6984384228891</v>
      </c>
      <c r="O998">
        <v>52.3120940205063</v>
      </c>
      <c r="P998">
        <v>-0.132799338943476</v>
      </c>
      <c r="Q998">
        <v>0.0356012370008889</v>
      </c>
      <c r="R998">
        <v>0.982257594560335</v>
      </c>
      <c r="S998" t="s">
        <v>2666</v>
      </c>
      <c r="T998" t="s">
        <v>3312</v>
      </c>
      <c r="U998" t="s">
        <v>3312</v>
      </c>
      <c r="V998" t="s">
        <v>3312</v>
      </c>
      <c r="W998" t="s">
        <v>4308</v>
      </c>
      <c r="X998">
        <v>8</v>
      </c>
      <c r="Y998" t="s">
        <v>5949</v>
      </c>
      <c r="Z998" t="s">
        <v>7591</v>
      </c>
      <c r="AA998">
        <v>0.5425107406256043</v>
      </c>
      <c r="AB998">
        <f>HYPERLINK("Melting_Curves/meltCurve_P23836_phoP.pdf", "Melting_Curves/meltCurve_P23836_phoP.pdf")</f>
        <v>0</v>
      </c>
    </row>
    <row r="999" spans="1:28">
      <c r="A999" t="s">
        <v>1025</v>
      </c>
      <c r="B999">
        <v>0.999984544473304</v>
      </c>
      <c r="C999">
        <v>1.01969138824206</v>
      </c>
      <c r="D999">
        <v>0.685868979793764</v>
      </c>
      <c r="E999">
        <v>0.412372217908796</v>
      </c>
      <c r="F999">
        <v>0.216347535914223</v>
      </c>
      <c r="G999">
        <v>0.120728590403099</v>
      </c>
      <c r="H999">
        <v>0.0887685688919774</v>
      </c>
      <c r="I999">
        <v>0.09072506315857209</v>
      </c>
      <c r="J999">
        <v>0.058683760663294</v>
      </c>
      <c r="K999">
        <v>0.0521500158241043</v>
      </c>
      <c r="L999">
        <v>847.610039619643</v>
      </c>
      <c r="M999">
        <v>18.7607076116606</v>
      </c>
      <c r="N999">
        <v>45.5492720916205</v>
      </c>
      <c r="O999">
        <v>44.6761318623647</v>
      </c>
      <c r="P999">
        <v>-0.0975812425260708</v>
      </c>
      <c r="Q999">
        <v>0.0705320782300048</v>
      </c>
      <c r="R999">
        <v>0.990446933570047</v>
      </c>
      <c r="S999" t="s">
        <v>2667</v>
      </c>
      <c r="T999" t="s">
        <v>3312</v>
      </c>
      <c r="U999" t="s">
        <v>3312</v>
      </c>
      <c r="V999" t="s">
        <v>3312</v>
      </c>
      <c r="W999" t="s">
        <v>4309</v>
      </c>
      <c r="X999">
        <v>2</v>
      </c>
      <c r="Y999" t="s">
        <v>5950</v>
      </c>
      <c r="Z999" t="s">
        <v>7592</v>
      </c>
      <c r="AA999">
        <v>0.3379030273656962</v>
      </c>
      <c r="AB999">
        <f>HYPERLINK("Melting_Curves/meltCurve_P23837_phoQ.pdf", "Melting_Curves/meltCurve_P23837_phoQ.pdf")</f>
        <v>0</v>
      </c>
    </row>
    <row r="1000" spans="1:28">
      <c r="A1000" t="s">
        <v>1026</v>
      </c>
      <c r="B1000">
        <v>0.999984544473304</v>
      </c>
      <c r="C1000">
        <v>0.9371027579548969</v>
      </c>
      <c r="D1000">
        <v>1.11823434629218</v>
      </c>
      <c r="E1000">
        <v>1.04731487301166</v>
      </c>
      <c r="F1000">
        <v>0.895050524993278</v>
      </c>
      <c r="G1000">
        <v>0.476413821952035</v>
      </c>
      <c r="H1000">
        <v>0.0597860138478994</v>
      </c>
      <c r="I1000">
        <v>0.0372064578043932</v>
      </c>
      <c r="J1000">
        <v>0.0266286703392514</v>
      </c>
      <c r="K1000">
        <v>0.0289226099719726</v>
      </c>
      <c r="L1000">
        <v>2014.74519391002</v>
      </c>
      <c r="M1000">
        <v>37.6493937503666</v>
      </c>
      <c r="N1000">
        <v>53.5700668111137</v>
      </c>
      <c r="O1000">
        <v>53.3630465496527</v>
      </c>
      <c r="P1000">
        <v>-0.172937476764745</v>
      </c>
      <c r="Q1000">
        <v>0.0195383924397296</v>
      </c>
      <c r="R1000">
        <v>0.989114847924595</v>
      </c>
      <c r="S1000" t="s">
        <v>2668</v>
      </c>
      <c r="T1000" t="s">
        <v>3312</v>
      </c>
      <c r="U1000" t="s">
        <v>3312</v>
      </c>
      <c r="V1000" t="s">
        <v>3312</v>
      </c>
      <c r="W1000" t="s">
        <v>4310</v>
      </c>
      <c r="X1000">
        <v>10</v>
      </c>
      <c r="Y1000" t="s">
        <v>5951</v>
      </c>
      <c r="Z1000" t="s">
        <v>7593</v>
      </c>
      <c r="AA1000">
        <v>0.5632882229037436</v>
      </c>
      <c r="AB1000">
        <f>HYPERLINK("Melting_Curves/meltCurve_P23839_yicC.pdf", "Melting_Curves/meltCurve_P23839_yicC.pdf")</f>
        <v>0</v>
      </c>
    </row>
    <row r="1001" spans="1:28">
      <c r="A1001" t="s">
        <v>1027</v>
      </c>
      <c r="B1001">
        <v>0.999984544473304</v>
      </c>
      <c r="C1001">
        <v>1.0556189257624</v>
      </c>
      <c r="D1001">
        <v>1.19555971376857</v>
      </c>
      <c r="E1001">
        <v>1.1498094631966</v>
      </c>
      <c r="F1001">
        <v>1.03439349674878</v>
      </c>
      <c r="G1001">
        <v>0.218859895204216</v>
      </c>
      <c r="H1001">
        <v>0.0991970958570443</v>
      </c>
      <c r="I1001">
        <v>0.0501857728557844</v>
      </c>
      <c r="J1001">
        <v>0.0339557182401146</v>
      </c>
      <c r="K1001">
        <v>0.0232718033991474</v>
      </c>
      <c r="L1001">
        <v>13367.0662318911</v>
      </c>
      <c r="M1001">
        <v>250</v>
      </c>
      <c r="N1001">
        <v>53.4915963098439</v>
      </c>
      <c r="O1001">
        <v>53.4648434561984</v>
      </c>
      <c r="P1001">
        <v>-1.10861100419167</v>
      </c>
      <c r="Q1001">
        <v>0.0516525829601614</v>
      </c>
      <c r="R1001">
        <v>0.973331278654691</v>
      </c>
      <c r="S1001" t="s">
        <v>2669</v>
      </c>
      <c r="T1001" t="s">
        <v>3312</v>
      </c>
      <c r="U1001" t="s">
        <v>3312</v>
      </c>
      <c r="V1001" t="s">
        <v>3312</v>
      </c>
      <c r="W1001" t="s">
        <v>4311</v>
      </c>
      <c r="X1001">
        <v>21</v>
      </c>
      <c r="Y1001" t="s">
        <v>5952</v>
      </c>
      <c r="Z1001" t="s">
        <v>7594</v>
      </c>
      <c r="AA1001">
        <v>0.5723294556353825</v>
      </c>
      <c r="AB1001">
        <f>HYPERLINK("Melting_Curves/meltCurve_P23843_oppA.pdf", "Melting_Curves/meltCurve_P23843_oppA.pdf")</f>
        <v>0</v>
      </c>
    </row>
    <row r="1002" spans="1:28">
      <c r="A1002" t="s">
        <v>1028</v>
      </c>
      <c r="B1002">
        <v>0.999984544473304</v>
      </c>
      <c r="C1002">
        <v>1.04501358380634</v>
      </c>
      <c r="D1002">
        <v>1.24101689698799</v>
      </c>
      <c r="E1002">
        <v>1.08495563548309</v>
      </c>
      <c r="F1002">
        <v>1.29826513495801</v>
      </c>
      <c r="G1002">
        <v>1.20436712811721</v>
      </c>
      <c r="H1002">
        <v>1.29885065361637</v>
      </c>
      <c r="I1002">
        <v>1.12572667066573</v>
      </c>
      <c r="J1002">
        <v>0.6332898018925101</v>
      </c>
      <c r="K1002">
        <v>0.09991635554296339</v>
      </c>
      <c r="L1002">
        <v>15000</v>
      </c>
      <c r="M1002">
        <v>233.634600417469</v>
      </c>
      <c r="N1002">
        <v>64.2641041954942</v>
      </c>
      <c r="O1002">
        <v>64.19810592672999</v>
      </c>
      <c r="P1002">
        <v>-0.818960915286049</v>
      </c>
      <c r="Q1002">
        <v>0.0998636879206742</v>
      </c>
      <c r="R1002">
        <v>0.757009835402205</v>
      </c>
      <c r="S1002" t="s">
        <v>2670</v>
      </c>
      <c r="T1002" t="s">
        <v>3312</v>
      </c>
      <c r="U1002" t="s">
        <v>3312</v>
      </c>
      <c r="V1002" t="s">
        <v>3312</v>
      </c>
      <c r="W1002" t="s">
        <v>4312</v>
      </c>
      <c r="X1002">
        <v>16</v>
      </c>
      <c r="Y1002" t="s">
        <v>5953</v>
      </c>
      <c r="Z1002" t="s">
        <v>7595</v>
      </c>
      <c r="AA1002">
        <v>0.9161874719722082</v>
      </c>
      <c r="AB1002">
        <f>HYPERLINK("Melting_Curves/meltCurve_P23847_dppA.pdf", "Melting_Curves/meltCurve_P23847_dppA.pdf")</f>
        <v>0</v>
      </c>
    </row>
    <row r="1003" spans="1:28">
      <c r="A1003" t="s">
        <v>1029</v>
      </c>
      <c r="B1003">
        <v>0.999984544473304</v>
      </c>
      <c r="C1003">
        <v>1.16268619102857</v>
      </c>
      <c r="D1003">
        <v>0.666116384273283</v>
      </c>
      <c r="E1003">
        <v>0.907699692547431</v>
      </c>
      <c r="F1003">
        <v>0.90750974550621</v>
      </c>
      <c r="G1003">
        <v>0.672511110810624</v>
      </c>
      <c r="H1003">
        <v>0.557883218000603</v>
      </c>
      <c r="I1003">
        <v>0.566269595356626</v>
      </c>
      <c r="J1003">
        <v>0.356580837720664</v>
      </c>
      <c r="K1003">
        <v>0.530561871471495</v>
      </c>
      <c r="L1003">
        <v>469.216026684247</v>
      </c>
      <c r="M1003">
        <v>8.539195499355399</v>
      </c>
      <c r="N1003">
        <v>62.5099242270873</v>
      </c>
      <c r="O1003">
        <v>52.1837228902797</v>
      </c>
      <c r="P1003">
        <v>-0.02776028383861</v>
      </c>
      <c r="Q1003">
        <v>0.322018942902298</v>
      </c>
      <c r="R1003">
        <v>0.73083867750499</v>
      </c>
      <c r="S1003" t="s">
        <v>2671</v>
      </c>
      <c r="T1003" t="s">
        <v>3312</v>
      </c>
      <c r="U1003" t="s">
        <v>3312</v>
      </c>
      <c r="V1003" t="s">
        <v>3312</v>
      </c>
      <c r="W1003" t="s">
        <v>4313</v>
      </c>
      <c r="X1003">
        <v>1</v>
      </c>
      <c r="Y1003" t="s">
        <v>5954</v>
      </c>
      <c r="Z1003" t="s">
        <v>7596</v>
      </c>
      <c r="AA1003">
        <v>0.7337895470850913</v>
      </c>
      <c r="AB1003">
        <f>HYPERLINK("Melting_Curves/meltCurve_P23857_pspE.pdf", "Melting_Curves/meltCurve_P23857_pspE.pdf")</f>
        <v>0</v>
      </c>
    </row>
    <row r="1004" spans="1:28">
      <c r="A1004" t="s">
        <v>1030</v>
      </c>
      <c r="B1004">
        <v>0.999984544473304</v>
      </c>
      <c r="C1004">
        <v>1.2488046207907</v>
      </c>
      <c r="D1004">
        <v>0.641750787078194</v>
      </c>
      <c r="E1004">
        <v>0.455159426054407</v>
      </c>
      <c r="F1004">
        <v>0.112452826700332</v>
      </c>
      <c r="G1004">
        <v>0.063544350974821</v>
      </c>
      <c r="H1004">
        <v>0.0513314765267199</v>
      </c>
      <c r="I1004">
        <v>0.0420788323085162</v>
      </c>
      <c r="J1004">
        <v>0.0324437342570945</v>
      </c>
      <c r="K1004">
        <v>0.0228323213907428</v>
      </c>
      <c r="L1004">
        <v>1021.51630682563</v>
      </c>
      <c r="M1004">
        <v>22.473815809428</v>
      </c>
      <c r="N1004">
        <v>45.596954895895</v>
      </c>
      <c r="O1004">
        <v>45.0983484569139</v>
      </c>
      <c r="P1004">
        <v>-0.120335997003552</v>
      </c>
      <c r="Q1004">
        <v>0.034104305286465</v>
      </c>
      <c r="R1004">
        <v>0.93995354921101</v>
      </c>
      <c r="S1004" t="s">
        <v>2672</v>
      </c>
      <c r="T1004" t="s">
        <v>3312</v>
      </c>
      <c r="U1004" t="s">
        <v>3312</v>
      </c>
      <c r="V1004" t="s">
        <v>3312</v>
      </c>
      <c r="W1004" t="s">
        <v>4314</v>
      </c>
      <c r="X1004">
        <v>8</v>
      </c>
      <c r="Y1004" t="s">
        <v>5955</v>
      </c>
      <c r="Z1004" t="s">
        <v>7597</v>
      </c>
      <c r="AA1004">
        <v>0.3162098038118959</v>
      </c>
      <c r="AB1004">
        <f>HYPERLINK("Melting_Curves/meltCurve_P23865_prc.pdf", "Melting_Curves/meltCurve_P23865_prc.pdf")</f>
        <v>0</v>
      </c>
    </row>
    <row r="1005" spans="1:28">
      <c r="A1005" t="s">
        <v>1031</v>
      </c>
      <c r="B1005">
        <v>0.999984544473304</v>
      </c>
      <c r="C1005">
        <v>0.843531165375654</v>
      </c>
      <c r="D1005">
        <v>1.03014786492442</v>
      </c>
      <c r="E1005">
        <v>1.04418216756391</v>
      </c>
      <c r="F1005">
        <v>1.085812628761</v>
      </c>
      <c r="G1005">
        <v>0.68363698944287</v>
      </c>
      <c r="H1005">
        <v>0.514213529830484</v>
      </c>
      <c r="I1005">
        <v>0.361708085773868</v>
      </c>
      <c r="J1005">
        <v>0.252618152813237</v>
      </c>
      <c r="K1005">
        <v>0.222130650054428</v>
      </c>
      <c r="L1005">
        <v>1338.68531655907</v>
      </c>
      <c r="M1005">
        <v>24.0360856608841</v>
      </c>
      <c r="N1005">
        <v>57.2100897133361</v>
      </c>
      <c r="O1005">
        <v>55.3135924915193</v>
      </c>
      <c r="P1005">
        <v>-0.08305727504402489</v>
      </c>
      <c r="Q1005">
        <v>0.235462142459903</v>
      </c>
      <c r="R1005">
        <v>0.945688641423873</v>
      </c>
      <c r="S1005" t="s">
        <v>2673</v>
      </c>
      <c r="T1005" t="s">
        <v>3312</v>
      </c>
      <c r="U1005" t="s">
        <v>3312</v>
      </c>
      <c r="V1005" t="s">
        <v>3312</v>
      </c>
      <c r="W1005" t="s">
        <v>4315</v>
      </c>
      <c r="X1005">
        <v>5</v>
      </c>
      <c r="Y1005" t="s">
        <v>5956</v>
      </c>
      <c r="Z1005" t="s">
        <v>7598</v>
      </c>
      <c r="AA1005">
        <v>0.7185359116856417</v>
      </c>
      <c r="AB1005">
        <f>HYPERLINK("Melting_Curves/meltCurve_P23869_ppiB.pdf", "Melting_Curves/meltCurve_P23869_ppiB.pdf")</f>
        <v>0</v>
      </c>
    </row>
    <row r="1006" spans="1:28">
      <c r="A1006" t="s">
        <v>1032</v>
      </c>
      <c r="B1006">
        <v>0.999984544473304</v>
      </c>
      <c r="C1006">
        <v>0.642460172081713</v>
      </c>
      <c r="D1006">
        <v>0.203132076127528</v>
      </c>
      <c r="E1006">
        <v>0.180832502636483</v>
      </c>
      <c r="F1006">
        <v>0.115561282859031</v>
      </c>
      <c r="G1006">
        <v>0.0862880056276198</v>
      </c>
      <c r="H1006">
        <v>0.0733852319589377</v>
      </c>
      <c r="I1006">
        <v>0.0496354963617421</v>
      </c>
      <c r="J1006">
        <v>0.0311078753945697</v>
      </c>
      <c r="K1006">
        <v>0.0431766428449883</v>
      </c>
      <c r="L1006">
        <v>1269.29638750955</v>
      </c>
      <c r="M1006">
        <v>31.3067425698001</v>
      </c>
      <c r="N1006">
        <v>40.7671962019614</v>
      </c>
      <c r="O1006">
        <v>40.3795294953546</v>
      </c>
      <c r="P1006">
        <v>-0.178555369063593</v>
      </c>
      <c r="Q1006">
        <v>0.0788003723051649</v>
      </c>
      <c r="R1006">
        <v>0.983600065343252</v>
      </c>
      <c r="S1006" t="s">
        <v>2674</v>
      </c>
      <c r="T1006" t="s">
        <v>3312</v>
      </c>
      <c r="U1006" t="s">
        <v>3312</v>
      </c>
      <c r="V1006" t="s">
        <v>3312</v>
      </c>
      <c r="W1006" t="s">
        <v>4316</v>
      </c>
      <c r="X1006">
        <v>2</v>
      </c>
      <c r="Y1006" t="s">
        <v>5957</v>
      </c>
      <c r="Z1006" t="s">
        <v>7599</v>
      </c>
      <c r="AA1006">
        <v>0.1933837429897595</v>
      </c>
      <c r="AB1006">
        <f>HYPERLINK("Melting_Curves/meltCurve_P23871_hemH.pdf", "Melting_Curves/meltCurve_P23871_hemH.pdf")</f>
        <v>0</v>
      </c>
    </row>
    <row r="1007" spans="1:28">
      <c r="A1007" t="s">
        <v>1033</v>
      </c>
      <c r="B1007">
        <v>0.999984544473304</v>
      </c>
      <c r="C1007">
        <v>0.877498293157195</v>
      </c>
      <c r="D1007">
        <v>1.09121753010082</v>
      </c>
      <c r="E1007">
        <v>0.517949117802127</v>
      </c>
      <c r="F1007">
        <v>0.108852071478714</v>
      </c>
      <c r="G1007">
        <v>0.0478774851797731</v>
      </c>
      <c r="H1007">
        <v>0.0327276387773228</v>
      </c>
      <c r="I1007">
        <v>0.0225394367173792</v>
      </c>
      <c r="J1007">
        <v>0.0220282591429612</v>
      </c>
      <c r="K1007">
        <v>0.0209128871312066</v>
      </c>
      <c r="L1007">
        <v>2707.93595092376</v>
      </c>
      <c r="M1007">
        <v>58.0914266690487</v>
      </c>
      <c r="N1007">
        <v>46.6810151930525</v>
      </c>
      <c r="O1007">
        <v>46.5599314066451</v>
      </c>
      <c r="P1007">
        <v>-0.299630217811016</v>
      </c>
      <c r="Q1007">
        <v>0.0393932503172723</v>
      </c>
      <c r="R1007">
        <v>0.984433053610258</v>
      </c>
      <c r="S1007" t="s">
        <v>2675</v>
      </c>
      <c r="T1007" t="s">
        <v>3312</v>
      </c>
      <c r="U1007" t="s">
        <v>3312</v>
      </c>
      <c r="V1007" t="s">
        <v>3312</v>
      </c>
      <c r="W1007" t="s">
        <v>4317</v>
      </c>
      <c r="X1007">
        <v>6</v>
      </c>
      <c r="Y1007" t="s">
        <v>5958</v>
      </c>
      <c r="Z1007" t="s">
        <v>7600</v>
      </c>
      <c r="AA1007">
        <v>0.3487311302975695</v>
      </c>
      <c r="AB1007">
        <f>HYPERLINK("Melting_Curves/meltCurve_P23882_fmt.pdf", "Melting_Curves/meltCurve_P23882_fmt.pdf")</f>
        <v>0</v>
      </c>
    </row>
    <row r="1008" spans="1:28">
      <c r="A1008" t="s">
        <v>1034</v>
      </c>
      <c r="B1008">
        <v>0.999984544473304</v>
      </c>
      <c r="C1008">
        <v>0.579667033197061</v>
      </c>
      <c r="D1008">
        <v>0.241284467279042</v>
      </c>
      <c r="E1008">
        <v>0.187736920322715</v>
      </c>
      <c r="F1008">
        <v>0.126649235171373</v>
      </c>
      <c r="G1008">
        <v>0.0848961715974121</v>
      </c>
      <c r="H1008">
        <v>0.0716717769933239</v>
      </c>
      <c r="I1008">
        <v>0.0565223308614661</v>
      </c>
      <c r="J1008">
        <v>0.0415534007753791</v>
      </c>
      <c r="K1008">
        <v>0.0568678175451791</v>
      </c>
      <c r="L1008">
        <v>1086.32293053761</v>
      </c>
      <c r="M1008">
        <v>26.9047837413478</v>
      </c>
      <c r="N1008">
        <v>40.6558451615938</v>
      </c>
      <c r="O1008">
        <v>40.1554955910708</v>
      </c>
      <c r="P1008">
        <v>-0.153373002473461</v>
      </c>
      <c r="Q1008">
        <v>0.08437010542353569</v>
      </c>
      <c r="R1008">
        <v>0.97954813368049</v>
      </c>
      <c r="S1008" t="s">
        <v>2676</v>
      </c>
      <c r="T1008" t="s">
        <v>3312</v>
      </c>
      <c r="U1008" t="s">
        <v>3312</v>
      </c>
      <c r="V1008" t="s">
        <v>3312</v>
      </c>
      <c r="W1008" t="s">
        <v>4318</v>
      </c>
      <c r="X1008">
        <v>5</v>
      </c>
      <c r="Y1008" t="s">
        <v>5959</v>
      </c>
      <c r="Z1008" t="s">
        <v>7601</v>
      </c>
      <c r="AA1008">
        <v>0.1961031500322005</v>
      </c>
      <c r="AB1008">
        <f>HYPERLINK("Melting_Curves/meltCurve_P23893_hemL.pdf", "Melting_Curves/meltCurve_P23893_hemL.pdf")</f>
        <v>0</v>
      </c>
    </row>
    <row r="1009" spans="1:28">
      <c r="A1009" t="s">
        <v>1035</v>
      </c>
      <c r="B1009">
        <v>0.999984544473304</v>
      </c>
      <c r="C1009">
        <v>0.717872935711831</v>
      </c>
      <c r="D1009">
        <v>0.738737643560103</v>
      </c>
      <c r="E1009">
        <v>0.7916357912788921</v>
      </c>
      <c r="F1009">
        <v>0.871846371937572</v>
      </c>
      <c r="G1009">
        <v>0.737720996982851</v>
      </c>
      <c r="H1009">
        <v>0.775375273894905</v>
      </c>
      <c r="I1009">
        <v>0.769023698918362</v>
      </c>
      <c r="J1009">
        <v>0.676125284744913</v>
      </c>
      <c r="K1009">
        <v>0.6134368834044051</v>
      </c>
      <c r="L1009">
        <v>96.13543190284661</v>
      </c>
      <c r="M1009">
        <v>0.6775589608000681</v>
      </c>
      <c r="Q1009">
        <v>0</v>
      </c>
      <c r="R1009">
        <v>0.398467211982205</v>
      </c>
      <c r="S1009" t="s">
        <v>2677</v>
      </c>
      <c r="T1009" t="s">
        <v>3312</v>
      </c>
      <c r="U1009" t="s">
        <v>3312</v>
      </c>
      <c r="V1009" t="s">
        <v>3312</v>
      </c>
      <c r="W1009" t="s">
        <v>4319</v>
      </c>
      <c r="X1009">
        <v>4</v>
      </c>
      <c r="Y1009" t="s">
        <v>5960</v>
      </c>
      <c r="Z1009" t="s">
        <v>7602</v>
      </c>
      <c r="AA1009">
        <v>0.7678948487334545</v>
      </c>
      <c r="AB1009">
        <f>HYPERLINK("Melting_Curves/meltCurve_P23894_htpX.pdf", "Melting_Curves/meltCurve_P23894_htpX.pdf")</f>
        <v>0</v>
      </c>
    </row>
    <row r="1010" spans="1:28">
      <c r="A1010" t="s">
        <v>1036</v>
      </c>
      <c r="B1010">
        <v>0.999984544473304</v>
      </c>
      <c r="C1010">
        <v>0.745543852859394</v>
      </c>
      <c r="D1010">
        <v>0.824680711155994</v>
      </c>
      <c r="E1010">
        <v>0.676939861025691</v>
      </c>
      <c r="F1010">
        <v>0.900954998090276</v>
      </c>
      <c r="G1010">
        <v>0.700164831381053</v>
      </c>
      <c r="H1010">
        <v>0.755005422862254</v>
      </c>
      <c r="I1010">
        <v>0.672789134686732</v>
      </c>
      <c r="J1010">
        <v>0.486137674055612</v>
      </c>
      <c r="K1010">
        <v>0.201358714424134</v>
      </c>
      <c r="L1010">
        <v>264.602287446245</v>
      </c>
      <c r="M1010">
        <v>4.16469809805718</v>
      </c>
      <c r="N1010">
        <v>63.5345663168705</v>
      </c>
      <c r="O1010">
        <v>52.8139881373963</v>
      </c>
      <c r="P1010">
        <v>-0.0199364360032166</v>
      </c>
      <c r="Q1010">
        <v>0</v>
      </c>
      <c r="R1010">
        <v>0.602437297810542</v>
      </c>
      <c r="S1010" t="s">
        <v>2678</v>
      </c>
      <c r="T1010" t="s">
        <v>3312</v>
      </c>
      <c r="U1010" t="s">
        <v>3312</v>
      </c>
      <c r="V1010" t="s">
        <v>3312</v>
      </c>
      <c r="W1010" t="s">
        <v>4320</v>
      </c>
      <c r="X1010">
        <v>3</v>
      </c>
      <c r="Y1010" t="s">
        <v>5961</v>
      </c>
      <c r="Z1010" t="s">
        <v>7603</v>
      </c>
      <c r="AA1010">
        <v>0.7111455433231992</v>
      </c>
      <c r="AB1010">
        <f>HYPERLINK("Melting_Curves/meltCurve_P23908_argE.pdf", "Melting_Curves/meltCurve_P23908_argE.pdf")</f>
        <v>0</v>
      </c>
    </row>
    <row r="1011" spans="1:28">
      <c r="A1011" t="s">
        <v>1037</v>
      </c>
      <c r="B1011">
        <v>0.999984544473304</v>
      </c>
      <c r="C1011">
        <v>1.42215835069043</v>
      </c>
      <c r="D1011">
        <v>0.864960081931507</v>
      </c>
      <c r="E1011">
        <v>0.669819899038064</v>
      </c>
      <c r="F1011">
        <v>0.173925575233142</v>
      </c>
      <c r="G1011">
        <v>0.0504208043209707</v>
      </c>
      <c r="H1011">
        <v>0.0573019592840168</v>
      </c>
      <c r="I1011">
        <v>0.06801500008162541</v>
      </c>
      <c r="J1011">
        <v>0.0276765292773514</v>
      </c>
      <c r="K1011">
        <v>0.0237618264588673</v>
      </c>
      <c r="L1011">
        <v>1491.45601101429</v>
      </c>
      <c r="M1011">
        <v>31.4357373703661</v>
      </c>
      <c r="N1011">
        <v>47.5668685133936</v>
      </c>
      <c r="O1011">
        <v>47.2538507563777</v>
      </c>
      <c r="P1011">
        <v>-0.159859473299959</v>
      </c>
      <c r="Q1011">
        <v>0.0388094288725484</v>
      </c>
      <c r="R1011">
        <v>0.918689192154766</v>
      </c>
      <c r="S1011" t="s">
        <v>2679</v>
      </c>
      <c r="T1011" t="s">
        <v>3312</v>
      </c>
      <c r="U1011" t="s">
        <v>3312</v>
      </c>
      <c r="V1011" t="s">
        <v>3312</v>
      </c>
      <c r="W1011" t="s">
        <v>4321</v>
      </c>
      <c r="X1011">
        <v>2</v>
      </c>
      <c r="Y1011" t="s">
        <v>5962</v>
      </c>
      <c r="Z1011" t="s">
        <v>7604</v>
      </c>
      <c r="AA1011">
        <v>0.3785778345131154</v>
      </c>
      <c r="AB1011">
        <f>HYPERLINK("Melting_Curves/meltCurve_P23930_lnt.pdf", "Melting_Curves/meltCurve_P23930_lnt.pdf")</f>
        <v>0</v>
      </c>
    </row>
    <row r="1012" spans="1:28">
      <c r="A1012" t="s">
        <v>1038</v>
      </c>
      <c r="B1012">
        <v>0.999984544473304</v>
      </c>
      <c r="C1012">
        <v>1.21410888999168</v>
      </c>
      <c r="D1012">
        <v>1.06561746233404</v>
      </c>
      <c r="E1012">
        <v>1.16560379576454</v>
      </c>
      <c r="F1012">
        <v>0.726974604164549</v>
      </c>
      <c r="G1012">
        <v>0.2181643623591</v>
      </c>
      <c r="H1012">
        <v>0.0627882390285725</v>
      </c>
      <c r="I1012">
        <v>0.0378161107812229</v>
      </c>
      <c r="J1012">
        <v>0.0276583273520789</v>
      </c>
      <c r="K1012">
        <v>0.0230317154496599</v>
      </c>
      <c r="L1012">
        <v>2014.81735180753</v>
      </c>
      <c r="M1012">
        <v>39.0469800431485</v>
      </c>
      <c r="N1012">
        <v>51.6972305834278</v>
      </c>
      <c r="O1012">
        <v>51.4650409465797</v>
      </c>
      <c r="P1012">
        <v>-0.182950797487067</v>
      </c>
      <c r="Q1012">
        <v>0.0354645807579202</v>
      </c>
      <c r="R1012">
        <v>0.966034407650647</v>
      </c>
      <c r="S1012" t="s">
        <v>2680</v>
      </c>
      <c r="T1012" t="s">
        <v>3312</v>
      </c>
      <c r="U1012" t="s">
        <v>3312</v>
      </c>
      <c r="V1012" t="s">
        <v>3312</v>
      </c>
      <c r="W1012" t="s">
        <v>4322</v>
      </c>
      <c r="X1012">
        <v>12</v>
      </c>
      <c r="Y1012" t="s">
        <v>5963</v>
      </c>
      <c r="Z1012" t="s">
        <v>7605</v>
      </c>
      <c r="AA1012">
        <v>0.5084693224692646</v>
      </c>
      <c r="AB1012">
        <f>HYPERLINK("Melting_Curves/meltCurve_P24171_dcp.pdf", "Melting_Curves/meltCurve_P24171_dcp.pdf")</f>
        <v>0</v>
      </c>
    </row>
    <row r="1013" spans="1:28">
      <c r="A1013" t="s">
        <v>1039</v>
      </c>
      <c r="B1013">
        <v>0.999984544473304</v>
      </c>
      <c r="C1013">
        <v>0.90942496610047</v>
      </c>
      <c r="D1013">
        <v>0.891719526679707</v>
      </c>
      <c r="E1013">
        <v>0.739569989984999</v>
      </c>
      <c r="F1013">
        <v>0.434773226605688</v>
      </c>
      <c r="G1013">
        <v>0.07593005367717939</v>
      </c>
      <c r="H1013">
        <v>0.0631262018963189</v>
      </c>
      <c r="I1013">
        <v>0</v>
      </c>
      <c r="J1013">
        <v>0.120519198589568</v>
      </c>
      <c r="K1013">
        <v>0.081551535458875</v>
      </c>
      <c r="L1013">
        <v>1035.95904179132</v>
      </c>
      <c r="M1013">
        <v>21.2498690462291</v>
      </c>
      <c r="N1013">
        <v>48.9536954720647</v>
      </c>
      <c r="O1013">
        <v>48.325755783202</v>
      </c>
      <c r="P1013">
        <v>-0.105310455504842</v>
      </c>
      <c r="Q1013">
        <v>0.0420506485096715</v>
      </c>
      <c r="R1013">
        <v>0.980697289799662</v>
      </c>
      <c r="S1013" t="s">
        <v>2681</v>
      </c>
      <c r="T1013" t="s">
        <v>3312</v>
      </c>
      <c r="U1013" t="s">
        <v>3312</v>
      </c>
      <c r="V1013" t="s">
        <v>3312</v>
      </c>
      <c r="W1013" t="s">
        <v>4323</v>
      </c>
      <c r="X1013">
        <v>1</v>
      </c>
      <c r="Y1013" t="s">
        <v>5964</v>
      </c>
      <c r="Z1013" t="s">
        <v>7606</v>
      </c>
      <c r="AA1013">
        <v>0.4285590030711571</v>
      </c>
      <c r="AB1013">
        <f>HYPERLINK("Melting_Curves/meltCurve_P24173_rfaC.pdf", "Melting_Curves/meltCurve_P24173_rfaC.pdf")</f>
        <v>0</v>
      </c>
    </row>
    <row r="1014" spans="1:28">
      <c r="A1014" t="s">
        <v>1040</v>
      </c>
      <c r="B1014">
        <v>0.999984544473304</v>
      </c>
      <c r="C1014">
        <v>0.998510632496948</v>
      </c>
      <c r="D1014">
        <v>1.14406282326642</v>
      </c>
      <c r="E1014">
        <v>1.08153022316331</v>
      </c>
      <c r="F1014">
        <v>1.09349156622643</v>
      </c>
      <c r="G1014">
        <v>0.931355651963804</v>
      </c>
      <c r="H1014">
        <v>0.7406197981377201</v>
      </c>
      <c r="I1014">
        <v>0.535378958271712</v>
      </c>
      <c r="J1014">
        <v>0.36213990228036</v>
      </c>
      <c r="K1014">
        <v>0.339634126934801</v>
      </c>
      <c r="L1014">
        <v>1489.16843907104</v>
      </c>
      <c r="M1014">
        <v>25.296061146078</v>
      </c>
      <c r="N1014">
        <v>61.1319459477507</v>
      </c>
      <c r="O1014">
        <v>58.5053701034037</v>
      </c>
      <c r="P1014">
        <v>-0.07524079141428409</v>
      </c>
      <c r="Q1014">
        <v>0.303933727521498</v>
      </c>
      <c r="R1014">
        <v>0.953398158329176</v>
      </c>
      <c r="S1014" t="s">
        <v>2682</v>
      </c>
      <c r="T1014" t="s">
        <v>3312</v>
      </c>
      <c r="U1014" t="s">
        <v>3312</v>
      </c>
      <c r="V1014" t="s">
        <v>3312</v>
      </c>
      <c r="W1014" t="s">
        <v>4324</v>
      </c>
      <c r="X1014">
        <v>5</v>
      </c>
      <c r="Y1014" t="s">
        <v>5965</v>
      </c>
      <c r="Z1014" t="s">
        <v>7607</v>
      </c>
      <c r="AA1014">
        <v>0.815026411719321</v>
      </c>
      <c r="AB1014">
        <f>HYPERLINK("Melting_Curves/meltCurve_P24178_yffB.pdf", "Melting_Curves/meltCurve_P24178_yffB.pdf")</f>
        <v>0</v>
      </c>
    </row>
    <row r="1015" spans="1:28">
      <c r="A1015" t="s">
        <v>1041</v>
      </c>
      <c r="B1015">
        <v>0.999984544473304</v>
      </c>
      <c r="C1015">
        <v>1.029450180234</v>
      </c>
      <c r="D1015">
        <v>0.93928092219427</v>
      </c>
      <c r="E1015">
        <v>0.646919004383555</v>
      </c>
      <c r="F1015">
        <v>0.115671027614501</v>
      </c>
      <c r="G1015">
        <v>0.047001876302171</v>
      </c>
      <c r="H1015">
        <v>0.0348087145414428</v>
      </c>
      <c r="I1015">
        <v>0.0247267688329827</v>
      </c>
      <c r="J1015">
        <v>0.0203756933512505</v>
      </c>
      <c r="K1015">
        <v>0.0169982735235818</v>
      </c>
      <c r="L1015">
        <v>1722.76821064257</v>
      </c>
      <c r="M1015">
        <v>36.4388371214391</v>
      </c>
      <c r="N1015">
        <v>47.3427258412449</v>
      </c>
      <c r="O1015">
        <v>47.136636989473</v>
      </c>
      <c r="P1015">
        <v>-0.188592896270511</v>
      </c>
      <c r="Q1015">
        <v>0.0241611569310428</v>
      </c>
      <c r="R1015">
        <v>0.998559527805322</v>
      </c>
      <c r="S1015" t="s">
        <v>2683</v>
      </c>
      <c r="T1015" t="s">
        <v>3312</v>
      </c>
      <c r="U1015" t="s">
        <v>3312</v>
      </c>
      <c r="V1015" t="s">
        <v>3312</v>
      </c>
      <c r="W1015" t="s">
        <v>4325</v>
      </c>
      <c r="X1015">
        <v>13</v>
      </c>
      <c r="Y1015" t="s">
        <v>5966</v>
      </c>
      <c r="Z1015" t="s">
        <v>7608</v>
      </c>
      <c r="AA1015">
        <v>0.3623450123595935</v>
      </c>
      <c r="AB1015">
        <f>HYPERLINK("Melting_Curves/meltCurve_P24182_accC.pdf", "Melting_Curves/meltCurve_P24182_accC.pdf")</f>
        <v>0</v>
      </c>
    </row>
    <row r="1016" spans="1:28">
      <c r="A1016" t="s">
        <v>1042</v>
      </c>
      <c r="B1016">
        <v>0.999984544473304</v>
      </c>
      <c r="C1016">
        <v>2.09505511717621</v>
      </c>
      <c r="D1016">
        <v>1.43756902638015</v>
      </c>
      <c r="E1016">
        <v>2.30866631033231</v>
      </c>
      <c r="F1016">
        <v>1.46111602462424</v>
      </c>
      <c r="G1016">
        <v>1.30197745121714</v>
      </c>
      <c r="H1016">
        <v>0.823880294852972</v>
      </c>
      <c r="I1016">
        <v>1.0377460284864</v>
      </c>
      <c r="J1016">
        <v>0.724528907600872</v>
      </c>
      <c r="K1016">
        <v>0.462806073164598</v>
      </c>
      <c r="L1016">
        <v>15000</v>
      </c>
      <c r="M1016">
        <v>234.060469977249</v>
      </c>
      <c r="N1016">
        <v>64.8052992010803</v>
      </c>
      <c r="O1016">
        <v>64.0813067893495</v>
      </c>
      <c r="P1016">
        <v>-0.490551260777449</v>
      </c>
      <c r="Q1016">
        <v>0.462785416000231</v>
      </c>
      <c r="R1016">
        <v>-0.109536307187253</v>
      </c>
      <c r="S1016" t="s">
        <v>2684</v>
      </c>
      <c r="T1016" t="s">
        <v>3312</v>
      </c>
      <c r="U1016" t="s">
        <v>3312</v>
      </c>
      <c r="V1016" t="s">
        <v>3312</v>
      </c>
      <c r="W1016" t="s">
        <v>4326</v>
      </c>
      <c r="X1016">
        <v>4</v>
      </c>
      <c r="Y1016" t="s">
        <v>5967</v>
      </c>
      <c r="Z1016" t="s">
        <v>7609</v>
      </c>
      <c r="AA1016">
        <v>0.9478873389454353</v>
      </c>
      <c r="AB1016">
        <f>HYPERLINK("Melting_Curves/meltCurve_P24183_fdnG.pdf", "Melting_Curves/meltCurve_P24183_fdnG.pdf")</f>
        <v>0</v>
      </c>
    </row>
    <row r="1017" spans="1:28">
      <c r="A1017" t="s">
        <v>1043</v>
      </c>
      <c r="B1017">
        <v>0.999984544473304</v>
      </c>
      <c r="C1017">
        <v>0.743148449147119</v>
      </c>
      <c r="D1017">
        <v>0.765440210064414</v>
      </c>
      <c r="E1017">
        <v>0.496144441175522</v>
      </c>
      <c r="F1017">
        <v>0.514334731794246</v>
      </c>
      <c r="G1017">
        <v>0.43364784160655</v>
      </c>
      <c r="H1017">
        <v>0.364078062271402</v>
      </c>
      <c r="I1017">
        <v>0.195930123922526</v>
      </c>
      <c r="J1017">
        <v>0.07497875502040779</v>
      </c>
      <c r="K1017">
        <v>0.0364890393956826</v>
      </c>
      <c r="L1017">
        <v>349.67813844073</v>
      </c>
      <c r="M1017">
        <v>7.10137930943555</v>
      </c>
      <c r="N1017">
        <v>49.2408741683648</v>
      </c>
      <c r="O1017">
        <v>45.7838133245252</v>
      </c>
      <c r="P1017">
        <v>-0.0388448890049905</v>
      </c>
      <c r="Q1017">
        <v>0</v>
      </c>
      <c r="R1017">
        <v>0.927774527756244</v>
      </c>
      <c r="S1017" t="s">
        <v>2685</v>
      </c>
      <c r="T1017" t="s">
        <v>3312</v>
      </c>
      <c r="U1017" t="s">
        <v>3312</v>
      </c>
      <c r="V1017" t="s">
        <v>3312</v>
      </c>
      <c r="W1017" t="s">
        <v>4327</v>
      </c>
      <c r="X1017">
        <v>4</v>
      </c>
      <c r="Y1017" t="s">
        <v>5968</v>
      </c>
      <c r="Z1017" t="s">
        <v>7610</v>
      </c>
      <c r="AA1017">
        <v>0.4575209048610842</v>
      </c>
      <c r="AB1017">
        <f>HYPERLINK("Melting_Curves/meltCurve_P24186_folD.pdf", "Melting_Curves/meltCurve_P24186_folD.pdf")</f>
        <v>0</v>
      </c>
    </row>
    <row r="1018" spans="1:28">
      <c r="A1018" t="s">
        <v>1044</v>
      </c>
      <c r="B1018">
        <v>0.999984544473304</v>
      </c>
      <c r="C1018">
        <v>0.773395849929701</v>
      </c>
      <c r="D1018">
        <v>0.443763284309608</v>
      </c>
      <c r="E1018">
        <v>0.349663488415761</v>
      </c>
      <c r="F1018">
        <v>0.252188098821143</v>
      </c>
      <c r="G1018">
        <v>0.174452384875388</v>
      </c>
      <c r="H1018">
        <v>0.167200754444575</v>
      </c>
      <c r="I1018">
        <v>0.14629512494893</v>
      </c>
      <c r="J1018">
        <v>0.133620214504227</v>
      </c>
      <c r="K1018">
        <v>0.133609465984524</v>
      </c>
      <c r="L1018">
        <v>724.06685867666</v>
      </c>
      <c r="M1018">
        <v>17.1634628475781</v>
      </c>
      <c r="N1018">
        <v>43.1201944715299</v>
      </c>
      <c r="O1018">
        <v>41.6263324246104</v>
      </c>
      <c r="P1018">
        <v>-0.0870879297496229</v>
      </c>
      <c r="Q1018">
        <v>0.155197199212546</v>
      </c>
      <c r="R1018">
        <v>0.9808332377318409</v>
      </c>
      <c r="S1018" t="s">
        <v>2686</v>
      </c>
      <c r="T1018" t="s">
        <v>3312</v>
      </c>
      <c r="U1018" t="s">
        <v>3312</v>
      </c>
      <c r="V1018" t="s">
        <v>3312</v>
      </c>
      <c r="W1018" t="s">
        <v>4328</v>
      </c>
      <c r="X1018">
        <v>1</v>
      </c>
      <c r="Y1018" t="s">
        <v>5969</v>
      </c>
      <c r="Z1018" t="s">
        <v>7611</v>
      </c>
      <c r="AA1018">
        <v>0.3190181232506628</v>
      </c>
      <c r="AB1018">
        <f>HYPERLINK("Melting_Curves/meltCurve_P24202_mrr.pdf", "Melting_Curves/meltCurve_P24202_mrr.pdf")</f>
        <v>0</v>
      </c>
    </row>
    <row r="1019" spans="1:28">
      <c r="A1019" t="s">
        <v>1045</v>
      </c>
      <c r="B1019">
        <v>0.999984544473304</v>
      </c>
      <c r="C1019">
        <v>0.676266843780405</v>
      </c>
      <c r="D1019">
        <v>0.833085530924199</v>
      </c>
      <c r="E1019">
        <v>0.604883876845778</v>
      </c>
      <c r="F1019">
        <v>0.342727166984004</v>
      </c>
      <c r="G1019">
        <v>0.12780033640652</v>
      </c>
      <c r="H1019">
        <v>0.0550497768134144</v>
      </c>
      <c r="I1019">
        <v>0.0420020210787119</v>
      </c>
      <c r="J1019">
        <v>0.0242997301269153</v>
      </c>
      <c r="K1019">
        <v>0.0325931981623479</v>
      </c>
      <c r="L1019">
        <v>571.80472616369</v>
      </c>
      <c r="M1019">
        <v>12.1216642581944</v>
      </c>
      <c r="N1019">
        <v>47.1721300722974</v>
      </c>
      <c r="O1019">
        <v>45.9433449299416</v>
      </c>
      <c r="P1019">
        <v>-0.06597513950141599</v>
      </c>
      <c r="Q1019">
        <v>0</v>
      </c>
      <c r="R1019">
        <v>0.946503797094832</v>
      </c>
      <c r="S1019" t="s">
        <v>2687</v>
      </c>
      <c r="T1019" t="s">
        <v>3312</v>
      </c>
      <c r="U1019" t="s">
        <v>3312</v>
      </c>
      <c r="V1019" t="s">
        <v>3312</v>
      </c>
      <c r="W1019" t="s">
        <v>4329</v>
      </c>
      <c r="X1019">
        <v>2</v>
      </c>
      <c r="Y1019" t="s">
        <v>5970</v>
      </c>
      <c r="Z1019" t="s">
        <v>7612</v>
      </c>
      <c r="AA1019">
        <v>0.3711474451371209</v>
      </c>
      <c r="AB1019">
        <f>HYPERLINK("Melting_Curves/meltCurve_P24203_yjiA.pdf", "Melting_Curves/meltCurve_P24203_yjiA.pdf")</f>
        <v>0</v>
      </c>
    </row>
    <row r="1020" spans="1:28">
      <c r="A1020" t="s">
        <v>1046</v>
      </c>
      <c r="B1020">
        <v>0.999984544473304</v>
      </c>
      <c r="C1020">
        <v>0.876896764850209</v>
      </c>
      <c r="D1020">
        <v>0.974923051242006</v>
      </c>
      <c r="E1020">
        <v>0.871238851179167</v>
      </c>
      <c r="F1020">
        <v>0.983630418274651</v>
      </c>
      <c r="G1020">
        <v>0.722369390898618</v>
      </c>
      <c r="H1020">
        <v>0.28882572775864</v>
      </c>
      <c r="I1020">
        <v>0.0348397953949093</v>
      </c>
      <c r="J1020">
        <v>0.013831873818348</v>
      </c>
      <c r="K1020">
        <v>0.0102594189953174</v>
      </c>
      <c r="L1020">
        <v>1694.74318436533</v>
      </c>
      <c r="M1020">
        <v>30.4999933655523</v>
      </c>
      <c r="N1020">
        <v>55.5653674279455</v>
      </c>
      <c r="O1020">
        <v>55.3281340160946</v>
      </c>
      <c r="P1020">
        <v>-0.137814965134785</v>
      </c>
      <c r="Q1020">
        <v>0</v>
      </c>
      <c r="R1020">
        <v>0.980689184317298</v>
      </c>
      <c r="S1020" t="s">
        <v>2688</v>
      </c>
      <c r="T1020" t="s">
        <v>3312</v>
      </c>
      <c r="U1020" t="s">
        <v>3312</v>
      </c>
      <c r="V1020" t="s">
        <v>3312</v>
      </c>
      <c r="W1020" t="s">
        <v>4330</v>
      </c>
      <c r="X1020">
        <v>2</v>
      </c>
      <c r="Y1020" t="s">
        <v>5971</v>
      </c>
      <c r="Z1020" t="s">
        <v>7613</v>
      </c>
      <c r="AA1020">
        <v>0.6249696442644361</v>
      </c>
      <c r="AB1020">
        <f>HYPERLINK("Melting_Curves/meltCurve_P24205_lpxM.pdf", "Melting_Curves/meltCurve_P24205_lpxM.pdf")</f>
        <v>0</v>
      </c>
    </row>
    <row r="1021" spans="1:28">
      <c r="A1021" t="s">
        <v>1047</v>
      </c>
      <c r="B1021">
        <v>0.999984544473304</v>
      </c>
      <c r="C1021">
        <v>0.939732687208976</v>
      </c>
      <c r="D1021">
        <v>0.832400102136756</v>
      </c>
      <c r="E1021">
        <v>0.652601158422244</v>
      </c>
      <c r="F1021">
        <v>0.640084250789874</v>
      </c>
      <c r="G1021">
        <v>0.549361144587581</v>
      </c>
      <c r="H1021">
        <v>0.414025885587029</v>
      </c>
      <c r="I1021">
        <v>0.167109782668649</v>
      </c>
      <c r="J1021">
        <v>0.0366853616674588</v>
      </c>
      <c r="K1021">
        <v>0.0258933748574818</v>
      </c>
      <c r="L1021">
        <v>489.689202788412</v>
      </c>
      <c r="M1021">
        <v>9.336707301048021</v>
      </c>
      <c r="N1021">
        <v>52.4477406141881</v>
      </c>
      <c r="O1021">
        <v>50.2103867937105</v>
      </c>
      <c r="P1021">
        <v>-0.0465172985351856</v>
      </c>
      <c r="Q1021">
        <v>0</v>
      </c>
      <c r="R1021">
        <v>0.944430056987915</v>
      </c>
      <c r="S1021" t="s">
        <v>2689</v>
      </c>
      <c r="T1021" t="s">
        <v>3312</v>
      </c>
      <c r="U1021" t="s">
        <v>3312</v>
      </c>
      <c r="V1021" t="s">
        <v>3312</v>
      </c>
      <c r="W1021" t="s">
        <v>4331</v>
      </c>
      <c r="X1021">
        <v>7</v>
      </c>
      <c r="Y1021" t="s">
        <v>5972</v>
      </c>
      <c r="Z1021" t="s">
        <v>7614</v>
      </c>
      <c r="AA1021">
        <v>0.5402172884631763</v>
      </c>
      <c r="AB1021">
        <f>HYPERLINK("Melting_Curves/meltCurve_P24215_uxuA.pdf", "Melting_Curves/meltCurve_P24215_uxuA.pdf")</f>
        <v>0</v>
      </c>
    </row>
    <row r="1022" spans="1:28">
      <c r="A1022" t="s">
        <v>1048</v>
      </c>
      <c r="B1022">
        <v>0.999984544473304</v>
      </c>
      <c r="C1022">
        <v>0.873292668073586</v>
      </c>
      <c r="D1022">
        <v>1.22961698975729</v>
      </c>
      <c r="E1022">
        <v>0.913098816800984</v>
      </c>
      <c r="F1022">
        <v>1.13464164768883</v>
      </c>
      <c r="G1022">
        <v>0.847843432016293</v>
      </c>
      <c r="H1022">
        <v>0.625726107719522</v>
      </c>
      <c r="I1022">
        <v>0.544631595953791</v>
      </c>
      <c r="J1022">
        <v>0.367613967439449</v>
      </c>
      <c r="K1022">
        <v>0.34008066213705</v>
      </c>
      <c r="L1022">
        <v>1299.15318065879</v>
      </c>
      <c r="M1022">
        <v>22.6277442315474</v>
      </c>
      <c r="N1022">
        <v>60.3237361246894</v>
      </c>
      <c r="O1022">
        <v>56.9713908069216</v>
      </c>
      <c r="P1022">
        <v>-0.0663173654725568</v>
      </c>
      <c r="Q1022">
        <v>0.332126614424295</v>
      </c>
      <c r="R1022">
        <v>0.870314792235733</v>
      </c>
      <c r="S1022" t="s">
        <v>2690</v>
      </c>
      <c r="T1022" t="s">
        <v>3312</v>
      </c>
      <c r="U1022" t="s">
        <v>3312</v>
      </c>
      <c r="V1022" t="s">
        <v>3312</v>
      </c>
      <c r="W1022" t="s">
        <v>4332</v>
      </c>
      <c r="X1022">
        <v>3</v>
      </c>
      <c r="Y1022" t="s">
        <v>5973</v>
      </c>
      <c r="Z1022" t="s">
        <v>7615</v>
      </c>
      <c r="AA1022">
        <v>0.7917128264488705</v>
      </c>
      <c r="AB1022">
        <f>HYPERLINK("Melting_Curves/meltCurve_P24232_hmp.pdf", "Melting_Curves/meltCurve_P24232_hmp.pdf")</f>
        <v>0</v>
      </c>
    </row>
    <row r="1023" spans="1:28">
      <c r="A1023" t="s">
        <v>1049</v>
      </c>
      <c r="B1023">
        <v>0.999984544473304</v>
      </c>
      <c r="C1023">
        <v>1.24930936472616</v>
      </c>
      <c r="D1023">
        <v>0.971084308029063</v>
      </c>
      <c r="E1023">
        <v>1.18856800391937</v>
      </c>
      <c r="F1023">
        <v>0.898429695205467</v>
      </c>
      <c r="G1023">
        <v>0.766842229690646</v>
      </c>
      <c r="H1023">
        <v>0.486148099616663</v>
      </c>
      <c r="I1023">
        <v>0.315908302521929</v>
      </c>
      <c r="J1023">
        <v>0.246657509766459</v>
      </c>
      <c r="K1023">
        <v>0.176474640246157</v>
      </c>
      <c r="L1023">
        <v>1213.0752787548</v>
      </c>
      <c r="M1023">
        <v>21.6106506586787</v>
      </c>
      <c r="N1023">
        <v>57.2904363144856</v>
      </c>
      <c r="O1023">
        <v>55.6591842742703</v>
      </c>
      <c r="P1023">
        <v>-0.0799015767854328</v>
      </c>
      <c r="Q1023">
        <v>0.176859512772911</v>
      </c>
      <c r="R1023">
        <v>0.925440665043145</v>
      </c>
      <c r="S1023" t="s">
        <v>2691</v>
      </c>
      <c r="T1023" t="s">
        <v>3312</v>
      </c>
      <c r="U1023" t="s">
        <v>3312</v>
      </c>
      <c r="V1023" t="s">
        <v>3312</v>
      </c>
      <c r="W1023" t="s">
        <v>4333</v>
      </c>
      <c r="X1023">
        <v>1</v>
      </c>
      <c r="Y1023" t="s">
        <v>5974</v>
      </c>
      <c r="Z1023" t="s">
        <v>7616</v>
      </c>
      <c r="AA1023">
        <v>0.7096192748381653</v>
      </c>
      <c r="AB1023">
        <f>HYPERLINK("Melting_Curves/meltCurve_P24242_ascG.pdf", "Melting_Curves/meltCurve_P24242_ascG.pdf")</f>
        <v>0</v>
      </c>
    </row>
    <row r="1024" spans="1:28">
      <c r="A1024" t="s">
        <v>1050</v>
      </c>
      <c r="B1024">
        <v>0.999984544473304</v>
      </c>
      <c r="C1024">
        <v>0.733172305318731</v>
      </c>
      <c r="D1024">
        <v>0.931023628448824</v>
      </c>
      <c r="E1024">
        <v>0.441921958697456</v>
      </c>
      <c r="F1024">
        <v>0.25345039398425</v>
      </c>
      <c r="G1024">
        <v>0.0815819586677531</v>
      </c>
      <c r="H1024">
        <v>0.0432445948206236</v>
      </c>
      <c r="I1024">
        <v>0.0256678897906783</v>
      </c>
      <c r="J1024">
        <v>0.0188410859718782</v>
      </c>
      <c r="K1024">
        <v>0.0125345321945608</v>
      </c>
      <c r="L1024">
        <v>746.020162594761</v>
      </c>
      <c r="M1024">
        <v>16.0337567201728</v>
      </c>
      <c r="N1024">
        <v>46.5280895041136</v>
      </c>
      <c r="O1024">
        <v>45.8223818253906</v>
      </c>
      <c r="P1024">
        <v>-0.0874845615572236</v>
      </c>
      <c r="Q1024">
        <v>0</v>
      </c>
      <c r="R1024">
        <v>0.954364226887091</v>
      </c>
      <c r="S1024" t="s">
        <v>2692</v>
      </c>
      <c r="T1024" t="s">
        <v>3312</v>
      </c>
      <c r="U1024" t="s">
        <v>3312</v>
      </c>
      <c r="V1024" t="s">
        <v>3312</v>
      </c>
      <c r="W1024" t="s">
        <v>4334</v>
      </c>
      <c r="X1024">
        <v>3</v>
      </c>
      <c r="Y1024" t="s">
        <v>5975</v>
      </c>
      <c r="Z1024" t="s">
        <v>7617</v>
      </c>
      <c r="AA1024">
        <v>0.3377019613044459</v>
      </c>
      <c r="AB1024">
        <f>HYPERLINK("Melting_Curves/meltCurve_P24251_crl.pdf", "Melting_Curves/meltCurve_P24251_crl.pdf")</f>
        <v>0</v>
      </c>
    </row>
    <row r="1025" spans="1:28">
      <c r="A1025" t="s">
        <v>1051</v>
      </c>
      <c r="B1025">
        <v>0.999984544473304</v>
      </c>
      <c r="C1025">
        <v>0.882782622636555</v>
      </c>
      <c r="D1025">
        <v>0.399554096821354</v>
      </c>
      <c r="E1025">
        <v>0.286683863424643</v>
      </c>
      <c r="F1025">
        <v>0.206455713111263</v>
      </c>
      <c r="G1025">
        <v>0.137264517338703</v>
      </c>
      <c r="H1025">
        <v>0.104355667679171</v>
      </c>
      <c r="I1025">
        <v>0.0856428476750129</v>
      </c>
      <c r="J1025">
        <v>0.09952054483296011</v>
      </c>
      <c r="K1025">
        <v>0.127933678302117</v>
      </c>
      <c r="L1025">
        <v>1094.05479931407</v>
      </c>
      <c r="M1025">
        <v>25.940010572544</v>
      </c>
      <c r="N1025">
        <v>42.6812007110197</v>
      </c>
      <c r="O1025">
        <v>41.928080454567</v>
      </c>
      <c r="P1025">
        <v>-0.134237339883099</v>
      </c>
      <c r="Q1025">
        <v>0.132113146114084</v>
      </c>
      <c r="R1025">
        <v>0.978995155273247</v>
      </c>
      <c r="S1025" t="s">
        <v>2693</v>
      </c>
      <c r="T1025" t="s">
        <v>3312</v>
      </c>
      <c r="U1025" t="s">
        <v>3312</v>
      </c>
      <c r="V1025" t="s">
        <v>3312</v>
      </c>
      <c r="W1025" t="s">
        <v>4335</v>
      </c>
      <c r="X1025">
        <v>1</v>
      </c>
      <c r="Y1025" t="s">
        <v>5976</v>
      </c>
      <c r="Z1025" t="s">
        <v>7618</v>
      </c>
      <c r="AA1025">
        <v>0.2888371209753197</v>
      </c>
      <c r="AB1025">
        <f>HYPERLINK("Melting_Curves/meltCurve_P24255_rpoN.pdf", "Melting_Curves/meltCurve_P24255_rpoN.pdf")</f>
        <v>0</v>
      </c>
    </row>
    <row r="1026" spans="1:28">
      <c r="A1026" t="s">
        <v>1052</v>
      </c>
      <c r="B1026">
        <v>0.999984544473304</v>
      </c>
      <c r="C1026">
        <v>1.40804452241229</v>
      </c>
      <c r="D1026">
        <v>0.8245173244560861</v>
      </c>
      <c r="E1026">
        <v>0.352169615835561</v>
      </c>
      <c r="F1026">
        <v>0.17834403761963</v>
      </c>
      <c r="G1026">
        <v>0.0977556901609259</v>
      </c>
      <c r="H1026">
        <v>0.07581230136315981</v>
      </c>
      <c r="I1026">
        <v>0.0478536577615674</v>
      </c>
      <c r="J1026">
        <v>0.0331696249348368</v>
      </c>
      <c r="K1026">
        <v>0.0395042741113073</v>
      </c>
      <c r="L1026">
        <v>1485.17993814211</v>
      </c>
      <c r="M1026">
        <v>32.66637117253</v>
      </c>
      <c r="N1026">
        <v>45.6728859982517</v>
      </c>
      <c r="O1026">
        <v>45.2957343532618</v>
      </c>
      <c r="P1026">
        <v>-0.167846712886102</v>
      </c>
      <c r="Q1026">
        <v>0.0690481343030443</v>
      </c>
      <c r="R1026">
        <v>0.915599534831643</v>
      </c>
      <c r="S1026" t="s">
        <v>2694</v>
      </c>
      <c r="T1026" t="s">
        <v>3312</v>
      </c>
      <c r="U1026" t="s">
        <v>3312</v>
      </c>
      <c r="V1026" t="s">
        <v>3312</v>
      </c>
      <c r="W1026" t="s">
        <v>4336</v>
      </c>
      <c r="X1026">
        <v>4</v>
      </c>
      <c r="Y1026" t="s">
        <v>5977</v>
      </c>
      <c r="Z1026" t="s">
        <v>7619</v>
      </c>
      <c r="AA1026">
        <v>0.3361553340021836</v>
      </c>
      <c r="AB1026">
        <f>HYPERLINK("Melting_Curves/meltCurve_P24555_ptrB.pdf", "Melting_Curves/meltCurve_P24555_ptrB.pdf")</f>
        <v>0</v>
      </c>
    </row>
    <row r="1027" spans="1:28">
      <c r="A1027" t="s">
        <v>1053</v>
      </c>
      <c r="B1027">
        <v>0.999984544473304</v>
      </c>
      <c r="C1027">
        <v>0.74523135302775</v>
      </c>
      <c r="D1027">
        <v>0.673786163443112</v>
      </c>
      <c r="E1027">
        <v>0.200614128631205</v>
      </c>
      <c r="F1027">
        <v>0.113443108266223</v>
      </c>
      <c r="G1027">
        <v>0.06827857233099539</v>
      </c>
      <c r="H1027">
        <v>0.0601687382236804</v>
      </c>
      <c r="I1027">
        <v>0.0470320309254846</v>
      </c>
      <c r="J1027">
        <v>0.0378345348274935</v>
      </c>
      <c r="K1027">
        <v>0.0364273388047543</v>
      </c>
      <c r="L1027">
        <v>789.531333698029</v>
      </c>
      <c r="M1027">
        <v>18.1097586290088</v>
      </c>
      <c r="N1027">
        <v>43.7706787008146</v>
      </c>
      <c r="O1027">
        <v>43.0758418457859</v>
      </c>
      <c r="P1027">
        <v>-0.101465208374591</v>
      </c>
      <c r="Q1027">
        <v>0.034666596639816</v>
      </c>
      <c r="R1027">
        <v>0.978579152459318</v>
      </c>
      <c r="S1027" t="s">
        <v>2695</v>
      </c>
      <c r="T1027" t="s">
        <v>3312</v>
      </c>
      <c r="U1027" t="s">
        <v>3312</v>
      </c>
      <c r="V1027" t="s">
        <v>3312</v>
      </c>
      <c r="W1027" t="s">
        <v>4337</v>
      </c>
      <c r="X1027">
        <v>7</v>
      </c>
      <c r="Y1027" t="s">
        <v>5978</v>
      </c>
      <c r="Z1027" t="s">
        <v>7620</v>
      </c>
      <c r="AA1027">
        <v>0.2632598384707374</v>
      </c>
      <c r="AB1027">
        <f>HYPERLINK("Melting_Curves/meltCurve_P25397_tehB.pdf", "Melting_Curves/meltCurve_P25397_tehB.pdf")</f>
        <v>0</v>
      </c>
    </row>
    <row r="1028" spans="1:28">
      <c r="A1028" t="s">
        <v>1054</v>
      </c>
      <c r="B1028">
        <v>0.999984544473304</v>
      </c>
      <c r="C1028">
        <v>1.05534220146131</v>
      </c>
      <c r="D1028">
        <v>1.05485488171959</v>
      </c>
      <c r="E1028">
        <v>1.03203384340654</v>
      </c>
      <c r="F1028">
        <v>0.924222218324706</v>
      </c>
      <c r="G1028">
        <v>0.393274256690555</v>
      </c>
      <c r="H1028">
        <v>0.061148056579744</v>
      </c>
      <c r="I1028">
        <v>0.0320766878565006</v>
      </c>
      <c r="J1028">
        <v>0.0212745764391151</v>
      </c>
      <c r="K1028">
        <v>0.018315135481189</v>
      </c>
      <c r="L1028">
        <v>2261.82907860814</v>
      </c>
      <c r="M1028">
        <v>42.5349857687864</v>
      </c>
      <c r="N1028">
        <v>53.2315229456197</v>
      </c>
      <c r="O1028">
        <v>53.0585852475856</v>
      </c>
      <c r="P1028">
        <v>-0.196047595952384</v>
      </c>
      <c r="Q1028">
        <v>0.0217940546436999</v>
      </c>
      <c r="R1028">
        <v>0.996636175035206</v>
      </c>
      <c r="S1028" t="s">
        <v>2696</v>
      </c>
      <c r="T1028" t="s">
        <v>3312</v>
      </c>
      <c r="U1028" t="s">
        <v>3312</v>
      </c>
      <c r="V1028" t="s">
        <v>3312</v>
      </c>
      <c r="W1028" t="s">
        <v>4338</v>
      </c>
      <c r="X1028">
        <v>5</v>
      </c>
      <c r="Y1028" t="s">
        <v>5979</v>
      </c>
      <c r="Z1028" t="s">
        <v>7621</v>
      </c>
      <c r="AA1028">
        <v>0.5524007760044298</v>
      </c>
      <c r="AB1028">
        <f>HYPERLINK("Melting_Curves/meltCurve_P25437_frmA.pdf", "Melting_Curves/meltCurve_P25437_frmA.pdf")</f>
        <v>0</v>
      </c>
    </row>
    <row r="1029" spans="1:28">
      <c r="A1029" t="s">
        <v>1055</v>
      </c>
      <c r="B1029">
        <v>0.999984544473304</v>
      </c>
      <c r="C1029">
        <v>1.08471397763557</v>
      </c>
      <c r="D1029">
        <v>0.410662295606023</v>
      </c>
      <c r="E1029">
        <v>0.253690863841884</v>
      </c>
      <c r="F1029">
        <v>0.13326279826687</v>
      </c>
      <c r="G1029">
        <v>0.102148665300428</v>
      </c>
      <c r="H1029">
        <v>0.0914440715902389</v>
      </c>
      <c r="I1029">
        <v>0.06401055027401049</v>
      </c>
      <c r="J1029">
        <v>0.0492731313701804</v>
      </c>
      <c r="K1029">
        <v>0.0353925015365102</v>
      </c>
      <c r="L1029">
        <v>10721.8856576192</v>
      </c>
      <c r="M1029">
        <v>250</v>
      </c>
      <c r="N1029">
        <v>42.927682212661</v>
      </c>
      <c r="O1029">
        <v>42.8848153332967</v>
      </c>
      <c r="P1029">
        <v>-1.30556949130396</v>
      </c>
      <c r="Q1029">
        <v>0.104174653898171</v>
      </c>
      <c r="R1029">
        <v>0.971782950435117</v>
      </c>
      <c r="S1029" t="s">
        <v>2697</v>
      </c>
      <c r="T1029" t="s">
        <v>3312</v>
      </c>
      <c r="U1029" t="s">
        <v>3312</v>
      </c>
      <c r="V1029" t="s">
        <v>3312</v>
      </c>
      <c r="W1029" t="s">
        <v>4339</v>
      </c>
      <c r="X1029">
        <v>25</v>
      </c>
      <c r="Y1029" t="s">
        <v>5980</v>
      </c>
      <c r="Z1029" t="s">
        <v>7622</v>
      </c>
      <c r="AA1029">
        <v>0.2800490771120153</v>
      </c>
      <c r="AB1029">
        <f>HYPERLINK("Melting_Curves/meltCurve_P25516_acnA.pdf", "Melting_Curves/meltCurve_P25516_acnA.pdf")</f>
        <v>0</v>
      </c>
    </row>
    <row r="1030" spans="1:28">
      <c r="A1030" t="s">
        <v>1056</v>
      </c>
      <c r="B1030">
        <v>0.999984544473304</v>
      </c>
      <c r="C1030">
        <v>0.843256473471106</v>
      </c>
      <c r="D1030">
        <v>0.667365588300329</v>
      </c>
      <c r="E1030">
        <v>0.159655019840746</v>
      </c>
      <c r="F1030">
        <v>0.0974674581115344</v>
      </c>
      <c r="G1030">
        <v>0.0710278044935868</v>
      </c>
      <c r="H1030">
        <v>0.0549033744076658</v>
      </c>
      <c r="I1030">
        <v>0.0471057732423243</v>
      </c>
      <c r="J1030">
        <v>0.0307065182296798</v>
      </c>
      <c r="K1030">
        <v>0.0315923885114932</v>
      </c>
      <c r="L1030">
        <v>1083.20952041969</v>
      </c>
      <c r="M1030">
        <v>24.7883556496775</v>
      </c>
      <c r="N1030">
        <v>43.8546927994077</v>
      </c>
      <c r="O1030">
        <v>43.4168934724061</v>
      </c>
      <c r="P1030">
        <v>-0.136699178753276</v>
      </c>
      <c r="Q1030">
        <v>0.0422966904557973</v>
      </c>
      <c r="R1030">
        <v>0.990834918151523</v>
      </c>
      <c r="S1030" t="s">
        <v>2698</v>
      </c>
      <c r="T1030" t="s">
        <v>3312</v>
      </c>
      <c r="U1030" t="s">
        <v>3312</v>
      </c>
      <c r="V1030" t="s">
        <v>3312</v>
      </c>
      <c r="W1030" t="s">
        <v>4340</v>
      </c>
      <c r="X1030">
        <v>3</v>
      </c>
      <c r="Y1030" t="s">
        <v>5981</v>
      </c>
      <c r="Z1030" t="s">
        <v>7623</v>
      </c>
      <c r="AA1030">
        <v>0.2641721090964942</v>
      </c>
      <c r="AB1030">
        <f>HYPERLINK("Melting_Curves/meltCurve_P25519_hflX.pdf", "Melting_Curves/meltCurve_P25519_hflX.pdf")</f>
        <v>0</v>
      </c>
    </row>
    <row r="1031" spans="1:28">
      <c r="A1031" t="s">
        <v>1057</v>
      </c>
      <c r="B1031">
        <v>0.999984544473304</v>
      </c>
      <c r="C1031">
        <v>0.545505258570545</v>
      </c>
      <c r="D1031">
        <v>0.28444223251819</v>
      </c>
      <c r="E1031">
        <v>0.169507872228434</v>
      </c>
      <c r="F1031">
        <v>0.0826587409914028</v>
      </c>
      <c r="G1031">
        <v>0.0399620223983671</v>
      </c>
      <c r="H1031">
        <v>0.0361390232177364</v>
      </c>
      <c r="I1031">
        <v>0.0247850206815081</v>
      </c>
      <c r="J1031">
        <v>0.0205982789373355</v>
      </c>
      <c r="K1031">
        <v>0.0222360922536357</v>
      </c>
      <c r="L1031">
        <v>865.786570489639</v>
      </c>
      <c r="M1031">
        <v>21.2998947169067</v>
      </c>
      <c r="N1031">
        <v>40.8199548821826</v>
      </c>
      <c r="O1031">
        <v>40.2942622589247</v>
      </c>
      <c r="P1031">
        <v>-0.126467526122704</v>
      </c>
      <c r="Q1031">
        <v>0.0430401209505929</v>
      </c>
      <c r="R1031">
        <v>0.975536607046802</v>
      </c>
      <c r="S1031" t="s">
        <v>2699</v>
      </c>
      <c r="T1031" t="s">
        <v>3312</v>
      </c>
      <c r="U1031" t="s">
        <v>3312</v>
      </c>
      <c r="V1031" t="s">
        <v>3312</v>
      </c>
      <c r="W1031" t="s">
        <v>4341</v>
      </c>
      <c r="X1031">
        <v>4</v>
      </c>
      <c r="Y1031" t="s">
        <v>5982</v>
      </c>
      <c r="Z1031" t="s">
        <v>7624</v>
      </c>
      <c r="AA1031">
        <v>0.1744271231162779</v>
      </c>
      <c r="AB1031">
        <f>HYPERLINK("Melting_Curves/meltCurve_P25522_mnmE.pdf", "Melting_Curves/meltCurve_P25522_mnmE.pdf")</f>
        <v>0</v>
      </c>
    </row>
    <row r="1032" spans="1:28">
      <c r="A1032" t="s">
        <v>1058</v>
      </c>
      <c r="B1032">
        <v>0.999984544473304</v>
      </c>
      <c r="C1032">
        <v>0.983411551412007</v>
      </c>
      <c r="D1032">
        <v>0.734603542689701</v>
      </c>
      <c r="E1032">
        <v>0.769828339306719</v>
      </c>
      <c r="F1032">
        <v>0.750548169920599</v>
      </c>
      <c r="G1032">
        <v>0.588759332656957</v>
      </c>
      <c r="H1032">
        <v>0.545367466613111</v>
      </c>
      <c r="I1032">
        <v>0.479408961058962</v>
      </c>
      <c r="J1032">
        <v>0.383726438317238</v>
      </c>
      <c r="K1032">
        <v>0.487137136994185</v>
      </c>
      <c r="L1032">
        <v>362.061695836361</v>
      </c>
      <c r="M1032">
        <v>7.10555692099474</v>
      </c>
      <c r="N1032">
        <v>59.9282882451243</v>
      </c>
      <c r="O1032">
        <v>47.3810708609669</v>
      </c>
      <c r="P1032">
        <v>-0.0252588483601032</v>
      </c>
      <c r="Q1032">
        <v>0.327458976120614</v>
      </c>
      <c r="R1032">
        <v>0.914084044262243</v>
      </c>
      <c r="S1032" t="s">
        <v>2700</v>
      </c>
      <c r="T1032" t="s">
        <v>3312</v>
      </c>
      <c r="U1032" t="s">
        <v>3312</v>
      </c>
      <c r="V1032" t="s">
        <v>3312</v>
      </c>
      <c r="W1032" t="s">
        <v>4342</v>
      </c>
      <c r="X1032">
        <v>4</v>
      </c>
      <c r="Y1032" t="s">
        <v>5983</v>
      </c>
      <c r="Z1032" t="s">
        <v>7625</v>
      </c>
      <c r="AA1032">
        <v>0.6650916812014007</v>
      </c>
      <c r="AB1032">
        <f>HYPERLINK("Melting_Curves/meltCurve_P25524_codA.pdf", "Melting_Curves/meltCurve_P25524_codA.pdf")</f>
        <v>0</v>
      </c>
    </row>
    <row r="1033" spans="1:28">
      <c r="A1033" t="s">
        <v>1059</v>
      </c>
      <c r="B1033">
        <v>0.999984544473304</v>
      </c>
      <c r="C1033">
        <v>0.782654195104743</v>
      </c>
      <c r="D1033">
        <v>0.417665436074591</v>
      </c>
      <c r="E1033">
        <v>0.349631166791977</v>
      </c>
      <c r="F1033">
        <v>0.190763170713629</v>
      </c>
      <c r="G1033">
        <v>0.140871730279038</v>
      </c>
      <c r="H1033">
        <v>0.10069346882025</v>
      </c>
      <c r="I1033">
        <v>0.0694754474505071</v>
      </c>
      <c r="J1033">
        <v>0.0443186538531534</v>
      </c>
      <c r="K1033">
        <v>0.06287558464306579</v>
      </c>
      <c r="L1033">
        <v>642.452867159097</v>
      </c>
      <c r="M1033">
        <v>15.0278679602223</v>
      </c>
      <c r="N1033">
        <v>43.2156462763132</v>
      </c>
      <c r="O1033">
        <v>42.0151705209796</v>
      </c>
      <c r="P1033">
        <v>-0.0827538127096714</v>
      </c>
      <c r="Q1033">
        <v>0.07463433365047011</v>
      </c>
      <c r="R1033">
        <v>0.9750370505270241</v>
      </c>
      <c r="S1033" t="s">
        <v>2701</v>
      </c>
      <c r="T1033" t="s">
        <v>3312</v>
      </c>
      <c r="U1033" t="s">
        <v>3312</v>
      </c>
      <c r="V1033" t="s">
        <v>3312</v>
      </c>
      <c r="W1033" t="s">
        <v>4343</v>
      </c>
      <c r="X1033">
        <v>11</v>
      </c>
      <c r="Y1033" t="s">
        <v>5984</v>
      </c>
      <c r="Z1033" t="s">
        <v>7626</v>
      </c>
      <c r="AA1033">
        <v>0.2768451002580308</v>
      </c>
      <c r="AB1033">
        <f>HYPERLINK("Melting_Curves/meltCurve_P25526_gabD.pdf", "Melting_Curves/meltCurve_P25526_gabD.pdf")</f>
        <v>0</v>
      </c>
    </row>
    <row r="1034" spans="1:28">
      <c r="A1034" t="s">
        <v>1060</v>
      </c>
      <c r="B1034">
        <v>0.999984544473304</v>
      </c>
      <c r="C1034">
        <v>1.00740157397926</v>
      </c>
      <c r="D1034">
        <v>0.9962824277849071</v>
      </c>
      <c r="E1034">
        <v>0.988126962409001</v>
      </c>
      <c r="F1034">
        <v>0.782817449810786</v>
      </c>
      <c r="G1034">
        <v>0.334416711977798</v>
      </c>
      <c r="H1034">
        <v>0.0959135162775724</v>
      </c>
      <c r="I1034">
        <v>0.0584575958415483</v>
      </c>
      <c r="J1034">
        <v>0.0488436234765154</v>
      </c>
      <c r="K1034">
        <v>0.0511135995592189</v>
      </c>
      <c r="L1034">
        <v>1589.86506502305</v>
      </c>
      <c r="M1034">
        <v>30.4146190830467</v>
      </c>
      <c r="N1034">
        <v>52.4375073655969</v>
      </c>
      <c r="O1034">
        <v>52.0486372251379</v>
      </c>
      <c r="P1034">
        <v>-0.139443736230139</v>
      </c>
      <c r="Q1034">
        <v>0.0454837985765942</v>
      </c>
      <c r="R1034">
        <v>0.99981282322386</v>
      </c>
      <c r="S1034" t="s">
        <v>2702</v>
      </c>
      <c r="T1034" t="s">
        <v>3312</v>
      </c>
      <c r="U1034" t="s">
        <v>3312</v>
      </c>
      <c r="V1034" t="s">
        <v>3312</v>
      </c>
      <c r="W1034" t="s">
        <v>4344</v>
      </c>
      <c r="X1034">
        <v>8</v>
      </c>
      <c r="Y1034" t="s">
        <v>5985</v>
      </c>
      <c r="Z1034" t="s">
        <v>7627</v>
      </c>
      <c r="AA1034">
        <v>0.5373133112987506</v>
      </c>
      <c r="AB1034">
        <f>HYPERLINK("Melting_Curves/meltCurve_P25539_ribD.pdf", "Melting_Curves/meltCurve_P25539_ribD.pdf")</f>
        <v>0</v>
      </c>
    </row>
    <row r="1035" spans="1:28">
      <c r="A1035" t="s">
        <v>1061</v>
      </c>
      <c r="B1035">
        <v>0.999984544473304</v>
      </c>
      <c r="C1035">
        <v>1.11015965877546</v>
      </c>
      <c r="D1035">
        <v>0.851885364185104</v>
      </c>
      <c r="E1035">
        <v>0.529983522398531</v>
      </c>
      <c r="F1035">
        <v>0.280064356758635</v>
      </c>
      <c r="G1035">
        <v>0.173990775882985</v>
      </c>
      <c r="H1035">
        <v>0.10055540068025</v>
      </c>
      <c r="I1035">
        <v>0.0600432465739839</v>
      </c>
      <c r="J1035">
        <v>0.0446065919715482</v>
      </c>
      <c r="K1035">
        <v>0.0964826027554563</v>
      </c>
      <c r="L1035">
        <v>956.838870305774</v>
      </c>
      <c r="M1035">
        <v>20.4509565382822</v>
      </c>
      <c r="N1035">
        <v>47.1709254159266</v>
      </c>
      <c r="O1035">
        <v>46.3465385886006</v>
      </c>
      <c r="P1035">
        <v>-0.101860845458793</v>
      </c>
      <c r="Q1035">
        <v>0.0766677547055329</v>
      </c>
      <c r="R1035">
        <v>0.984923347169731</v>
      </c>
      <c r="S1035" t="s">
        <v>2703</v>
      </c>
      <c r="T1035" t="s">
        <v>3312</v>
      </c>
      <c r="U1035" t="s">
        <v>3312</v>
      </c>
      <c r="V1035" t="s">
        <v>3312</v>
      </c>
      <c r="W1035" t="s">
        <v>4345</v>
      </c>
      <c r="X1035">
        <v>2</v>
      </c>
      <c r="Y1035" t="s">
        <v>5986</v>
      </c>
      <c r="Z1035" t="s">
        <v>7628</v>
      </c>
      <c r="AA1035">
        <v>0.389449454054918</v>
      </c>
      <c r="AB1035">
        <f>HYPERLINK("Melting_Curves/meltCurve_P25552_gppA.pdf", "Melting_Curves/meltCurve_P25552_gppA.pdf")</f>
        <v>0</v>
      </c>
    </row>
    <row r="1036" spans="1:28">
      <c r="A1036" t="s">
        <v>1062</v>
      </c>
      <c r="B1036">
        <v>0.999984544473304</v>
      </c>
      <c r="C1036">
        <v>1.15718214039047</v>
      </c>
      <c r="D1036">
        <v>1.29261907734585</v>
      </c>
      <c r="E1036">
        <v>1.13012467791879</v>
      </c>
      <c r="F1036">
        <v>1.09007862592099</v>
      </c>
      <c r="G1036">
        <v>1.23518287557037</v>
      </c>
      <c r="H1036">
        <v>0.635466803696767</v>
      </c>
      <c r="I1036">
        <v>0.0767209081346959</v>
      </c>
      <c r="J1036">
        <v>0.0338746823842793</v>
      </c>
      <c r="K1036">
        <v>0.032838131183795</v>
      </c>
      <c r="L1036">
        <v>9234.768511850591</v>
      </c>
      <c r="M1036">
        <v>160.406748904191</v>
      </c>
      <c r="N1036">
        <v>57.6070089773344</v>
      </c>
      <c r="O1036">
        <v>57.562007138449</v>
      </c>
      <c r="P1036">
        <v>-0.663390258550875</v>
      </c>
      <c r="Q1036">
        <v>0.04776900139139</v>
      </c>
      <c r="R1036">
        <v>0.923481894343828</v>
      </c>
      <c r="S1036" t="s">
        <v>2704</v>
      </c>
      <c r="T1036" t="s">
        <v>3312</v>
      </c>
      <c r="U1036" t="s">
        <v>3312</v>
      </c>
      <c r="V1036" t="s">
        <v>3312</v>
      </c>
      <c r="W1036" t="s">
        <v>4346</v>
      </c>
      <c r="X1036">
        <v>19</v>
      </c>
      <c r="Y1036" t="s">
        <v>5987</v>
      </c>
      <c r="Z1036" t="s">
        <v>7629</v>
      </c>
      <c r="AA1036">
        <v>0.7009459004041482</v>
      </c>
      <c r="AB1036">
        <f>HYPERLINK("Melting_Curves/meltCurve_P25553_aldA.pdf", "Melting_Curves/meltCurve_P25553_aldA.pdf")</f>
        <v>0</v>
      </c>
    </row>
    <row r="1037" spans="1:28">
      <c r="A1037" t="s">
        <v>1063</v>
      </c>
      <c r="B1037">
        <v>0.999984544473304</v>
      </c>
      <c r="C1037">
        <v>1.05098868967521</v>
      </c>
      <c r="D1037">
        <v>0.87596794605512</v>
      </c>
      <c r="E1037">
        <v>0.61925505246362</v>
      </c>
      <c r="F1037">
        <v>0.452245964783808</v>
      </c>
      <c r="G1037">
        <v>0.393860467488035</v>
      </c>
      <c r="H1037">
        <v>0.375809816706649</v>
      </c>
      <c r="I1037">
        <v>0.306298676729743</v>
      </c>
      <c r="J1037">
        <v>0.26634891689629</v>
      </c>
      <c r="K1037">
        <v>0.189129176550427</v>
      </c>
      <c r="L1037">
        <v>759.035349955147</v>
      </c>
      <c r="M1037">
        <v>16.1377117910252</v>
      </c>
      <c r="N1037">
        <v>49.401615888155</v>
      </c>
      <c r="O1037">
        <v>46.3304119254616</v>
      </c>
      <c r="P1037">
        <v>-0.0636411022993784</v>
      </c>
      <c r="Q1037">
        <v>0.269216074096469</v>
      </c>
      <c r="R1037">
        <v>0.972853676313561</v>
      </c>
      <c r="S1037" t="s">
        <v>2705</v>
      </c>
      <c r="T1037" t="s">
        <v>3312</v>
      </c>
      <c r="U1037" t="s">
        <v>3312</v>
      </c>
      <c r="V1037" t="s">
        <v>3312</v>
      </c>
      <c r="W1037" t="s">
        <v>4347</v>
      </c>
      <c r="X1037">
        <v>6</v>
      </c>
      <c r="Y1037" t="s">
        <v>5988</v>
      </c>
      <c r="Z1037" t="s">
        <v>7630</v>
      </c>
      <c r="AA1037">
        <v>0.5280564875843295</v>
      </c>
      <c r="AB1037">
        <f>HYPERLINK("Melting_Curves/meltCurve_P25714_yidC.pdf", "Melting_Curves/meltCurve_P25714_yidC.pdf")</f>
        <v>0</v>
      </c>
    </row>
    <row r="1038" spans="1:28">
      <c r="A1038" t="s">
        <v>1064</v>
      </c>
      <c r="B1038">
        <v>0.999984544473304</v>
      </c>
      <c r="C1038">
        <v>0.910208607888181</v>
      </c>
      <c r="D1038">
        <v>1.12792257822623</v>
      </c>
      <c r="E1038">
        <v>0.904000527667013</v>
      </c>
      <c r="F1038">
        <v>0.86345166690169</v>
      </c>
      <c r="G1038">
        <v>0.43209364395112</v>
      </c>
      <c r="H1038">
        <v>0.150502430848809</v>
      </c>
      <c r="I1038">
        <v>0.0557079353467349</v>
      </c>
      <c r="J1038">
        <v>0.0343137895636605</v>
      </c>
      <c r="K1038">
        <v>0.0282006795525058</v>
      </c>
      <c r="L1038">
        <v>1440.90976890407</v>
      </c>
      <c r="M1038">
        <v>27.0747348735298</v>
      </c>
      <c r="N1038">
        <v>53.3231120162817</v>
      </c>
      <c r="O1038">
        <v>52.9319272626299</v>
      </c>
      <c r="P1038">
        <v>-0.124606450272233</v>
      </c>
      <c r="Q1038">
        <v>0.025571999679122</v>
      </c>
      <c r="R1038">
        <v>0.983094255969364</v>
      </c>
      <c r="S1038" t="s">
        <v>2706</v>
      </c>
      <c r="T1038" t="s">
        <v>3312</v>
      </c>
      <c r="U1038" t="s">
        <v>3312</v>
      </c>
      <c r="V1038" t="s">
        <v>3312</v>
      </c>
      <c r="W1038" t="s">
        <v>4348</v>
      </c>
      <c r="X1038">
        <v>5</v>
      </c>
      <c r="Y1038" t="s">
        <v>5989</v>
      </c>
      <c r="Z1038" t="s">
        <v>7631</v>
      </c>
      <c r="AA1038">
        <v>0.5598873379979026</v>
      </c>
      <c r="AB1038">
        <f>HYPERLINK("Melting_Curves/meltCurve_P25745_mnmA.pdf", "Melting_Curves/meltCurve_P25745_mnmA.pdf")</f>
        <v>0</v>
      </c>
    </row>
    <row r="1039" spans="1:28">
      <c r="A1039" t="s">
        <v>1065</v>
      </c>
      <c r="B1039">
        <v>0.999984544473304</v>
      </c>
      <c r="C1039">
        <v>0.9083583848719951</v>
      </c>
      <c r="D1039">
        <v>1.05235936985097</v>
      </c>
      <c r="E1039">
        <v>1.05277219531773</v>
      </c>
      <c r="F1039">
        <v>1.16675644730757</v>
      </c>
      <c r="G1039">
        <v>0.979406215839639</v>
      </c>
      <c r="H1039">
        <v>0.890926837176154</v>
      </c>
      <c r="I1039">
        <v>0.78122942968437</v>
      </c>
      <c r="J1039">
        <v>0.614253238347209</v>
      </c>
      <c r="K1039">
        <v>0.52028747618279</v>
      </c>
      <c r="L1039">
        <v>1391.07000183844</v>
      </c>
      <c r="M1039">
        <v>22.4329086334498</v>
      </c>
      <c r="O1039">
        <v>61.5237975542886</v>
      </c>
      <c r="P1039">
        <v>-0.051833884920074</v>
      </c>
      <c r="Q1039">
        <v>0.431379937444826</v>
      </c>
      <c r="R1039">
        <v>0.883029704863705</v>
      </c>
      <c r="S1039" t="s">
        <v>2707</v>
      </c>
      <c r="T1039" t="s">
        <v>3312</v>
      </c>
      <c r="U1039" t="s">
        <v>3312</v>
      </c>
      <c r="V1039" t="s">
        <v>3312</v>
      </c>
      <c r="W1039" t="s">
        <v>4349</v>
      </c>
      <c r="X1039">
        <v>7</v>
      </c>
      <c r="Y1039" t="s">
        <v>5990</v>
      </c>
      <c r="Z1039" t="s">
        <v>7632</v>
      </c>
      <c r="AA1039">
        <v>0.9015324202815413</v>
      </c>
      <c r="AB1039">
        <f>HYPERLINK("Melting_Curves/meltCurve_P25894_loiP.pdf", "Melting_Curves/meltCurve_P25894_loiP.pdf")</f>
        <v>0</v>
      </c>
    </row>
    <row r="1040" spans="1:28">
      <c r="A1040" t="s">
        <v>1066</v>
      </c>
      <c r="B1040">
        <v>0.999984544473304</v>
      </c>
      <c r="C1040">
        <v>0.8303682659375931</v>
      </c>
      <c r="D1040">
        <v>0.6897400246359759</v>
      </c>
      <c r="E1040">
        <v>0.444966998628832</v>
      </c>
      <c r="F1040">
        <v>0.240692662135367</v>
      </c>
      <c r="G1040">
        <v>0.147565011214581</v>
      </c>
      <c r="H1040">
        <v>0.136993323739239</v>
      </c>
      <c r="I1040">
        <v>0.0893211122599392</v>
      </c>
      <c r="J1040">
        <v>0.0742762168666187</v>
      </c>
      <c r="K1040">
        <v>0.0483574058245834</v>
      </c>
      <c r="L1040">
        <v>603.352346992058</v>
      </c>
      <c r="M1040">
        <v>13.34356173929</v>
      </c>
      <c r="N1040">
        <v>45.6200348345789</v>
      </c>
      <c r="O1040">
        <v>44.2373878186949</v>
      </c>
      <c r="P1040">
        <v>-0.071225070902478</v>
      </c>
      <c r="Q1040">
        <v>0.0556319670402103</v>
      </c>
      <c r="R1040">
        <v>0.995617999607466</v>
      </c>
      <c r="S1040" t="s">
        <v>2708</v>
      </c>
      <c r="T1040" t="s">
        <v>3312</v>
      </c>
      <c r="U1040" t="s">
        <v>3312</v>
      </c>
      <c r="V1040" t="s">
        <v>3312</v>
      </c>
      <c r="W1040" t="s">
        <v>4350</v>
      </c>
      <c r="X1040">
        <v>5</v>
      </c>
      <c r="Y1040" t="s">
        <v>5991</v>
      </c>
      <c r="Z1040" t="s">
        <v>7633</v>
      </c>
      <c r="AA1040">
        <v>0.3422250032036001</v>
      </c>
      <c r="AB1040">
        <f>HYPERLINK("Melting_Curves/meltCurve_P25906_ydbC.pdf", "Melting_Curves/meltCurve_P25906_ydbC.pdf")</f>
        <v>0</v>
      </c>
    </row>
    <row r="1041" spans="1:28">
      <c r="A1041" t="s">
        <v>1067</v>
      </c>
      <c r="B1041">
        <v>0.999984544473304</v>
      </c>
      <c r="C1041">
        <v>1.18129169630538</v>
      </c>
      <c r="D1041">
        <v>0.943398035112162</v>
      </c>
      <c r="E1041">
        <v>0.910320808565648</v>
      </c>
      <c r="F1041">
        <v>1.05201808710498</v>
      </c>
      <c r="G1041">
        <v>0.719089673682662</v>
      </c>
      <c r="H1041">
        <v>0.321098829736272</v>
      </c>
      <c r="I1041">
        <v>0.0389617185046866</v>
      </c>
      <c r="J1041">
        <v>0.0146504628340842</v>
      </c>
      <c r="K1041">
        <v>0.0179999078317777</v>
      </c>
      <c r="L1041">
        <v>1711.21396626313</v>
      </c>
      <c r="M1041">
        <v>30.6896707350073</v>
      </c>
      <c r="N1041">
        <v>55.7586310179838</v>
      </c>
      <c r="O1041">
        <v>55.5234868590306</v>
      </c>
      <c r="P1041">
        <v>-0.138184101253037</v>
      </c>
      <c r="Q1041">
        <v>0</v>
      </c>
      <c r="R1041">
        <v>0.973174064648491</v>
      </c>
      <c r="S1041" t="s">
        <v>2709</v>
      </c>
      <c r="T1041" t="s">
        <v>3312</v>
      </c>
      <c r="U1041" t="s">
        <v>3312</v>
      </c>
      <c r="V1041" t="s">
        <v>3312</v>
      </c>
      <c r="W1041" t="s">
        <v>4351</v>
      </c>
      <c r="X1041">
        <v>7</v>
      </c>
      <c r="Y1041" t="s">
        <v>5992</v>
      </c>
      <c r="Z1041" t="s">
        <v>7634</v>
      </c>
      <c r="AA1041">
        <v>0.6313269986867752</v>
      </c>
      <c r="AB1041">
        <f>HYPERLINK("Melting_Curves/meltCurve_P26612_amyA.pdf", "Melting_Curves/meltCurve_P26612_amyA.pdf")</f>
        <v>0</v>
      </c>
    </row>
    <row r="1042" spans="1:28">
      <c r="A1042" t="s">
        <v>1068</v>
      </c>
      <c r="B1042">
        <v>0.999984544473304</v>
      </c>
      <c r="C1042">
        <v>0.569409421716634</v>
      </c>
      <c r="D1042">
        <v>0.115792969310259</v>
      </c>
      <c r="E1042">
        <v>0.0624301604888444</v>
      </c>
      <c r="F1042">
        <v>0.0405935170234075</v>
      </c>
      <c r="G1042">
        <v>0.0322329785326208</v>
      </c>
      <c r="H1042">
        <v>0.0224407189895372</v>
      </c>
      <c r="I1042">
        <v>0.0161299159935998</v>
      </c>
      <c r="J1042">
        <v>0.008622362612486631</v>
      </c>
      <c r="K1042">
        <v>0.00968048938193581</v>
      </c>
      <c r="L1042">
        <v>1536.41980592258</v>
      </c>
      <c r="M1042">
        <v>38.2375400185036</v>
      </c>
      <c r="N1042">
        <v>40.2418531930444</v>
      </c>
      <c r="O1042">
        <v>40.0715028174439</v>
      </c>
      <c r="P1042">
        <v>-0.231850552019445</v>
      </c>
      <c r="Q1042">
        <v>0.028119873392522</v>
      </c>
      <c r="R1042">
        <v>0.996533042483035</v>
      </c>
      <c r="S1042" t="s">
        <v>2710</v>
      </c>
      <c r="T1042" t="s">
        <v>3312</v>
      </c>
      <c r="U1042" t="s">
        <v>3312</v>
      </c>
      <c r="V1042" t="s">
        <v>3312</v>
      </c>
      <c r="W1042" t="s">
        <v>4352</v>
      </c>
      <c r="X1042">
        <v>10</v>
      </c>
      <c r="Y1042" t="s">
        <v>5993</v>
      </c>
      <c r="Z1042" t="s">
        <v>7635</v>
      </c>
      <c r="AA1042">
        <v>0.1351369653813885</v>
      </c>
      <c r="AB1042">
        <f>HYPERLINK("Melting_Curves/meltCurve_P26616_maeA.pdf", "Melting_Curves/meltCurve_P26616_maeA.pdf")</f>
        <v>0</v>
      </c>
    </row>
    <row r="1043" spans="1:28">
      <c r="A1043" t="s">
        <v>1069</v>
      </c>
      <c r="B1043">
        <v>0.999984544473304</v>
      </c>
      <c r="C1043">
        <v>0.9213474470561001</v>
      </c>
      <c r="D1043">
        <v>0.867777841077801</v>
      </c>
      <c r="E1043">
        <v>0.177386760528787</v>
      </c>
      <c r="F1043">
        <v>0.0726813739148308</v>
      </c>
      <c r="G1043">
        <v>0.0399644136641631</v>
      </c>
      <c r="H1043">
        <v>0.0262937638021979</v>
      </c>
      <c r="I1043">
        <v>0.0200269925578183</v>
      </c>
      <c r="J1043">
        <v>0.0179909024411339</v>
      </c>
      <c r="K1043">
        <v>0.0162373629904362</v>
      </c>
      <c r="L1043">
        <v>1908.29094519255</v>
      </c>
      <c r="M1043">
        <v>42.6063282850309</v>
      </c>
      <c r="N1043">
        <v>44.8528206171731</v>
      </c>
      <c r="O1043">
        <v>44.6905775224156</v>
      </c>
      <c r="P1043">
        <v>-0.231322119771629</v>
      </c>
      <c r="Q1043">
        <v>0.0294491083997221</v>
      </c>
      <c r="R1043">
        <v>0.995649459098615</v>
      </c>
      <c r="S1043" t="s">
        <v>2711</v>
      </c>
      <c r="T1043" t="s">
        <v>3312</v>
      </c>
      <c r="U1043" t="s">
        <v>3312</v>
      </c>
      <c r="V1043" t="s">
        <v>3312</v>
      </c>
      <c r="W1043" t="s">
        <v>4353</v>
      </c>
      <c r="X1043">
        <v>11</v>
      </c>
      <c r="Y1043" t="s">
        <v>5994</v>
      </c>
      <c r="Z1043" t="s">
        <v>7636</v>
      </c>
      <c r="AA1043">
        <v>0.2840826633826214</v>
      </c>
      <c r="AB1043">
        <f>HYPERLINK("Melting_Curves/meltCurve_P26646_acuI.pdf", "Melting_Curves/meltCurve_P26646_acuI.pdf")</f>
        <v>0</v>
      </c>
    </row>
    <row r="1044" spans="1:28">
      <c r="A1044" t="s">
        <v>1070</v>
      </c>
      <c r="B1044">
        <v>0.999984544473304</v>
      </c>
      <c r="C1044">
        <v>0.701667649657551</v>
      </c>
      <c r="D1044">
        <v>0.428069667108413</v>
      </c>
      <c r="E1044">
        <v>0.21685148319654</v>
      </c>
      <c r="F1044">
        <v>0.142613654043941</v>
      </c>
      <c r="G1044">
        <v>0.110991946030552</v>
      </c>
      <c r="H1044">
        <v>0.0764689662203643</v>
      </c>
      <c r="I1044">
        <v>0.0861480035372314</v>
      </c>
      <c r="J1044">
        <v>0.10590252943277</v>
      </c>
      <c r="K1044">
        <v>0.117661330565693</v>
      </c>
      <c r="L1044">
        <v>823.990449529298</v>
      </c>
      <c r="M1044">
        <v>19.7510141064495</v>
      </c>
      <c r="N1044">
        <v>42.1980676208084</v>
      </c>
      <c r="O1044">
        <v>41.2982882189889</v>
      </c>
      <c r="P1044">
        <v>-0.107556237537389</v>
      </c>
      <c r="Q1044">
        <v>0.10045395064489</v>
      </c>
      <c r="R1044">
        <v>0.991438642877031</v>
      </c>
      <c r="S1044" t="s">
        <v>2712</v>
      </c>
      <c r="T1044" t="s">
        <v>3312</v>
      </c>
      <c r="U1044" t="s">
        <v>3312</v>
      </c>
      <c r="V1044" t="s">
        <v>3312</v>
      </c>
      <c r="W1044" t="s">
        <v>4354</v>
      </c>
      <c r="X1044">
        <v>1</v>
      </c>
      <c r="Y1044" t="s">
        <v>5995</v>
      </c>
      <c r="Z1044" t="s">
        <v>7637</v>
      </c>
      <c r="AA1044">
        <v>0.2563388208657159</v>
      </c>
      <c r="AB1044">
        <f>HYPERLINK("Melting_Curves/meltCurve_P26647_plsC.pdf", "Melting_Curves/meltCurve_P26647_plsC.pdf")</f>
        <v>0</v>
      </c>
    </row>
    <row r="1045" spans="1:28">
      <c r="A1045" t="s">
        <v>1071</v>
      </c>
      <c r="B1045">
        <v>0.999984544473304</v>
      </c>
      <c r="C1045">
        <v>1.0741603946723</v>
      </c>
      <c r="D1045">
        <v>1.17940166797897</v>
      </c>
      <c r="E1045">
        <v>0.869488495036805</v>
      </c>
      <c r="F1045">
        <v>0.611325096524266</v>
      </c>
      <c r="G1045">
        <v>0.225965221260931</v>
      </c>
      <c r="H1045">
        <v>0.127175092143282</v>
      </c>
      <c r="I1045">
        <v>0.0943222789401974</v>
      </c>
      <c r="J1045">
        <v>0.0724469409346462</v>
      </c>
      <c r="K1045">
        <v>0.0708768554658105</v>
      </c>
      <c r="L1045">
        <v>1360.4897323285</v>
      </c>
      <c r="M1045">
        <v>26.8446913371619</v>
      </c>
      <c r="N1045">
        <v>50.9951662535969</v>
      </c>
      <c r="O1045">
        <v>50.4012966705417</v>
      </c>
      <c r="P1045">
        <v>-0.122978739436346</v>
      </c>
      <c r="Q1045">
        <v>0.0764318950451678</v>
      </c>
      <c r="R1045">
        <v>0.977288616095033</v>
      </c>
      <c r="S1045" t="s">
        <v>2713</v>
      </c>
      <c r="T1045" t="s">
        <v>3312</v>
      </c>
      <c r="U1045" t="s">
        <v>3312</v>
      </c>
      <c r="V1045" t="s">
        <v>3312</v>
      </c>
      <c r="W1045" t="s">
        <v>4355</v>
      </c>
      <c r="X1045">
        <v>4</v>
      </c>
      <c r="Y1045" t="s">
        <v>5996</v>
      </c>
      <c r="Z1045" t="s">
        <v>7638</v>
      </c>
      <c r="AA1045">
        <v>0.5046830670854849</v>
      </c>
      <c r="AB1045">
        <f>HYPERLINK("Melting_Curves/meltCurve_P26648_ftsP.pdf", "Melting_Curves/meltCurve_P26648_ftsP.pdf")</f>
        <v>0</v>
      </c>
    </row>
    <row r="1046" spans="1:28">
      <c r="A1046" t="s">
        <v>1072</v>
      </c>
      <c r="B1046">
        <v>0.999984544473304</v>
      </c>
      <c r="C1046">
        <v>0.92558396788662</v>
      </c>
      <c r="D1046">
        <v>0.7465959062063799</v>
      </c>
      <c r="E1046">
        <v>0.763457583621633</v>
      </c>
      <c r="F1046">
        <v>0.859208634113213</v>
      </c>
      <c r="G1046">
        <v>0.719657914551758</v>
      </c>
      <c r="H1046">
        <v>0.533404662712001</v>
      </c>
      <c r="I1046">
        <v>0.30240592799621</v>
      </c>
      <c r="J1046">
        <v>0.265731908560726</v>
      </c>
      <c r="K1046">
        <v>0.348217433216647</v>
      </c>
      <c r="L1046">
        <v>380.131341498413</v>
      </c>
      <c r="M1046">
        <v>6.58148974526765</v>
      </c>
      <c r="N1046">
        <v>57.7576461680599</v>
      </c>
      <c r="O1046">
        <v>53.1224244654594</v>
      </c>
      <c r="P1046">
        <v>-0.0310451118427113</v>
      </c>
      <c r="Q1046">
        <v>0</v>
      </c>
      <c r="R1046">
        <v>0.875113587301669</v>
      </c>
      <c r="S1046" t="s">
        <v>2714</v>
      </c>
      <c r="T1046" t="s">
        <v>3312</v>
      </c>
      <c r="U1046" t="s">
        <v>3312</v>
      </c>
      <c r="V1046" t="s">
        <v>3312</v>
      </c>
      <c r="W1046" t="s">
        <v>4356</v>
      </c>
      <c r="X1046">
        <v>1</v>
      </c>
      <c r="Y1046" t="s">
        <v>5997</v>
      </c>
      <c r="Z1046" t="s">
        <v>7639</v>
      </c>
      <c r="AA1046">
        <v>0.660369617886015</v>
      </c>
      <c r="AB1046">
        <f>HYPERLINK("Melting_Curves/meltCurve_P26649_glgS.pdf", "Melting_Curves/meltCurve_P26649_glgS.pdf")</f>
        <v>0</v>
      </c>
    </row>
    <row r="1047" spans="1:28">
      <c r="A1047" t="s">
        <v>1073</v>
      </c>
      <c r="B1047">
        <v>0.999984544473304</v>
      </c>
      <c r="C1047">
        <v>1.41232694110307</v>
      </c>
      <c r="D1047">
        <v>0.914969406778916</v>
      </c>
      <c r="E1047">
        <v>0.787837959080399</v>
      </c>
      <c r="F1047">
        <v>0.46476500030778</v>
      </c>
      <c r="G1047">
        <v>0.322358378732252</v>
      </c>
      <c r="H1047">
        <v>0.217705263130558</v>
      </c>
      <c r="I1047">
        <v>0.118556058755271</v>
      </c>
      <c r="J1047">
        <v>0.120028723279955</v>
      </c>
      <c r="K1047">
        <v>0.110742839360343</v>
      </c>
      <c r="L1047">
        <v>958.798941305855</v>
      </c>
      <c r="M1047">
        <v>19.3788079390524</v>
      </c>
      <c r="N1047">
        <v>50.2041927353616</v>
      </c>
      <c r="O1047">
        <v>48.9588469286522</v>
      </c>
      <c r="P1047">
        <v>-0.0868441655383073</v>
      </c>
      <c r="Q1047">
        <v>0.122415912447789</v>
      </c>
      <c r="R1047">
        <v>0.901175160715575</v>
      </c>
      <c r="S1047" t="s">
        <v>2715</v>
      </c>
      <c r="T1047" t="s">
        <v>3312</v>
      </c>
      <c r="U1047" t="s">
        <v>3312</v>
      </c>
      <c r="V1047" t="s">
        <v>3312</v>
      </c>
      <c r="W1047" t="s">
        <v>4357</v>
      </c>
      <c r="X1047">
        <v>1</v>
      </c>
      <c r="Y1047" t="s">
        <v>5998</v>
      </c>
      <c r="Z1047" t="s">
        <v>7640</v>
      </c>
      <c r="AA1047">
        <v>0.4996262055898317</v>
      </c>
      <c r="AB1047">
        <f>HYPERLINK("Melting_Curves/meltCurve_P27238_yfeD.pdf", "Melting_Curves/meltCurve_P27238_yfeD.pdf")</f>
        <v>0</v>
      </c>
    </row>
    <row r="1048" spans="1:28">
      <c r="A1048" t="s">
        <v>1074</v>
      </c>
      <c r="B1048">
        <v>0.999984544473304</v>
      </c>
      <c r="C1048">
        <v>0.8221619980002109</v>
      </c>
      <c r="D1048">
        <v>0.808275190486446</v>
      </c>
      <c r="E1048">
        <v>0.509087386765026</v>
      </c>
      <c r="F1048">
        <v>0.355209618672733</v>
      </c>
      <c r="G1048">
        <v>0.189413993785824</v>
      </c>
      <c r="H1048">
        <v>0.0598668661910644</v>
      </c>
      <c r="I1048">
        <v>0.0217491330671449</v>
      </c>
      <c r="J1048">
        <v>0</v>
      </c>
      <c r="K1048">
        <v>0.0305604281327959</v>
      </c>
      <c r="L1048">
        <v>589.950443603133</v>
      </c>
      <c r="M1048">
        <v>12.5252785737837</v>
      </c>
      <c r="N1048">
        <v>47.1007838302169</v>
      </c>
      <c r="O1048">
        <v>45.9485245342713</v>
      </c>
      <c r="P1048">
        <v>-0.06816233939486301</v>
      </c>
      <c r="Q1048">
        <v>0</v>
      </c>
      <c r="R1048">
        <v>0.988109929407787</v>
      </c>
      <c r="S1048" t="s">
        <v>2716</v>
      </c>
      <c r="T1048" t="s">
        <v>3312</v>
      </c>
      <c r="U1048" t="s">
        <v>3312</v>
      </c>
      <c r="V1048" t="s">
        <v>3312</v>
      </c>
      <c r="W1048" t="s">
        <v>4358</v>
      </c>
      <c r="X1048">
        <v>1</v>
      </c>
      <c r="Y1048" t="s">
        <v>5999</v>
      </c>
      <c r="Z1048" t="s">
        <v>7641</v>
      </c>
      <c r="AA1048">
        <v>0.3672288217704679</v>
      </c>
      <c r="AB1048">
        <f>HYPERLINK("Melting_Curves/meltCurve_P27247_plsX.pdf", "Melting_Curves/meltCurve_P27247_plsX.pdf")</f>
        <v>0</v>
      </c>
    </row>
    <row r="1049" spans="1:28">
      <c r="A1049" t="s">
        <v>1075</v>
      </c>
      <c r="B1049">
        <v>0.999984544473304</v>
      </c>
      <c r="C1049">
        <v>0.843185018692431</v>
      </c>
      <c r="D1049">
        <v>1.10056842772721</v>
      </c>
      <c r="E1049">
        <v>0.950884488058905</v>
      </c>
      <c r="F1049">
        <v>0.692384866887389</v>
      </c>
      <c r="G1049">
        <v>0.07283455637887851</v>
      </c>
      <c r="H1049">
        <v>0.0305301101828446</v>
      </c>
      <c r="I1049">
        <v>0.0150433825947035</v>
      </c>
      <c r="J1049">
        <v>0.009491151288825401</v>
      </c>
      <c r="K1049">
        <v>0.010416694102808</v>
      </c>
      <c r="L1049">
        <v>2548.69502368537</v>
      </c>
      <c r="M1049">
        <v>49.9967701086917</v>
      </c>
      <c r="N1049">
        <v>51.0057029476654</v>
      </c>
      <c r="O1049">
        <v>50.8958365162551</v>
      </c>
      <c r="P1049">
        <v>-0.24220014393798</v>
      </c>
      <c r="Q1049">
        <v>0.0137788198980607</v>
      </c>
      <c r="R1049">
        <v>0.982393620042762</v>
      </c>
      <c r="S1049" t="s">
        <v>2717</v>
      </c>
      <c r="T1049" t="s">
        <v>3312</v>
      </c>
      <c r="U1049" t="s">
        <v>3312</v>
      </c>
      <c r="V1049" t="s">
        <v>3312</v>
      </c>
      <c r="W1049" t="s">
        <v>4359</v>
      </c>
      <c r="X1049">
        <v>9</v>
      </c>
      <c r="Y1049" t="s">
        <v>6000</v>
      </c>
      <c r="Z1049" t="s">
        <v>7642</v>
      </c>
      <c r="AA1049">
        <v>0.4754831673367189</v>
      </c>
      <c r="AB1049">
        <f>HYPERLINK("Melting_Curves/meltCurve_P27248_gcvT.pdf", "Melting_Curves/meltCurve_P27248_gcvT.pdf")</f>
        <v>0</v>
      </c>
    </row>
    <row r="1050" spans="1:28">
      <c r="A1050" t="s">
        <v>1076</v>
      </c>
      <c r="B1050">
        <v>0.999984544473304</v>
      </c>
      <c r="C1050">
        <v>1.01383616577009</v>
      </c>
      <c r="D1050">
        <v>1.08297211548232</v>
      </c>
      <c r="E1050">
        <v>1.04471062664223</v>
      </c>
      <c r="F1050">
        <v>1.02056206391096</v>
      </c>
      <c r="G1050">
        <v>1.02276618346774</v>
      </c>
      <c r="H1050">
        <v>0.740490131221355</v>
      </c>
      <c r="I1050">
        <v>0.413884440809086</v>
      </c>
      <c r="J1050">
        <v>0.128542743124029</v>
      </c>
      <c r="K1050">
        <v>0.0588038301444844</v>
      </c>
      <c r="L1050">
        <v>1669.89432866877</v>
      </c>
      <c r="M1050">
        <v>27.8347670023083</v>
      </c>
      <c r="N1050">
        <v>60.0019013291013</v>
      </c>
      <c r="O1050">
        <v>59.6860263053971</v>
      </c>
      <c r="P1050">
        <v>-0.116352171878742</v>
      </c>
      <c r="Q1050">
        <v>0.00203409239190556</v>
      </c>
      <c r="R1050">
        <v>0.989004275362132</v>
      </c>
      <c r="S1050" t="s">
        <v>2718</v>
      </c>
      <c r="T1050" t="s">
        <v>3312</v>
      </c>
      <c r="U1050" t="s">
        <v>3312</v>
      </c>
      <c r="V1050" t="s">
        <v>3312</v>
      </c>
      <c r="W1050" t="s">
        <v>4360</v>
      </c>
      <c r="X1050">
        <v>10</v>
      </c>
      <c r="Y1050" t="s">
        <v>6001</v>
      </c>
      <c r="Z1050" t="s">
        <v>7643</v>
      </c>
      <c r="AA1050">
        <v>0.7703636471537336</v>
      </c>
      <c r="AB1050">
        <f>HYPERLINK("Melting_Curves/meltCurve_P27250_ahr.pdf", "Melting_Curves/meltCurve_P27250_ahr.pdf")</f>
        <v>0</v>
      </c>
    </row>
    <row r="1051" spans="1:28">
      <c r="A1051" t="s">
        <v>1077</v>
      </c>
      <c r="B1051">
        <v>0.999984544473304</v>
      </c>
      <c r="C1051">
        <v>0.970544489938042</v>
      </c>
      <c r="D1051">
        <v>0.660356251905286</v>
      </c>
      <c r="E1051">
        <v>0.180747906489443</v>
      </c>
      <c r="F1051">
        <v>0.09278863408997701</v>
      </c>
      <c r="G1051">
        <v>0.0596328626934516</v>
      </c>
      <c r="H1051">
        <v>0.0411222289763566</v>
      </c>
      <c r="I1051">
        <v>0.0176712612008914</v>
      </c>
      <c r="J1051">
        <v>0.0174446817283914</v>
      </c>
      <c r="K1051">
        <v>0.0246790236255391</v>
      </c>
      <c r="L1051">
        <v>1288.62470876733</v>
      </c>
      <c r="M1051">
        <v>29.3401463123853</v>
      </c>
      <c r="N1051">
        <v>44.0329662531767</v>
      </c>
      <c r="O1051">
        <v>43.717674311219</v>
      </c>
      <c r="P1051">
        <v>-0.161709970329775</v>
      </c>
      <c r="Q1051">
        <v>0.036196570801686</v>
      </c>
      <c r="R1051">
        <v>0.998192475151179</v>
      </c>
      <c r="S1051" t="s">
        <v>2719</v>
      </c>
      <c r="T1051" t="s">
        <v>3312</v>
      </c>
      <c r="U1051" t="s">
        <v>3312</v>
      </c>
      <c r="V1051" t="s">
        <v>3312</v>
      </c>
      <c r="W1051" t="s">
        <v>4361</v>
      </c>
      <c r="X1051">
        <v>2</v>
      </c>
      <c r="Y1051" t="s">
        <v>6002</v>
      </c>
      <c r="Z1051" t="s">
        <v>7644</v>
      </c>
      <c r="AA1051">
        <v>0.2641305948569977</v>
      </c>
      <c r="AB1051">
        <f>HYPERLINK("Melting_Curves/meltCurve_P27278_nadR.pdf", "Melting_Curves/meltCurve_P27278_nadR.pdf")</f>
        <v>0</v>
      </c>
    </row>
    <row r="1052" spans="1:28">
      <c r="A1052" t="s">
        <v>1078</v>
      </c>
      <c r="B1052">
        <v>0.999984544473304</v>
      </c>
      <c r="C1052">
        <v>1.25268088866577</v>
      </c>
      <c r="D1052">
        <v>1.01284288175166</v>
      </c>
      <c r="E1052">
        <v>0.676282312765692</v>
      </c>
      <c r="F1052">
        <v>0.114685036537857</v>
      </c>
      <c r="G1052">
        <v>0.054398827704863</v>
      </c>
      <c r="H1052">
        <v>0.0353757659874297</v>
      </c>
      <c r="I1052">
        <v>0.0255048134362677</v>
      </c>
      <c r="J1052">
        <v>0.0188692166454472</v>
      </c>
      <c r="K1052">
        <v>0.018732437300557</v>
      </c>
      <c r="L1052">
        <v>2026.09343586113</v>
      </c>
      <c r="M1052">
        <v>42.7686685752958</v>
      </c>
      <c r="N1052">
        <v>47.4418043258429</v>
      </c>
      <c r="O1052">
        <v>47.2700912451469</v>
      </c>
      <c r="P1052">
        <v>-0.219421321310537</v>
      </c>
      <c r="Q1052">
        <v>0.029939462499206</v>
      </c>
      <c r="R1052">
        <v>0.9715893557231799</v>
      </c>
      <c r="S1052" t="s">
        <v>2720</v>
      </c>
      <c r="T1052" t="s">
        <v>3312</v>
      </c>
      <c r="U1052" t="s">
        <v>3312</v>
      </c>
      <c r="V1052" t="s">
        <v>3312</v>
      </c>
      <c r="W1052" t="s">
        <v>4362</v>
      </c>
      <c r="X1052">
        <v>16</v>
      </c>
      <c r="Y1052" t="s">
        <v>6003</v>
      </c>
      <c r="Z1052" t="s">
        <v>7645</v>
      </c>
      <c r="AA1052">
        <v>0.3681402533628502</v>
      </c>
      <c r="AB1052">
        <f>HYPERLINK("Melting_Curves/meltCurve_P27298_prlC.pdf", "Melting_Curves/meltCurve_P27298_prlC.pdf")</f>
        <v>0</v>
      </c>
    </row>
    <row r="1053" spans="1:28">
      <c r="A1053" t="s">
        <v>1079</v>
      </c>
      <c r="B1053">
        <v>0.999984544473304</v>
      </c>
      <c r="C1053">
        <v>1.22660940811081</v>
      </c>
      <c r="D1053">
        <v>1.0869403874093</v>
      </c>
      <c r="E1053">
        <v>1.32198592941786</v>
      </c>
      <c r="F1053">
        <v>1.0257055839484</v>
      </c>
      <c r="G1053">
        <v>0.8638969315710771</v>
      </c>
      <c r="H1053">
        <v>0.210752755875128</v>
      </c>
      <c r="I1053">
        <v>0.0646141236480421</v>
      </c>
      <c r="J1053">
        <v>0.0317075552320937</v>
      </c>
      <c r="K1053">
        <v>0.0283831016839926</v>
      </c>
      <c r="L1053">
        <v>2846.5753673662</v>
      </c>
      <c r="M1053">
        <v>51.0968815014741</v>
      </c>
      <c r="N1053">
        <v>55.7932272908042</v>
      </c>
      <c r="O1053">
        <v>55.624244020902</v>
      </c>
      <c r="P1053">
        <v>-0.221166816755449</v>
      </c>
      <c r="Q1053">
        <v>0.0369488723857396</v>
      </c>
      <c r="R1053">
        <v>0.936383109914298</v>
      </c>
      <c r="S1053" t="s">
        <v>2721</v>
      </c>
      <c r="T1053" t="s">
        <v>3312</v>
      </c>
      <c r="U1053" t="s">
        <v>3312</v>
      </c>
      <c r="V1053" t="s">
        <v>3312</v>
      </c>
      <c r="W1053" t="s">
        <v>4363</v>
      </c>
      <c r="X1053">
        <v>24</v>
      </c>
      <c r="Y1053" t="s">
        <v>6004</v>
      </c>
      <c r="Z1053" t="s">
        <v>7646</v>
      </c>
      <c r="AA1053">
        <v>0.639807540767148</v>
      </c>
      <c r="AB1053">
        <f>HYPERLINK("Melting_Curves/meltCurve_P27302_tktA.pdf", "Melting_Curves/meltCurve_P27302_tktA.pdf")</f>
        <v>0</v>
      </c>
    </row>
    <row r="1054" spans="1:28">
      <c r="A1054" t="s">
        <v>1080</v>
      </c>
      <c r="B1054">
        <v>0.999984544473304</v>
      </c>
      <c r="C1054">
        <v>0.7554138121862231</v>
      </c>
      <c r="D1054">
        <v>0.730714745935207</v>
      </c>
      <c r="E1054">
        <v>0.726669448564413</v>
      </c>
      <c r="F1054">
        <v>1.70174451729575</v>
      </c>
      <c r="G1054">
        <v>2.20013154155799</v>
      </c>
      <c r="H1054">
        <v>2.21492495841196</v>
      </c>
      <c r="I1054">
        <v>0.696588155424839</v>
      </c>
      <c r="J1054">
        <v>0.453355062559993</v>
      </c>
      <c r="K1054">
        <v>0.427425266541432</v>
      </c>
      <c r="L1054">
        <v>15000</v>
      </c>
      <c r="M1054">
        <v>246.070761915727</v>
      </c>
      <c r="N1054">
        <v>61.4895162704563</v>
      </c>
      <c r="O1054">
        <v>60.9540463133186</v>
      </c>
      <c r="P1054">
        <v>-0.564786470576861</v>
      </c>
      <c r="Q1054">
        <v>0.440388257160119</v>
      </c>
      <c r="R1054">
        <v>0.149595829778959</v>
      </c>
      <c r="S1054" t="s">
        <v>2722</v>
      </c>
      <c r="T1054" t="s">
        <v>3312</v>
      </c>
      <c r="U1054" t="s">
        <v>3312</v>
      </c>
      <c r="V1054" t="s">
        <v>3312</v>
      </c>
      <c r="W1054" t="s">
        <v>4364</v>
      </c>
      <c r="X1054">
        <v>1</v>
      </c>
      <c r="Y1054" t="s">
        <v>6005</v>
      </c>
      <c r="Z1054" t="s">
        <v>7647</v>
      </c>
      <c r="AA1054">
        <v>0.8873573921933949</v>
      </c>
      <c r="AB1054">
        <f>HYPERLINK("Melting_Curves/meltCurve_P27303_emrA.pdf", "Melting_Curves/meltCurve_P27303_emrA.pdf")</f>
        <v>0</v>
      </c>
    </row>
    <row r="1055" spans="1:28">
      <c r="A1055" t="s">
        <v>1081</v>
      </c>
      <c r="B1055">
        <v>0.999984544473304</v>
      </c>
      <c r="C1055">
        <v>0.910385643792787</v>
      </c>
      <c r="D1055">
        <v>0.388082153777882</v>
      </c>
      <c r="E1055">
        <v>0.112211540641356</v>
      </c>
      <c r="F1055">
        <v>0.0536793330494027</v>
      </c>
      <c r="G1055">
        <v>0.0300679792196169</v>
      </c>
      <c r="H1055">
        <v>0.0259197536399923</v>
      </c>
      <c r="I1055">
        <v>0.0173602526387249</v>
      </c>
      <c r="J1055">
        <v>0.0155666561975717</v>
      </c>
      <c r="K1055">
        <v>0.0152550912083743</v>
      </c>
      <c r="L1055">
        <v>1416.14548569318</v>
      </c>
      <c r="M1055">
        <v>33.4042154487431</v>
      </c>
      <c r="N1055">
        <v>42.4726375820041</v>
      </c>
      <c r="O1055">
        <v>42.2431305383513</v>
      </c>
      <c r="P1055">
        <v>-0.191778561820748</v>
      </c>
      <c r="Q1055">
        <v>0.0299074567828554</v>
      </c>
      <c r="R1055">
        <v>0.9978505140335741</v>
      </c>
      <c r="S1055" t="s">
        <v>2723</v>
      </c>
      <c r="T1055" t="s">
        <v>3312</v>
      </c>
      <c r="U1055" t="s">
        <v>3312</v>
      </c>
      <c r="V1055" t="s">
        <v>3312</v>
      </c>
      <c r="W1055" t="s">
        <v>4365</v>
      </c>
      <c r="X1055">
        <v>8</v>
      </c>
      <c r="Y1055" t="s">
        <v>6006</v>
      </c>
      <c r="Z1055" t="s">
        <v>7648</v>
      </c>
      <c r="AA1055">
        <v>0.2086571672024357</v>
      </c>
      <c r="AB1055">
        <f>HYPERLINK("Melting_Curves/meltCurve_P27306_sthA.pdf", "Melting_Curves/meltCurve_P27306_sthA.pdf")</f>
        <v>0</v>
      </c>
    </row>
    <row r="1056" spans="1:28">
      <c r="A1056" t="s">
        <v>1082</v>
      </c>
      <c r="B1056">
        <v>0.999984544473304</v>
      </c>
      <c r="C1056">
        <v>1.0732721043059</v>
      </c>
      <c r="D1056">
        <v>0.892478805141846</v>
      </c>
      <c r="E1056">
        <v>0.763799941960749</v>
      </c>
      <c r="F1056">
        <v>0.5032447676838741</v>
      </c>
      <c r="G1056">
        <v>0.228385869020191</v>
      </c>
      <c r="H1056">
        <v>0.183116414707574</v>
      </c>
      <c r="I1056">
        <v>0.157907375697561</v>
      </c>
      <c r="J1056">
        <v>0.124034332136407</v>
      </c>
      <c r="K1056">
        <v>0.13354996877439</v>
      </c>
      <c r="L1056">
        <v>916.670612280422</v>
      </c>
      <c r="M1056">
        <v>18.658474452751</v>
      </c>
      <c r="N1056">
        <v>49.871322264332</v>
      </c>
      <c r="O1056">
        <v>48.5750159525409</v>
      </c>
      <c r="P1056">
        <v>-0.0843880436799108</v>
      </c>
      <c r="Q1056">
        <v>0.121262543918226</v>
      </c>
      <c r="R1056">
        <v>0.99098708073147</v>
      </c>
      <c r="S1056" t="s">
        <v>2724</v>
      </c>
      <c r="T1056" t="s">
        <v>3312</v>
      </c>
      <c r="U1056" t="s">
        <v>3312</v>
      </c>
      <c r="V1056" t="s">
        <v>3312</v>
      </c>
      <c r="W1056" t="s">
        <v>4366</v>
      </c>
      <c r="X1056">
        <v>2</v>
      </c>
      <c r="Y1056" t="s">
        <v>6007</v>
      </c>
      <c r="Z1056" t="s">
        <v>7649</v>
      </c>
      <c r="AA1056">
        <v>0.489643467379398</v>
      </c>
      <c r="AB1056">
        <f>HYPERLINK("Melting_Curves/meltCurve_P27431_roxA.pdf", "Melting_Curves/meltCurve_P27431_roxA.pdf")</f>
        <v>0</v>
      </c>
    </row>
    <row r="1057" spans="1:28">
      <c r="A1057" t="s">
        <v>1083</v>
      </c>
      <c r="B1057">
        <v>0.999984544473304</v>
      </c>
      <c r="C1057">
        <v>0.989911580473927</v>
      </c>
      <c r="D1057">
        <v>1.00218186706217</v>
      </c>
      <c r="E1057">
        <v>1.04342835280882</v>
      </c>
      <c r="F1057">
        <v>0.941860263081391</v>
      </c>
      <c r="G1057">
        <v>0.864699569059511</v>
      </c>
      <c r="H1057">
        <v>0.673111474324289</v>
      </c>
      <c r="I1057">
        <v>0.392125463487853</v>
      </c>
      <c r="J1057">
        <v>0.21760700246451</v>
      </c>
      <c r="K1057">
        <v>0.182143511327528</v>
      </c>
      <c r="L1057">
        <v>1160.19033314316</v>
      </c>
      <c r="M1057">
        <v>19.713938261337</v>
      </c>
      <c r="N1057">
        <v>59.4459742791801</v>
      </c>
      <c r="O1057">
        <v>58.2557478645428</v>
      </c>
      <c r="P1057">
        <v>-0.0770321488444443</v>
      </c>
      <c r="Q1057">
        <v>0.0894948507303779</v>
      </c>
      <c r="R1057">
        <v>0.995712744758938</v>
      </c>
      <c r="S1057" t="s">
        <v>2725</v>
      </c>
      <c r="T1057" t="s">
        <v>3312</v>
      </c>
      <c r="U1057" t="s">
        <v>3312</v>
      </c>
      <c r="V1057" t="s">
        <v>3312</v>
      </c>
      <c r="W1057" t="s">
        <v>4367</v>
      </c>
      <c r="X1057">
        <v>3</v>
      </c>
      <c r="Y1057" t="s">
        <v>6008</v>
      </c>
      <c r="Z1057" t="s">
        <v>7650</v>
      </c>
      <c r="AA1057">
        <v>0.7566841868410854</v>
      </c>
      <c r="AB1057">
        <f>HYPERLINK("Melting_Curves/meltCurve_P27434_rodZ.pdf", "Melting_Curves/meltCurve_P27434_rodZ.pdf")</f>
        <v>0</v>
      </c>
    </row>
    <row r="1058" spans="1:28">
      <c r="A1058" t="s">
        <v>1084</v>
      </c>
      <c r="B1058">
        <v>0.999984544473304</v>
      </c>
      <c r="C1058">
        <v>1.39320680039221</v>
      </c>
      <c r="D1058">
        <v>1.01551664355381</v>
      </c>
      <c r="E1058">
        <v>1.07763360745866</v>
      </c>
      <c r="F1058">
        <v>0.349403531238067</v>
      </c>
      <c r="G1058">
        <v>0.07493897311079389</v>
      </c>
      <c r="H1058">
        <v>0.0424104284813353</v>
      </c>
      <c r="I1058">
        <v>0.0337707046459188</v>
      </c>
      <c r="J1058">
        <v>0.0244330754714614</v>
      </c>
      <c r="K1058">
        <v>0.0254522467221109</v>
      </c>
      <c r="L1058">
        <v>11850.6267876597</v>
      </c>
      <c r="M1058">
        <v>236.812155925515</v>
      </c>
      <c r="N1058">
        <v>50.0600072242686</v>
      </c>
      <c r="O1058">
        <v>50.038739705451</v>
      </c>
      <c r="P1058">
        <v>-1.13558044982731</v>
      </c>
      <c r="Q1058">
        <v>0.0402010702218861</v>
      </c>
      <c r="R1058">
        <v>0.940408687419182</v>
      </c>
      <c r="S1058" t="s">
        <v>2726</v>
      </c>
      <c r="T1058" t="s">
        <v>3312</v>
      </c>
      <c r="U1058" t="s">
        <v>3312</v>
      </c>
      <c r="V1058" t="s">
        <v>3312</v>
      </c>
      <c r="W1058" t="s">
        <v>4368</v>
      </c>
      <c r="X1058">
        <v>16</v>
      </c>
      <c r="Y1058" t="s">
        <v>6009</v>
      </c>
      <c r="Z1058" t="s">
        <v>7651</v>
      </c>
      <c r="AA1058">
        <v>0.4575614495358385</v>
      </c>
      <c r="AB1058">
        <f>HYPERLINK("Melting_Curves/meltCurve_P27550_acs.pdf", "Melting_Curves/meltCurve_P27550_acs.pdf")</f>
        <v>0</v>
      </c>
    </row>
    <row r="1059" spans="1:28">
      <c r="A1059" t="s">
        <v>1085</v>
      </c>
      <c r="B1059">
        <v>0.999984544473304</v>
      </c>
      <c r="C1059">
        <v>0.890625955754348</v>
      </c>
      <c r="D1059">
        <v>0.836026287834791</v>
      </c>
      <c r="E1059">
        <v>0.756499239937185</v>
      </c>
      <c r="F1059">
        <v>0.79998971386393</v>
      </c>
      <c r="G1059">
        <v>0.5509708401192031</v>
      </c>
      <c r="H1059">
        <v>0.269187043253566</v>
      </c>
      <c r="I1059">
        <v>0.04992425024293</v>
      </c>
      <c r="J1059">
        <v>0.0291244951995314</v>
      </c>
      <c r="K1059">
        <v>0.0311629099953274</v>
      </c>
      <c r="L1059">
        <v>789.074228814722</v>
      </c>
      <c r="M1059">
        <v>14.747397852395</v>
      </c>
      <c r="N1059">
        <v>53.5060092759529</v>
      </c>
      <c r="O1059">
        <v>52.5510434326874</v>
      </c>
      <c r="P1059">
        <v>-0.07016505523722991</v>
      </c>
      <c r="Q1059">
        <v>0</v>
      </c>
      <c r="R1059">
        <v>0.947667424387155</v>
      </c>
      <c r="S1059" t="s">
        <v>2727</v>
      </c>
      <c r="T1059" t="s">
        <v>3312</v>
      </c>
      <c r="U1059" t="s">
        <v>3312</v>
      </c>
      <c r="V1059" t="s">
        <v>3312</v>
      </c>
      <c r="W1059" t="s">
        <v>4369</v>
      </c>
      <c r="X1059">
        <v>6</v>
      </c>
      <c r="Y1059" t="s">
        <v>6010</v>
      </c>
      <c r="Z1059" t="s">
        <v>7652</v>
      </c>
      <c r="AA1059">
        <v>0.5675050250595368</v>
      </c>
      <c r="AB1059">
        <f>HYPERLINK("Melting_Curves/meltCurve_P27828_wecB.pdf", "Melting_Curves/meltCurve_P27828_wecB.pdf")</f>
        <v>0</v>
      </c>
    </row>
    <row r="1060" spans="1:28">
      <c r="A1060" t="s">
        <v>1086</v>
      </c>
      <c r="B1060">
        <v>0.999984544473304</v>
      </c>
      <c r="C1060">
        <v>0.9610858511124341</v>
      </c>
      <c r="D1060">
        <v>0.681899406197916</v>
      </c>
      <c r="E1060">
        <v>0.249373895600908</v>
      </c>
      <c r="F1060">
        <v>0.117724624021757</v>
      </c>
      <c r="G1060">
        <v>0.0811608474566117</v>
      </c>
      <c r="H1060">
        <v>0.0446425905649658</v>
      </c>
      <c r="I1060">
        <v>0.0439402068323778</v>
      </c>
      <c r="J1060">
        <v>0.0341614422544982</v>
      </c>
      <c r="K1060">
        <v>0.0305053347589492</v>
      </c>
      <c r="L1060">
        <v>1102.30740914429</v>
      </c>
      <c r="M1060">
        <v>24.9163828028034</v>
      </c>
      <c r="N1060">
        <v>44.4155976335835</v>
      </c>
      <c r="O1060">
        <v>43.9582314459065</v>
      </c>
      <c r="P1060">
        <v>-0.135069952467904</v>
      </c>
      <c r="Q1060">
        <v>0.0468347390934122</v>
      </c>
      <c r="R1060">
        <v>0.99848599822643</v>
      </c>
      <c r="S1060" t="s">
        <v>2728</v>
      </c>
      <c r="T1060" t="s">
        <v>3312</v>
      </c>
      <c r="U1060" t="s">
        <v>3312</v>
      </c>
      <c r="V1060" t="s">
        <v>3312</v>
      </c>
      <c r="W1060" t="s">
        <v>4370</v>
      </c>
      <c r="X1060">
        <v>3</v>
      </c>
      <c r="Y1060" t="s">
        <v>6011</v>
      </c>
      <c r="Z1060" t="s">
        <v>7653</v>
      </c>
      <c r="AA1060">
        <v>0.2847474562903437</v>
      </c>
      <c r="AB1060">
        <f>HYPERLINK("Melting_Curves/meltCurve_P27829_wecC.pdf", "Melting_Curves/meltCurve_P27829_wecC.pdf")</f>
        <v>0</v>
      </c>
    </row>
    <row r="1061" spans="1:28">
      <c r="A1061" t="s">
        <v>1087</v>
      </c>
      <c r="B1061">
        <v>0.999984544473304</v>
      </c>
      <c r="C1061">
        <v>0.517889461016441</v>
      </c>
      <c r="D1061">
        <v>0.311696724910655</v>
      </c>
      <c r="E1061">
        <v>0.178346622197644</v>
      </c>
      <c r="F1061">
        <v>0.117328839607516</v>
      </c>
      <c r="G1061">
        <v>0.0454419768386821</v>
      </c>
      <c r="H1061">
        <v>0.0526973085833577</v>
      </c>
      <c r="I1061">
        <v>0.0326330972430916</v>
      </c>
      <c r="J1061">
        <v>0</v>
      </c>
      <c r="K1061">
        <v>0</v>
      </c>
      <c r="L1061">
        <v>776.90460150465</v>
      </c>
      <c r="M1061">
        <v>19.0872165616856</v>
      </c>
      <c r="N1061">
        <v>40.8884891638616</v>
      </c>
      <c r="O1061">
        <v>40.2639953729956</v>
      </c>
      <c r="P1061">
        <v>-0.113599360557335</v>
      </c>
      <c r="Q1061">
        <v>0.0414977366976536</v>
      </c>
      <c r="R1061">
        <v>0.962503422205771</v>
      </c>
      <c r="S1061" t="s">
        <v>2729</v>
      </c>
      <c r="T1061" t="s">
        <v>3312</v>
      </c>
      <c r="U1061" t="s">
        <v>3312</v>
      </c>
      <c r="V1061" t="s">
        <v>3312</v>
      </c>
      <c r="W1061" t="s">
        <v>4371</v>
      </c>
      <c r="X1061">
        <v>1</v>
      </c>
      <c r="Y1061" t="s">
        <v>6012</v>
      </c>
      <c r="Z1061" t="s">
        <v>7654</v>
      </c>
      <c r="AA1061">
        <v>0.179012433850442</v>
      </c>
      <c r="AB1061">
        <f>HYPERLINK("Melting_Curves/meltCurve_P27833_wecE.pdf", "Melting_Curves/meltCurve_P27833_wecE.pdf")</f>
        <v>0</v>
      </c>
    </row>
    <row r="1062" spans="1:28">
      <c r="A1062" t="s">
        <v>1088</v>
      </c>
      <c r="B1062">
        <v>0.999984544473304</v>
      </c>
      <c r="C1062">
        <v>0.780524210883127</v>
      </c>
      <c r="D1062">
        <v>0.85701403150732</v>
      </c>
      <c r="E1062">
        <v>0.194705355560986</v>
      </c>
      <c r="F1062">
        <v>0.0395732884838613</v>
      </c>
      <c r="G1062">
        <v>0.0370364900482008</v>
      </c>
      <c r="H1062">
        <v>0.0183478416198705</v>
      </c>
      <c r="I1062">
        <v>0.0196543380734765</v>
      </c>
      <c r="J1062">
        <v>0.0148769488153566</v>
      </c>
      <c r="K1062">
        <v>0.0172770137899468</v>
      </c>
      <c r="L1062">
        <v>1641.55074081395</v>
      </c>
      <c r="M1062">
        <v>36.6468995098654</v>
      </c>
      <c r="N1062">
        <v>44.8421754673333</v>
      </c>
      <c r="O1062">
        <v>44.660958812899</v>
      </c>
      <c r="P1062">
        <v>-0.201158177469989</v>
      </c>
      <c r="Q1062">
        <v>0.0194105677349815</v>
      </c>
      <c r="R1062">
        <v>0.969931855013246</v>
      </c>
      <c r="S1062" t="s">
        <v>2730</v>
      </c>
      <c r="T1062" t="s">
        <v>3312</v>
      </c>
      <c r="U1062" t="s">
        <v>3312</v>
      </c>
      <c r="V1062" t="s">
        <v>3312</v>
      </c>
      <c r="W1062" t="s">
        <v>4372</v>
      </c>
      <c r="X1062">
        <v>1</v>
      </c>
      <c r="Y1062" t="s">
        <v>6013</v>
      </c>
      <c r="Z1062" t="s">
        <v>7655</v>
      </c>
      <c r="AA1062">
        <v>0.2777938641841045</v>
      </c>
      <c r="AB1062">
        <f>HYPERLINK("Melting_Curves/meltCurve_P27848_yigL.pdf", "Melting_Curves/meltCurve_P27848_yigL.pdf")</f>
        <v>0</v>
      </c>
    </row>
    <row r="1063" spans="1:28">
      <c r="A1063" t="s">
        <v>1089</v>
      </c>
      <c r="B1063">
        <v>0.999984544473304</v>
      </c>
      <c r="C1063">
        <v>0.856800595389692</v>
      </c>
      <c r="D1063">
        <v>0.8491010931142</v>
      </c>
      <c r="E1063">
        <v>0.46275195280716</v>
      </c>
      <c r="F1063">
        <v>0.175783479124919</v>
      </c>
      <c r="G1063">
        <v>0.111669784978882</v>
      </c>
      <c r="H1063">
        <v>0.101598121955259</v>
      </c>
      <c r="I1063">
        <v>0.08894332519243781</v>
      </c>
      <c r="J1063">
        <v>0.0381870601501001</v>
      </c>
      <c r="K1063">
        <v>0.0483668306787761</v>
      </c>
      <c r="L1063">
        <v>911.170853759942</v>
      </c>
      <c r="M1063">
        <v>19.8419483014067</v>
      </c>
      <c r="N1063">
        <v>46.208769976162</v>
      </c>
      <c r="O1063">
        <v>45.4626408334027</v>
      </c>
      <c r="P1063">
        <v>-0.102782436555939</v>
      </c>
      <c r="Q1063">
        <v>0.0580354395744975</v>
      </c>
      <c r="R1063">
        <v>0.989275174105046</v>
      </c>
      <c r="S1063" t="s">
        <v>2731</v>
      </c>
      <c r="T1063" t="s">
        <v>3312</v>
      </c>
      <c r="U1063" t="s">
        <v>3312</v>
      </c>
      <c r="V1063" t="s">
        <v>3312</v>
      </c>
      <c r="W1063" t="s">
        <v>4373</v>
      </c>
      <c r="X1063">
        <v>1</v>
      </c>
      <c r="Y1063" t="s">
        <v>6014</v>
      </c>
      <c r="Z1063" t="s">
        <v>7656</v>
      </c>
      <c r="AA1063">
        <v>0.3506743473793862</v>
      </c>
      <c r="AB1063">
        <f>HYPERLINK("Melting_Curves/meltCurve_P27862_yigZ.pdf", "Melting_Curves/meltCurve_P27862_yigZ.pdf")</f>
        <v>0</v>
      </c>
    </row>
    <row r="1064" spans="1:28">
      <c r="A1064" t="s">
        <v>1090</v>
      </c>
      <c r="B1064">
        <v>0.999984544473304</v>
      </c>
      <c r="C1064">
        <v>1.05564256152937</v>
      </c>
      <c r="D1064">
        <v>0.834120194917361</v>
      </c>
      <c r="E1064">
        <v>0.732525651574627</v>
      </c>
      <c r="F1064">
        <v>0.5121584350919119</v>
      </c>
      <c r="G1064">
        <v>0.40448765773515</v>
      </c>
      <c r="H1064">
        <v>0.327750787676733</v>
      </c>
      <c r="I1064">
        <v>0.299431429046887</v>
      </c>
      <c r="J1064">
        <v>0.310823776349981</v>
      </c>
      <c r="K1064">
        <v>0.310621192019338</v>
      </c>
      <c r="L1064">
        <v>758.465030122484</v>
      </c>
      <c r="M1064">
        <v>15.8893687624096</v>
      </c>
      <c r="N1064">
        <v>50.5396318594405</v>
      </c>
      <c r="O1064">
        <v>46.9972334064026</v>
      </c>
      <c r="P1064">
        <v>-0.0597599415339516</v>
      </c>
      <c r="Q1064">
        <v>0.29303030194271</v>
      </c>
      <c r="R1064">
        <v>0.985174411359273</v>
      </c>
      <c r="S1064" t="s">
        <v>2732</v>
      </c>
      <c r="T1064" t="s">
        <v>3312</v>
      </c>
      <c r="U1064" t="s">
        <v>3312</v>
      </c>
      <c r="V1064" t="s">
        <v>3312</v>
      </c>
      <c r="W1064" t="s">
        <v>4374</v>
      </c>
      <c r="X1064">
        <v>1</v>
      </c>
      <c r="Y1064" t="s">
        <v>6015</v>
      </c>
      <c r="Z1064" t="s">
        <v>7657</v>
      </c>
      <c r="AA1064">
        <v>0.5601581481974465</v>
      </c>
      <c r="AB1064">
        <f>HYPERLINK("Melting_Curves/meltCurve_P28248_dcd.pdf", "Melting_Curves/meltCurve_P28248_dcd.pdf")</f>
        <v>0</v>
      </c>
    </row>
    <row r="1065" spans="1:28">
      <c r="A1065" t="s">
        <v>1091</v>
      </c>
      <c r="B1065">
        <v>0.999984544473304</v>
      </c>
      <c r="C1065">
        <v>1.27355674374395</v>
      </c>
      <c r="D1065">
        <v>1.10092221133342</v>
      </c>
      <c r="E1065">
        <v>1.23785963122907</v>
      </c>
      <c r="F1065">
        <v>1.17432018487354</v>
      </c>
      <c r="G1065">
        <v>0.995927404711666</v>
      </c>
      <c r="H1065">
        <v>0.681168386656978</v>
      </c>
      <c r="I1065">
        <v>0.0841358321693105</v>
      </c>
      <c r="J1065">
        <v>0.0444137679100192</v>
      </c>
      <c r="K1065">
        <v>0.037337401268823</v>
      </c>
      <c r="L1065">
        <v>3647.5404377035</v>
      </c>
      <c r="M1065">
        <v>62.8457060588706</v>
      </c>
      <c r="N1065">
        <v>58.1164668021968</v>
      </c>
      <c r="O1065">
        <v>57.9809410468858</v>
      </c>
      <c r="P1065">
        <v>-0.260170979080036</v>
      </c>
      <c r="Q1065">
        <v>0.0398739109605703</v>
      </c>
      <c r="R1065">
        <v>0.928038351398514</v>
      </c>
      <c r="S1065" t="s">
        <v>2733</v>
      </c>
      <c r="T1065" t="s">
        <v>3312</v>
      </c>
      <c r="U1065" t="s">
        <v>3312</v>
      </c>
      <c r="V1065" t="s">
        <v>3312</v>
      </c>
      <c r="W1065" t="s">
        <v>4375</v>
      </c>
      <c r="X1065">
        <v>10</v>
      </c>
      <c r="Y1065" t="s">
        <v>6016</v>
      </c>
      <c r="Z1065" t="s">
        <v>7658</v>
      </c>
      <c r="AA1065">
        <v>0.7147734890060681</v>
      </c>
      <c r="AB1065">
        <f>HYPERLINK("Melting_Curves/meltCurve_P28249_asmA.pdf", "Melting_Curves/meltCurve_P28249_asmA.pdf")</f>
        <v>0</v>
      </c>
    </row>
    <row r="1066" spans="1:28">
      <c r="A1066" t="s">
        <v>1092</v>
      </c>
      <c r="B1066">
        <v>0.999984544473304</v>
      </c>
      <c r="C1066">
        <v>0.815991490188798</v>
      </c>
      <c r="D1066">
        <v>0.758269963370786</v>
      </c>
      <c r="E1066">
        <v>0.594395343949893</v>
      </c>
      <c r="F1066">
        <v>0.651042629931748</v>
      </c>
      <c r="G1066">
        <v>0.46167073083962</v>
      </c>
      <c r="H1066">
        <v>0.298666613249756</v>
      </c>
      <c r="I1066">
        <v>0.215609428731678</v>
      </c>
      <c r="J1066">
        <v>0.159501392551312</v>
      </c>
      <c r="K1066">
        <v>0.142514272323639</v>
      </c>
      <c r="L1066">
        <v>358.66175322859</v>
      </c>
      <c r="M1066">
        <v>7.01307169246869</v>
      </c>
      <c r="N1066">
        <v>51.1418915766383</v>
      </c>
      <c r="O1066">
        <v>47.4708716938738</v>
      </c>
      <c r="P1066">
        <v>-0.0370015599274692</v>
      </c>
      <c r="Q1066">
        <v>0</v>
      </c>
      <c r="R1066">
        <v>0.959623228507111</v>
      </c>
      <c r="S1066" t="s">
        <v>2734</v>
      </c>
      <c r="T1066" t="s">
        <v>3312</v>
      </c>
      <c r="U1066" t="s">
        <v>3312</v>
      </c>
      <c r="V1066" t="s">
        <v>3312</v>
      </c>
      <c r="W1066" t="s">
        <v>4376</v>
      </c>
      <c r="X1066">
        <v>6</v>
      </c>
      <c r="Y1066" t="s">
        <v>6017</v>
      </c>
      <c r="Z1066" t="s">
        <v>7659</v>
      </c>
      <c r="AA1066">
        <v>0.5069733388805471</v>
      </c>
      <c r="AB1066">
        <f>HYPERLINK("Melting_Curves/meltCurve_P28304_qorA.pdf", "Melting_Curves/meltCurve_P28304_qorA.pdf")</f>
        <v>0</v>
      </c>
    </row>
    <row r="1067" spans="1:28">
      <c r="A1067" t="s">
        <v>1093</v>
      </c>
      <c r="B1067">
        <v>0.999984544473304</v>
      </c>
      <c r="C1067">
        <v>0.98189590087819</v>
      </c>
      <c r="D1067">
        <v>0.860462626857868</v>
      </c>
      <c r="E1067">
        <v>0.719231810934659</v>
      </c>
      <c r="F1067">
        <v>0.417512578533954</v>
      </c>
      <c r="G1067">
        <v>0.0776412615158928</v>
      </c>
      <c r="H1067">
        <v>0.0356202816364262</v>
      </c>
      <c r="I1067">
        <v>0.0391764246962217</v>
      </c>
      <c r="J1067">
        <v>0.0314925362964196</v>
      </c>
      <c r="K1067">
        <v>0.045945571698219</v>
      </c>
      <c r="L1067">
        <v>938.918519463401</v>
      </c>
      <c r="M1067">
        <v>19.2721848854408</v>
      </c>
      <c r="N1067">
        <v>48.7664134526207</v>
      </c>
      <c r="O1067">
        <v>48.203387849411</v>
      </c>
      <c r="P1067">
        <v>-0.09902538740641641</v>
      </c>
      <c r="Q1067">
        <v>0.00931226853011523</v>
      </c>
      <c r="R1067">
        <v>0.991401506858314</v>
      </c>
      <c r="S1067" t="s">
        <v>2735</v>
      </c>
      <c r="T1067" t="s">
        <v>3312</v>
      </c>
      <c r="U1067" t="s">
        <v>3312</v>
      </c>
      <c r="V1067" t="s">
        <v>3312</v>
      </c>
      <c r="W1067" t="s">
        <v>4377</v>
      </c>
      <c r="X1067">
        <v>3</v>
      </c>
      <c r="Y1067" t="s">
        <v>6018</v>
      </c>
      <c r="Z1067" t="s">
        <v>7660</v>
      </c>
      <c r="AA1067">
        <v>0.410263477346623</v>
      </c>
      <c r="AB1067">
        <f>HYPERLINK("Melting_Curves/meltCurve_P28306_mltG.pdf", "Melting_Curves/meltCurve_P28306_mltG.pdf")</f>
        <v>0</v>
      </c>
    </row>
    <row r="1068" spans="1:28">
      <c r="A1068" t="s">
        <v>1094</v>
      </c>
      <c r="B1068">
        <v>0.999984544473304</v>
      </c>
      <c r="C1068">
        <v>0.82964112533024</v>
      </c>
      <c r="D1068">
        <v>0.759998564113975</v>
      </c>
      <c r="E1068">
        <v>0.780138661896477</v>
      </c>
      <c r="F1068">
        <v>0.408268403954979</v>
      </c>
      <c r="G1068">
        <v>0.136005726589211</v>
      </c>
      <c r="H1068">
        <v>0.0971670973349226</v>
      </c>
      <c r="I1068">
        <v>0.0857128358048987</v>
      </c>
      <c r="J1068">
        <v>0.0558110846650821</v>
      </c>
      <c r="K1068">
        <v>0.024147672670442</v>
      </c>
      <c r="L1068">
        <v>642.555499339293</v>
      </c>
      <c r="M1068">
        <v>13.1955508112841</v>
      </c>
      <c r="N1068">
        <v>48.6948600250996</v>
      </c>
      <c r="O1068">
        <v>47.6172487288702</v>
      </c>
      <c r="P1068">
        <v>-0.06929080361077811</v>
      </c>
      <c r="Q1068">
        <v>0</v>
      </c>
      <c r="R1068">
        <v>0.962679247837114</v>
      </c>
      <c r="S1068" t="s">
        <v>2736</v>
      </c>
      <c r="T1068" t="s">
        <v>3312</v>
      </c>
      <c r="U1068" t="s">
        <v>3312</v>
      </c>
      <c r="V1068" t="s">
        <v>3312</v>
      </c>
      <c r="W1068" t="s">
        <v>4378</v>
      </c>
      <c r="X1068">
        <v>2</v>
      </c>
      <c r="Y1068" t="s">
        <v>6019</v>
      </c>
      <c r="Z1068" t="s">
        <v>7661</v>
      </c>
      <c r="AA1068">
        <v>0.4162309481114096</v>
      </c>
      <c r="AB1068">
        <f>HYPERLINK("Melting_Curves/meltCurve_P28634_trmO.pdf", "Melting_Curves/meltCurve_P28634_trmO.pdf")</f>
        <v>0</v>
      </c>
    </row>
    <row r="1069" spans="1:28">
      <c r="A1069" t="s">
        <v>1095</v>
      </c>
      <c r="B1069">
        <v>0.999984544473304</v>
      </c>
      <c r="C1069">
        <v>0.80105614711689</v>
      </c>
      <c r="D1069">
        <v>0.9008909839190991</v>
      </c>
      <c r="E1069">
        <v>0.799632021615839</v>
      </c>
      <c r="F1069">
        <v>0.971518021108472</v>
      </c>
      <c r="G1069">
        <v>0.817187304512074</v>
      </c>
      <c r="H1069">
        <v>0.907273545048739</v>
      </c>
      <c r="I1069">
        <v>0.85998875936737</v>
      </c>
      <c r="J1069">
        <v>0.764973742180288</v>
      </c>
      <c r="K1069">
        <v>0.559263480136307</v>
      </c>
      <c r="L1069">
        <v>178.499947848127</v>
      </c>
      <c r="M1069">
        <v>1.72356445388492</v>
      </c>
      <c r="O1069">
        <v>55.8885856492519</v>
      </c>
      <c r="P1069">
        <v>-0.00868445956381614</v>
      </c>
      <c r="Q1069">
        <v>0</v>
      </c>
      <c r="R1069">
        <v>0.369878796776467</v>
      </c>
      <c r="S1069" t="s">
        <v>2737</v>
      </c>
      <c r="T1069" t="s">
        <v>3312</v>
      </c>
      <c r="U1069" t="s">
        <v>3312</v>
      </c>
      <c r="V1069" t="s">
        <v>3312</v>
      </c>
      <c r="W1069" t="s">
        <v>4379</v>
      </c>
      <c r="X1069">
        <v>6</v>
      </c>
      <c r="Y1069" t="s">
        <v>6020</v>
      </c>
      <c r="Z1069" t="s">
        <v>7662</v>
      </c>
      <c r="AA1069">
        <v>0.8440362528299915</v>
      </c>
      <c r="AB1069">
        <f>HYPERLINK("Melting_Curves/meltCurve_P28635_metQ.pdf", "Melting_Curves/meltCurve_P28635_metQ.pdf")</f>
        <v>0</v>
      </c>
    </row>
    <row r="1070" spans="1:28">
      <c r="A1070" t="s">
        <v>1096</v>
      </c>
      <c r="B1070">
        <v>0.999984544473304</v>
      </c>
      <c r="C1070">
        <v>0.728241637982067</v>
      </c>
      <c r="D1070">
        <v>0.966460086310492</v>
      </c>
      <c r="E1070">
        <v>0.813008847996634</v>
      </c>
      <c r="F1070">
        <v>0.760466139701847</v>
      </c>
      <c r="G1070">
        <v>0.449527581038007</v>
      </c>
      <c r="H1070">
        <v>0.122286564684903</v>
      </c>
      <c r="I1070">
        <v>0.0481642953841046</v>
      </c>
      <c r="J1070">
        <v>0.0331777075328859</v>
      </c>
      <c r="K1070">
        <v>0.040274199347249</v>
      </c>
      <c r="L1070">
        <v>947.895428373337</v>
      </c>
      <c r="M1070">
        <v>17.9922134624282</v>
      </c>
      <c r="N1070">
        <v>52.6836708928436</v>
      </c>
      <c r="O1070">
        <v>52.0457677369183</v>
      </c>
      <c r="P1070">
        <v>-0.0864292357947561</v>
      </c>
      <c r="Q1070">
        <v>0</v>
      </c>
      <c r="R1070">
        <v>0.9370245283840291</v>
      </c>
      <c r="S1070" t="s">
        <v>2738</v>
      </c>
      <c r="T1070" t="s">
        <v>3312</v>
      </c>
      <c r="U1070" t="s">
        <v>3312</v>
      </c>
      <c r="V1070" t="s">
        <v>3312</v>
      </c>
      <c r="W1070" t="s">
        <v>4380</v>
      </c>
      <c r="X1070">
        <v>1</v>
      </c>
      <c r="Y1070" t="s">
        <v>6021</v>
      </c>
      <c r="Z1070" t="s">
        <v>7663</v>
      </c>
      <c r="AA1070">
        <v>0.5375449907996075</v>
      </c>
      <c r="AB1070">
        <f>HYPERLINK("Melting_Curves/meltCurve_P28861_fpr.pdf", "Melting_Curves/meltCurve_P28861_fpr.pdf")</f>
        <v>0</v>
      </c>
    </row>
    <row r="1071" spans="1:28">
      <c r="A1071" t="s">
        <v>1097</v>
      </c>
      <c r="B1071">
        <v>0.999984544473304</v>
      </c>
      <c r="C1071">
        <v>0.842785938243785</v>
      </c>
      <c r="D1071">
        <v>0.308180662269234</v>
      </c>
      <c r="E1071">
        <v>0.187514321113184</v>
      </c>
      <c r="F1071">
        <v>0.10554933678484</v>
      </c>
      <c r="G1071">
        <v>0.045415589324122</v>
      </c>
      <c r="H1071">
        <v>0.0560791745644013</v>
      </c>
      <c r="I1071">
        <v>0.0526793354878785</v>
      </c>
      <c r="J1071">
        <v>0.0340071419734593</v>
      </c>
      <c r="K1071">
        <v>0.0534571795474856</v>
      </c>
      <c r="L1071">
        <v>1304.19437971131</v>
      </c>
      <c r="M1071">
        <v>31.222279922788</v>
      </c>
      <c r="N1071">
        <v>41.9660456683398</v>
      </c>
      <c r="O1071">
        <v>41.6010354488818</v>
      </c>
      <c r="P1071">
        <v>-0.174974719353138</v>
      </c>
      <c r="Q1071">
        <v>0.06744935559438441</v>
      </c>
      <c r="R1071">
        <v>0.989505964160647</v>
      </c>
      <c r="S1071" t="s">
        <v>2739</v>
      </c>
      <c r="T1071" t="s">
        <v>3312</v>
      </c>
      <c r="U1071" t="s">
        <v>3312</v>
      </c>
      <c r="V1071" t="s">
        <v>3312</v>
      </c>
      <c r="W1071" t="s">
        <v>4381</v>
      </c>
      <c r="X1071">
        <v>1</v>
      </c>
      <c r="Y1071" t="s">
        <v>6022</v>
      </c>
      <c r="Z1071" t="s">
        <v>7664</v>
      </c>
      <c r="AA1071">
        <v>0.2207565016417033</v>
      </c>
      <c r="AB1071">
        <f>HYPERLINK("Melting_Curves/meltCurve_P28903_nrdD.pdf", "Melting_Curves/meltCurve_P28903_nrdD.pdf")</f>
        <v>0</v>
      </c>
    </row>
    <row r="1072" spans="1:28">
      <c r="A1072" t="s">
        <v>1098</v>
      </c>
      <c r="B1072">
        <v>0.999984544473304</v>
      </c>
      <c r="C1072">
        <v>1.209147126697</v>
      </c>
      <c r="D1072">
        <v>1.02047208786954</v>
      </c>
      <c r="E1072">
        <v>0.604242884349644</v>
      </c>
      <c r="F1072">
        <v>0.0812102863868895</v>
      </c>
      <c r="G1072">
        <v>0.0331295817478071</v>
      </c>
      <c r="H1072">
        <v>0.0308029963803111</v>
      </c>
      <c r="I1072">
        <v>0.0185861830052202</v>
      </c>
      <c r="J1072">
        <v>0.0162396937746461</v>
      </c>
      <c r="K1072">
        <v>0.019936961282891</v>
      </c>
      <c r="L1072">
        <v>2240.98781100482</v>
      </c>
      <c r="M1072">
        <v>47.6926481650131</v>
      </c>
      <c r="N1072">
        <v>47.039287589606</v>
      </c>
      <c r="O1072">
        <v>46.9057408495728</v>
      </c>
      <c r="P1072">
        <v>-0.247768775881752</v>
      </c>
      <c r="Q1072">
        <v>0.0252784461385793</v>
      </c>
      <c r="R1072">
        <v>0.979908799285729</v>
      </c>
      <c r="S1072" t="s">
        <v>2740</v>
      </c>
      <c r="T1072" t="s">
        <v>3312</v>
      </c>
      <c r="U1072" t="s">
        <v>3312</v>
      </c>
      <c r="V1072" t="s">
        <v>3312</v>
      </c>
      <c r="W1072" t="s">
        <v>4382</v>
      </c>
      <c r="X1072">
        <v>5</v>
      </c>
      <c r="Y1072" t="s">
        <v>6023</v>
      </c>
      <c r="Z1072" t="s">
        <v>7665</v>
      </c>
      <c r="AA1072">
        <v>0.352021325641483</v>
      </c>
      <c r="AB1072">
        <f>HYPERLINK("Melting_Curves/meltCurve_P28904_treC.pdf", "Melting_Curves/meltCurve_P28904_treC.pdf")</f>
        <v>0</v>
      </c>
    </row>
    <row r="1073" spans="1:28">
      <c r="A1073" t="s">
        <v>1099</v>
      </c>
      <c r="B1073">
        <v>0.999984544473304</v>
      </c>
      <c r="C1073">
        <v>0.892417397730085</v>
      </c>
      <c r="D1073">
        <v>0.868615274657058</v>
      </c>
      <c r="E1073">
        <v>0.640798373771852</v>
      </c>
      <c r="F1073">
        <v>0.330683917945491</v>
      </c>
      <c r="G1073">
        <v>0.112001651695723</v>
      </c>
      <c r="H1073">
        <v>0.0290864239061196</v>
      </c>
      <c r="I1073">
        <v>0.0224677376884772</v>
      </c>
      <c r="J1073">
        <v>0.0197667834429914</v>
      </c>
      <c r="K1073">
        <v>0</v>
      </c>
      <c r="L1073">
        <v>818.427855927888</v>
      </c>
      <c r="M1073">
        <v>17.0679112575251</v>
      </c>
      <c r="N1073">
        <v>47.9512603549532</v>
      </c>
      <c r="O1073">
        <v>47.3075341318484</v>
      </c>
      <c r="P1073">
        <v>-0.09020208080505721</v>
      </c>
      <c r="Q1073">
        <v>0</v>
      </c>
      <c r="R1073">
        <v>0.99487454065569</v>
      </c>
      <c r="S1073" t="s">
        <v>2741</v>
      </c>
      <c r="T1073" t="s">
        <v>3312</v>
      </c>
      <c r="U1073" t="s">
        <v>3312</v>
      </c>
      <c r="V1073" t="s">
        <v>3312</v>
      </c>
      <c r="W1073" t="s">
        <v>4383</v>
      </c>
      <c r="X1073">
        <v>1</v>
      </c>
      <c r="Y1073" t="s">
        <v>6024</v>
      </c>
      <c r="Z1073" t="s">
        <v>7666</v>
      </c>
      <c r="AA1073">
        <v>0.3826469932872171</v>
      </c>
      <c r="AB1073">
        <f>HYPERLINK("Melting_Curves/meltCurve_P28905_holC.pdf", "Melting_Curves/meltCurve_P28905_holC.pdf")</f>
        <v>0</v>
      </c>
    </row>
    <row r="1074" spans="1:28">
      <c r="A1074" t="s">
        <v>1100</v>
      </c>
      <c r="B1074">
        <v>0.999984544473304</v>
      </c>
      <c r="C1074">
        <v>1.53138939149073</v>
      </c>
      <c r="D1074">
        <v>1.03502812305332</v>
      </c>
      <c r="E1074">
        <v>1.12724001295678</v>
      </c>
      <c r="F1074">
        <v>0.7178565490122339</v>
      </c>
      <c r="G1074">
        <v>0.724911909905719</v>
      </c>
      <c r="H1074">
        <v>0.452383431440497</v>
      </c>
      <c r="I1074">
        <v>0.42293299060123</v>
      </c>
      <c r="J1074">
        <v>0.327934068605243</v>
      </c>
      <c r="K1074">
        <v>0.324880996377433</v>
      </c>
      <c r="L1074">
        <v>1011.47043358432</v>
      </c>
      <c r="M1074">
        <v>18.7961727746464</v>
      </c>
      <c r="N1074">
        <v>56.8525204792724</v>
      </c>
      <c r="O1074">
        <v>53.2145862556791</v>
      </c>
      <c r="P1074">
        <v>-0.060315178191157</v>
      </c>
      <c r="Q1074">
        <v>0.316985986556485</v>
      </c>
      <c r="R1074">
        <v>0.766467853890641</v>
      </c>
      <c r="S1074" t="s">
        <v>2742</v>
      </c>
      <c r="T1074" t="s">
        <v>3312</v>
      </c>
      <c r="U1074" t="s">
        <v>3312</v>
      </c>
      <c r="V1074" t="s">
        <v>3312</v>
      </c>
      <c r="W1074" t="s">
        <v>4384</v>
      </c>
      <c r="X1074">
        <v>3</v>
      </c>
      <c r="Y1074" t="s">
        <v>6025</v>
      </c>
      <c r="Z1074" t="s">
        <v>7667</v>
      </c>
      <c r="AA1074">
        <v>0.7087775563299997</v>
      </c>
      <c r="AB1074">
        <f>HYPERLINK("Melting_Curves/meltCurve_P29012_dadX.pdf", "Melting_Curves/meltCurve_P29012_dadX.pdf")</f>
        <v>0</v>
      </c>
    </row>
    <row r="1075" spans="1:28">
      <c r="A1075" t="s">
        <v>1101</v>
      </c>
      <c r="B1075">
        <v>0.999984544473304</v>
      </c>
      <c r="C1075">
        <v>1.03569578115046</v>
      </c>
      <c r="D1075">
        <v>0.808423900902449</v>
      </c>
      <c r="E1075">
        <v>0.762941511378338</v>
      </c>
      <c r="F1075">
        <v>0.702653633014884</v>
      </c>
      <c r="G1075">
        <v>0.457898997806971</v>
      </c>
      <c r="H1075">
        <v>0.0679896268220318</v>
      </c>
      <c r="I1075">
        <v>0.0231324427927431</v>
      </c>
      <c r="J1075">
        <v>0.0176581386105534</v>
      </c>
      <c r="K1075">
        <v>0.0158655101631805</v>
      </c>
      <c r="L1075">
        <v>827.138785816301</v>
      </c>
      <c r="M1075">
        <v>15.9417994627848</v>
      </c>
      <c r="N1075">
        <v>51.8848899389381</v>
      </c>
      <c r="O1075">
        <v>51.0890727236068</v>
      </c>
      <c r="P1075">
        <v>-0.07801604035715511</v>
      </c>
      <c r="Q1075">
        <v>0</v>
      </c>
      <c r="R1075">
        <v>0.95899356183903</v>
      </c>
      <c r="S1075" t="s">
        <v>2743</v>
      </c>
      <c r="T1075" t="s">
        <v>3312</v>
      </c>
      <c r="U1075" t="s">
        <v>3312</v>
      </c>
      <c r="V1075" t="s">
        <v>3312</v>
      </c>
      <c r="W1075" t="s">
        <v>4385</v>
      </c>
      <c r="X1075">
        <v>1</v>
      </c>
      <c r="Y1075" t="s">
        <v>6026</v>
      </c>
      <c r="Z1075" t="s">
        <v>7668</v>
      </c>
      <c r="AA1075">
        <v>0.5140499426247943</v>
      </c>
      <c r="AB1075">
        <f>HYPERLINK("Melting_Curves/meltCurve_P29013_ycgB.pdf", "Melting_Curves/meltCurve_P29013_ycgB.pdf")</f>
        <v>0</v>
      </c>
    </row>
    <row r="1076" spans="1:28">
      <c r="A1076" t="s">
        <v>1102</v>
      </c>
      <c r="B1076">
        <v>0.999984544473304</v>
      </c>
      <c r="C1076">
        <v>1.00145272624271</v>
      </c>
      <c r="D1076">
        <v>0.591679543522275</v>
      </c>
      <c r="E1076">
        <v>0.392203004356914</v>
      </c>
      <c r="F1076">
        <v>0.397640053129103</v>
      </c>
      <c r="G1076">
        <v>0.293728039041556</v>
      </c>
      <c r="H1076">
        <v>0.234331594592858</v>
      </c>
      <c r="I1076">
        <v>0.0756155788664811</v>
      </c>
      <c r="J1076">
        <v>0.16148963342992</v>
      </c>
      <c r="K1076">
        <v>0</v>
      </c>
      <c r="L1076">
        <v>523.252364714899</v>
      </c>
      <c r="M1076">
        <v>11.451517411199</v>
      </c>
      <c r="N1076">
        <v>46.4349782828067</v>
      </c>
      <c r="O1076">
        <v>44.3660484899003</v>
      </c>
      <c r="P1076">
        <v>-0.0591494956886844</v>
      </c>
      <c r="Q1076">
        <v>0.08362485250411771</v>
      </c>
      <c r="R1076">
        <v>0.929722931698286</v>
      </c>
      <c r="S1076" t="s">
        <v>2744</v>
      </c>
      <c r="T1076" t="s">
        <v>3312</v>
      </c>
      <c r="U1076" t="s">
        <v>3312</v>
      </c>
      <c r="V1076" t="s">
        <v>3312</v>
      </c>
      <c r="W1076" t="s">
        <v>4386</v>
      </c>
      <c r="X1076">
        <v>1</v>
      </c>
      <c r="Y1076" t="s">
        <v>6027</v>
      </c>
      <c r="Z1076" t="s">
        <v>7669</v>
      </c>
      <c r="AA1076">
        <v>0.3839395905652179</v>
      </c>
      <c r="AB1076">
        <f>HYPERLINK("Melting_Curves/meltCurve_P29018_cydD.pdf", "Melting_Curves/meltCurve_P29018_cydD.pdf")</f>
        <v>0</v>
      </c>
    </row>
    <row r="1077" spans="1:28">
      <c r="A1077" t="s">
        <v>1103</v>
      </c>
      <c r="B1077">
        <v>0.999984544473304</v>
      </c>
      <c r="C1077">
        <v>1.08412269410166</v>
      </c>
      <c r="D1077">
        <v>1.0325378337527</v>
      </c>
      <c r="E1077">
        <v>1.04818524584889</v>
      </c>
      <c r="F1077">
        <v>1.02872202818477</v>
      </c>
      <c r="G1077">
        <v>0.873573728789645</v>
      </c>
      <c r="H1077">
        <v>0.7462132098201461</v>
      </c>
      <c r="I1077">
        <v>0.586898687965692</v>
      </c>
      <c r="J1077">
        <v>0.489086963180105</v>
      </c>
      <c r="K1077">
        <v>0.479920103733555</v>
      </c>
      <c r="L1077">
        <v>1272.58483921502</v>
      </c>
      <c r="M1077">
        <v>22.0708978986492</v>
      </c>
      <c r="N1077">
        <v>64.37765060009789</v>
      </c>
      <c r="O1077">
        <v>57.1918748471555</v>
      </c>
      <c r="P1077">
        <v>-0.053059810760249</v>
      </c>
      <c r="Q1077">
        <v>0.450040902194971</v>
      </c>
      <c r="R1077">
        <v>0.972284112716892</v>
      </c>
      <c r="S1077" t="s">
        <v>2745</v>
      </c>
      <c r="T1077" t="s">
        <v>3312</v>
      </c>
      <c r="U1077" t="s">
        <v>3312</v>
      </c>
      <c r="V1077" t="s">
        <v>3312</v>
      </c>
      <c r="W1077" t="s">
        <v>4387</v>
      </c>
      <c r="X1077">
        <v>3</v>
      </c>
      <c r="Y1077" t="s">
        <v>6028</v>
      </c>
      <c r="Z1077" t="s">
        <v>7670</v>
      </c>
      <c r="AA1077">
        <v>0.8328280776527982</v>
      </c>
      <c r="AB1077">
        <f>HYPERLINK("Melting_Curves/meltCurve_P29131_ftsN.pdf", "Melting_Curves/meltCurve_P29131_ftsN.pdf")</f>
        <v>0</v>
      </c>
    </row>
    <row r="1078" spans="1:28">
      <c r="A1078" t="s">
        <v>1104</v>
      </c>
      <c r="B1078">
        <v>0.999984544473304</v>
      </c>
      <c r="C1078">
        <v>0.733895942384426</v>
      </c>
      <c r="D1078">
        <v>0.8319877462430511</v>
      </c>
      <c r="E1078">
        <v>0.418828124385666</v>
      </c>
      <c r="F1078">
        <v>0.276840116368386</v>
      </c>
      <c r="G1078">
        <v>0.177289110342501</v>
      </c>
      <c r="H1078">
        <v>0.146980867033132</v>
      </c>
      <c r="I1078">
        <v>0.117377442633049</v>
      </c>
      <c r="J1078">
        <v>0.0821074902816543</v>
      </c>
      <c r="K1078">
        <v>0.0350883258827388</v>
      </c>
      <c r="L1078">
        <v>565.839894244142</v>
      </c>
      <c r="M1078">
        <v>12.3656500494057</v>
      </c>
      <c r="N1078">
        <v>46.1591023123565</v>
      </c>
      <c r="O1078">
        <v>44.6116863794131</v>
      </c>
      <c r="P1078">
        <v>-0.065788598295805</v>
      </c>
      <c r="Q1078">
        <v>0.0508187884221606</v>
      </c>
      <c r="R1078">
        <v>0.9618821459328309</v>
      </c>
      <c r="S1078" t="s">
        <v>2746</v>
      </c>
      <c r="T1078" t="s">
        <v>3312</v>
      </c>
      <c r="U1078" t="s">
        <v>3312</v>
      </c>
      <c r="V1078" t="s">
        <v>3312</v>
      </c>
      <c r="W1078" t="s">
        <v>4388</v>
      </c>
      <c r="X1078">
        <v>2</v>
      </c>
      <c r="Y1078" t="s">
        <v>6029</v>
      </c>
      <c r="Z1078" t="s">
        <v>7671</v>
      </c>
      <c r="AA1078">
        <v>0.3594047471914428</v>
      </c>
      <c r="AB1078">
        <f>HYPERLINK("Melting_Curves/meltCurve_P29208_menC.pdf", "Melting_Curves/meltCurve_P29208_menC.pdf")</f>
        <v>0</v>
      </c>
    </row>
    <row r="1079" spans="1:28">
      <c r="A1079" t="s">
        <v>1105</v>
      </c>
      <c r="B1079">
        <v>0.999984544473304</v>
      </c>
      <c r="C1079">
        <v>0.8112745485491309</v>
      </c>
      <c r="D1079">
        <v>0.978127022942675</v>
      </c>
      <c r="E1079">
        <v>0.864469301464283</v>
      </c>
      <c r="F1079">
        <v>0.389641336867382</v>
      </c>
      <c r="G1079">
        <v>0.102078227302407</v>
      </c>
      <c r="H1079">
        <v>0.06988929009299551</v>
      </c>
      <c r="I1079">
        <v>0.0732701260980782</v>
      </c>
      <c r="J1079">
        <v>0.049018842126172</v>
      </c>
      <c r="K1079">
        <v>0.058330947886539</v>
      </c>
      <c r="L1079">
        <v>1563.22745887699</v>
      </c>
      <c r="M1079">
        <v>31.765140437383</v>
      </c>
      <c r="N1079">
        <v>49.3996128873606</v>
      </c>
      <c r="O1079">
        <v>49.0182387067843</v>
      </c>
      <c r="P1079">
        <v>-0.152803593635857</v>
      </c>
      <c r="Q1079">
        <v>0.0568121617402723</v>
      </c>
      <c r="R1079">
        <v>0.977580851059753</v>
      </c>
      <c r="S1079" t="s">
        <v>2747</v>
      </c>
      <c r="T1079" t="s">
        <v>3312</v>
      </c>
      <c r="U1079" t="s">
        <v>3312</v>
      </c>
      <c r="V1079" t="s">
        <v>3312</v>
      </c>
      <c r="W1079" t="s">
        <v>4389</v>
      </c>
      <c r="X1079">
        <v>5</v>
      </c>
      <c r="Y1079" t="s">
        <v>6030</v>
      </c>
      <c r="Z1079" t="s">
        <v>7672</v>
      </c>
      <c r="AA1079">
        <v>0.4458489330487478</v>
      </c>
      <c r="AB1079">
        <f>HYPERLINK("Melting_Curves/meltCurve_P29217_yceH.pdf", "Melting_Curves/meltCurve_P29217_yceH.pdf")</f>
        <v>0</v>
      </c>
    </row>
    <row r="1080" spans="1:28">
      <c r="A1080" t="s">
        <v>1106</v>
      </c>
      <c r="B1080">
        <v>0.999984544473304</v>
      </c>
      <c r="C1080">
        <v>0.76277166207012</v>
      </c>
      <c r="D1080">
        <v>0.71782918975618</v>
      </c>
      <c r="E1080">
        <v>0.359114396210117</v>
      </c>
      <c r="F1080">
        <v>0.219372187929291</v>
      </c>
      <c r="G1080">
        <v>0.101072722710957</v>
      </c>
      <c r="H1080">
        <v>0.0618425422856247</v>
      </c>
      <c r="I1080">
        <v>0.0424385374079228</v>
      </c>
      <c r="J1080">
        <v>0.0248535693314947</v>
      </c>
      <c r="K1080">
        <v>0.0245691020914449</v>
      </c>
      <c r="L1080">
        <v>601.047384719578</v>
      </c>
      <c r="M1080">
        <v>13.3612058515138</v>
      </c>
      <c r="N1080">
        <v>45.0480388844271</v>
      </c>
      <c r="O1080">
        <v>44.012694133622</v>
      </c>
      <c r="P1080">
        <v>-0.0751977724592733</v>
      </c>
      <c r="Q1080">
        <v>0.00933202168936385</v>
      </c>
      <c r="R1080">
        <v>0.987036004320855</v>
      </c>
      <c r="S1080" t="s">
        <v>2748</v>
      </c>
      <c r="T1080" t="s">
        <v>3312</v>
      </c>
      <c r="U1080" t="s">
        <v>3312</v>
      </c>
      <c r="V1080" t="s">
        <v>3312</v>
      </c>
      <c r="W1080" t="s">
        <v>4390</v>
      </c>
      <c r="X1080">
        <v>3</v>
      </c>
      <c r="Y1080" t="s">
        <v>6031</v>
      </c>
      <c r="Z1080" t="s">
        <v>7673</v>
      </c>
      <c r="AA1080">
        <v>0.3025465159836171</v>
      </c>
      <c r="AB1080">
        <f>HYPERLINK("Melting_Curves/meltCurve_P29680_hemE.pdf", "Melting_Curves/meltCurve_P29680_hemE.pdf")</f>
        <v>0</v>
      </c>
    </row>
    <row r="1081" spans="1:28">
      <c r="A1081" t="s">
        <v>1107</v>
      </c>
      <c r="B1081">
        <v>0.999984544473304</v>
      </c>
      <c r="C1081">
        <v>1.09241699908873</v>
      </c>
      <c r="D1081">
        <v>1.05865382616574</v>
      </c>
      <c r="E1081">
        <v>0.7881713527558331</v>
      </c>
      <c r="F1081">
        <v>0.5203980522412101</v>
      </c>
      <c r="G1081">
        <v>0.291770721743534</v>
      </c>
      <c r="H1081">
        <v>0.0841367351606639</v>
      </c>
      <c r="I1081">
        <v>0.0429799811936978</v>
      </c>
      <c r="J1081">
        <v>0.0324380004139629</v>
      </c>
      <c r="K1081">
        <v>0.0258137312462633</v>
      </c>
      <c r="L1081">
        <v>951.515413933666</v>
      </c>
      <c r="M1081">
        <v>18.8419277700365</v>
      </c>
      <c r="N1081">
        <v>50.5717457040599</v>
      </c>
      <c r="O1081">
        <v>49.9413939212507</v>
      </c>
      <c r="P1081">
        <v>-0.0930783801135031</v>
      </c>
      <c r="Q1081">
        <v>0.0132070206846437</v>
      </c>
      <c r="R1081">
        <v>0.987644302576845</v>
      </c>
      <c r="S1081" t="s">
        <v>2749</v>
      </c>
      <c r="T1081" t="s">
        <v>3312</v>
      </c>
      <c r="U1081" t="s">
        <v>3312</v>
      </c>
      <c r="V1081" t="s">
        <v>3312</v>
      </c>
      <c r="W1081" t="s">
        <v>4391</v>
      </c>
      <c r="X1081">
        <v>10</v>
      </c>
      <c r="Y1081" t="s">
        <v>6032</v>
      </c>
      <c r="Z1081" t="s">
        <v>7674</v>
      </c>
      <c r="AA1081">
        <v>0.4715953563124842</v>
      </c>
      <c r="AB1081">
        <f>HYPERLINK("Melting_Curves/meltCurve_P29745_pepT.pdf", "Melting_Curves/meltCurve_P29745_pepT.pdf")</f>
        <v>0</v>
      </c>
    </row>
    <row r="1082" spans="1:28">
      <c r="A1082" t="s">
        <v>1108</v>
      </c>
      <c r="B1082">
        <v>0.999984544473304</v>
      </c>
      <c r="C1082">
        <v>0.85873798644282</v>
      </c>
      <c r="D1082">
        <v>0.921348828196017</v>
      </c>
      <c r="E1082">
        <v>0.651033848914179</v>
      </c>
      <c r="F1082">
        <v>0.209734926750248</v>
      </c>
      <c r="G1082">
        <v>0.0666031102719461</v>
      </c>
      <c r="H1082">
        <v>0.0333497572090281</v>
      </c>
      <c r="I1082">
        <v>0.0247395828901615</v>
      </c>
      <c r="J1082">
        <v>0.0213888915401847</v>
      </c>
      <c r="K1082">
        <v>0.0131943297764188</v>
      </c>
      <c r="L1082">
        <v>1153.06778600843</v>
      </c>
      <c r="M1082">
        <v>24.2425451676771</v>
      </c>
      <c r="N1082">
        <v>47.6209661300459</v>
      </c>
      <c r="O1082">
        <v>47.2437059170161</v>
      </c>
      <c r="P1082">
        <v>-0.126447006927381</v>
      </c>
      <c r="Q1082">
        <v>0.0143387327188351</v>
      </c>
      <c r="R1082">
        <v>0.988546203795981</v>
      </c>
      <c r="S1082" t="s">
        <v>2750</v>
      </c>
      <c r="T1082" t="s">
        <v>3312</v>
      </c>
      <c r="U1082" t="s">
        <v>3312</v>
      </c>
      <c r="V1082" t="s">
        <v>3312</v>
      </c>
      <c r="W1082" t="s">
        <v>4392</v>
      </c>
      <c r="X1082">
        <v>3</v>
      </c>
      <c r="Y1082" t="s">
        <v>6033</v>
      </c>
      <c r="Z1082" t="s">
        <v>7675</v>
      </c>
      <c r="AA1082">
        <v>0.3702895993022475</v>
      </c>
      <c r="AB1082">
        <f>HYPERLINK("Melting_Curves/meltCurve_P30011_nadC.pdf", "Melting_Curves/meltCurve_P30011_nadC.pdf")</f>
        <v>0</v>
      </c>
    </row>
    <row r="1083" spans="1:28">
      <c r="A1083" t="s">
        <v>1109</v>
      </c>
      <c r="B1083">
        <v>0.999984544473304</v>
      </c>
      <c r="C1083">
        <v>0.948546025251528</v>
      </c>
      <c r="D1083">
        <v>0.940231789291305</v>
      </c>
      <c r="E1083">
        <v>0.834967478258921</v>
      </c>
      <c r="F1083">
        <v>0.93533401072912</v>
      </c>
      <c r="G1083">
        <v>0.912336655226786</v>
      </c>
      <c r="H1083">
        <v>0.858522142255439</v>
      </c>
      <c r="I1083">
        <v>0.892588149581497</v>
      </c>
      <c r="J1083">
        <v>0.750728019716708</v>
      </c>
      <c r="K1083">
        <v>0.527226234409031</v>
      </c>
      <c r="L1083">
        <v>662.966666281288</v>
      </c>
      <c r="M1083">
        <v>9.48290712506434</v>
      </c>
      <c r="Q1083">
        <v>0</v>
      </c>
      <c r="R1083">
        <v>0.698020985675105</v>
      </c>
      <c r="S1083" t="s">
        <v>2751</v>
      </c>
      <c r="T1083" t="s">
        <v>3312</v>
      </c>
      <c r="U1083" t="s">
        <v>3312</v>
      </c>
      <c r="V1083" t="s">
        <v>3312</v>
      </c>
      <c r="W1083" t="s">
        <v>4393</v>
      </c>
      <c r="X1083">
        <v>5</v>
      </c>
      <c r="Y1083" t="s">
        <v>6034</v>
      </c>
      <c r="Z1083" t="s">
        <v>7676</v>
      </c>
      <c r="AA1083">
        <v>0.9054955916180243</v>
      </c>
      <c r="AB1083">
        <f>HYPERLINK("Melting_Curves/meltCurve_P30125_leuB.pdf", "Melting_Curves/meltCurve_P30125_leuB.pdf")</f>
        <v>0</v>
      </c>
    </row>
    <row r="1084" spans="1:28">
      <c r="A1084" t="s">
        <v>1110</v>
      </c>
      <c r="B1084">
        <v>0.999984544473304</v>
      </c>
      <c r="C1084">
        <v>1.37955817418044</v>
      </c>
      <c r="D1084">
        <v>1.02260867054827</v>
      </c>
      <c r="E1084">
        <v>0.993175118934178</v>
      </c>
      <c r="F1084">
        <v>1.0707603729701</v>
      </c>
      <c r="G1084">
        <v>0.805564291513222</v>
      </c>
      <c r="H1084">
        <v>0.846026489665254</v>
      </c>
      <c r="I1084">
        <v>0.487040981630782</v>
      </c>
      <c r="J1084">
        <v>0.500338234000163</v>
      </c>
      <c r="K1084">
        <v>0.507782236490691</v>
      </c>
      <c r="L1084">
        <v>1411.69157328359</v>
      </c>
      <c r="M1084">
        <v>24.4649087760379</v>
      </c>
      <c r="N1084">
        <v>64.0738007378998</v>
      </c>
      <c r="O1084">
        <v>57.3213412399039</v>
      </c>
      <c r="P1084">
        <v>-0.0580356608888702</v>
      </c>
      <c r="Q1084">
        <v>0.45609734994034</v>
      </c>
      <c r="R1084">
        <v>0.7630703765454629</v>
      </c>
      <c r="S1084" t="s">
        <v>2752</v>
      </c>
      <c r="T1084" t="s">
        <v>3312</v>
      </c>
      <c r="U1084" t="s">
        <v>3312</v>
      </c>
      <c r="V1084" t="s">
        <v>3312</v>
      </c>
      <c r="W1084" t="s">
        <v>4394</v>
      </c>
      <c r="X1084">
        <v>1</v>
      </c>
      <c r="Y1084" t="s">
        <v>6035</v>
      </c>
      <c r="Z1084" t="s">
        <v>7677</v>
      </c>
      <c r="AA1084">
        <v>0.8352131897167223</v>
      </c>
      <c r="AB1084">
        <f>HYPERLINK("Melting_Curves/meltCurve_P30126_leuD.pdf", "Melting_Curves/meltCurve_P30126_leuD.pdf")</f>
        <v>0</v>
      </c>
    </row>
    <row r="1085" spans="1:28">
      <c r="A1085" t="s">
        <v>1111</v>
      </c>
      <c r="B1085">
        <v>0.999984544473304</v>
      </c>
      <c r="C1085">
        <v>1.47238149686725</v>
      </c>
      <c r="D1085">
        <v>0.953885203762173</v>
      </c>
      <c r="E1085">
        <v>1.25228559144905</v>
      </c>
      <c r="F1085">
        <v>0.654815619013486</v>
      </c>
      <c r="G1085">
        <v>0.240841315699514</v>
      </c>
      <c r="H1085">
        <v>0.0564036222343735</v>
      </c>
      <c r="I1085">
        <v>0.0350624704706173</v>
      </c>
      <c r="J1085">
        <v>0.0222557651251269</v>
      </c>
      <c r="K1085">
        <v>0.0219788805558278</v>
      </c>
      <c r="L1085">
        <v>1896.79511326028</v>
      </c>
      <c r="M1085">
        <v>36.9120748709944</v>
      </c>
      <c r="N1085">
        <v>51.4901264734837</v>
      </c>
      <c r="O1085">
        <v>51.2367279489415</v>
      </c>
      <c r="P1085">
        <v>-0.173679464475594</v>
      </c>
      <c r="Q1085">
        <v>0.0356824196769236</v>
      </c>
      <c r="R1085">
        <v>0.893414549159683</v>
      </c>
      <c r="S1085" t="s">
        <v>2753</v>
      </c>
      <c r="T1085" t="s">
        <v>3312</v>
      </c>
      <c r="U1085" t="s">
        <v>3312</v>
      </c>
      <c r="V1085" t="s">
        <v>3312</v>
      </c>
      <c r="W1085" t="s">
        <v>4395</v>
      </c>
      <c r="X1085">
        <v>1</v>
      </c>
      <c r="Y1085" t="s">
        <v>6036</v>
      </c>
      <c r="Z1085" t="s">
        <v>7678</v>
      </c>
      <c r="AA1085">
        <v>0.50214672147891</v>
      </c>
      <c r="AB1085">
        <f>HYPERLINK("Melting_Curves/meltCurve_P30136_thiC.pdf", "Melting_Curves/meltCurve_P30136_thiC.pdf")</f>
        <v>0</v>
      </c>
    </row>
    <row r="1086" spans="1:28">
      <c r="A1086" t="s">
        <v>1112</v>
      </c>
      <c r="B1086">
        <v>0.999984544473304</v>
      </c>
      <c r="C1086">
        <v>0.883762485644523</v>
      </c>
      <c r="D1086">
        <v>0.906580497673657</v>
      </c>
      <c r="E1086">
        <v>0.804421519993242</v>
      </c>
      <c r="F1086">
        <v>0.921649739556946</v>
      </c>
      <c r="G1086">
        <v>0.738878099553629</v>
      </c>
      <c r="H1086">
        <v>0.657377312144833</v>
      </c>
      <c r="I1086">
        <v>0.484849209569541</v>
      </c>
      <c r="J1086">
        <v>0.37672185364428</v>
      </c>
      <c r="K1086">
        <v>0.288304404995838</v>
      </c>
      <c r="L1086">
        <v>475.36076867183</v>
      </c>
      <c r="M1086">
        <v>7.83954588516573</v>
      </c>
      <c r="N1086">
        <v>60.6362603193538</v>
      </c>
      <c r="O1086">
        <v>57.0706513834866</v>
      </c>
      <c r="P1086">
        <v>-0.0343832950698936</v>
      </c>
      <c r="Q1086">
        <v>0</v>
      </c>
      <c r="R1086">
        <v>0.934180598415951</v>
      </c>
      <c r="S1086" t="s">
        <v>2754</v>
      </c>
      <c r="T1086" t="s">
        <v>3312</v>
      </c>
      <c r="U1086" t="s">
        <v>3312</v>
      </c>
      <c r="V1086" t="s">
        <v>3312</v>
      </c>
      <c r="W1086" t="s">
        <v>4396</v>
      </c>
      <c r="X1086">
        <v>11</v>
      </c>
      <c r="Y1086" t="s">
        <v>6037</v>
      </c>
      <c r="Z1086" t="s">
        <v>7679</v>
      </c>
      <c r="AA1086">
        <v>0.7348083205179751</v>
      </c>
      <c r="AB1086">
        <f>HYPERLINK("Melting_Curves/meltCurve_P30177_ybiB.pdf", "Melting_Curves/meltCurve_P30177_ybiB.pdf")</f>
        <v>0</v>
      </c>
    </row>
    <row r="1087" spans="1:28">
      <c r="A1087" t="s">
        <v>1113</v>
      </c>
      <c r="B1087">
        <v>0.999984544473304</v>
      </c>
      <c r="C1087">
        <v>0.699139254782331</v>
      </c>
      <c r="D1087">
        <v>0.6333981267769</v>
      </c>
      <c r="E1087">
        <v>0.2992077170079</v>
      </c>
      <c r="F1087">
        <v>0.402204439333826</v>
      </c>
      <c r="G1087">
        <v>0.196380329503632</v>
      </c>
      <c r="H1087">
        <v>0.214327473386695</v>
      </c>
      <c r="I1087">
        <v>0.202300836351605</v>
      </c>
      <c r="J1087">
        <v>0.109027589252371</v>
      </c>
      <c r="K1087">
        <v>0.103535103300228</v>
      </c>
      <c r="L1087">
        <v>507.067237629936</v>
      </c>
      <c r="M1087">
        <v>11.6727660898965</v>
      </c>
      <c r="N1087">
        <v>44.6343543849714</v>
      </c>
      <c r="O1087">
        <v>42.2239759787535</v>
      </c>
      <c r="P1087">
        <v>-0.0598591268156447</v>
      </c>
      <c r="Q1087">
        <v>0.134116544134067</v>
      </c>
      <c r="R1087">
        <v>0.938230192224053</v>
      </c>
      <c r="S1087" t="s">
        <v>2755</v>
      </c>
      <c r="T1087" t="s">
        <v>3312</v>
      </c>
      <c r="U1087" t="s">
        <v>3312</v>
      </c>
      <c r="V1087" t="s">
        <v>3312</v>
      </c>
      <c r="W1087" t="s">
        <v>4397</v>
      </c>
      <c r="X1087">
        <v>1</v>
      </c>
      <c r="Y1087" t="s">
        <v>6038</v>
      </c>
      <c r="Z1087" t="s">
        <v>7680</v>
      </c>
      <c r="AA1087">
        <v>0.3566558538529292</v>
      </c>
      <c r="AB1087">
        <f>HYPERLINK("Melting_Curves/meltCurve_P30750_metN.pdf", "Melting_Curves/meltCurve_P30750_metN.pdf")</f>
        <v>0</v>
      </c>
    </row>
    <row r="1088" spans="1:28">
      <c r="A1088" t="s">
        <v>1114</v>
      </c>
      <c r="B1088">
        <v>0.999984544473304</v>
      </c>
      <c r="C1088">
        <v>1.1660238520886</v>
      </c>
      <c r="D1088">
        <v>0.982448785005445</v>
      </c>
      <c r="E1088">
        <v>1.00050912170528</v>
      </c>
      <c r="F1088">
        <v>0.152168053554395</v>
      </c>
      <c r="G1088">
        <v>0.07931119760644249</v>
      </c>
      <c r="H1088">
        <v>0.0598879181868872</v>
      </c>
      <c r="I1088">
        <v>0.042627088331483</v>
      </c>
      <c r="J1088">
        <v>0.0445852052273551</v>
      </c>
      <c r="K1088">
        <v>0.0424477616458888</v>
      </c>
      <c r="L1088">
        <v>6221.66110371579</v>
      </c>
      <c r="M1088">
        <v>126.09090074713</v>
      </c>
      <c r="N1088">
        <v>49.3872249580325</v>
      </c>
      <c r="O1088">
        <v>49.3302403941449</v>
      </c>
      <c r="P1088">
        <v>-0.604658297787005</v>
      </c>
      <c r="Q1088">
        <v>0.0537636568279918</v>
      </c>
      <c r="R1088">
        <v>0.987302841737897</v>
      </c>
      <c r="S1088" t="s">
        <v>2756</v>
      </c>
      <c r="T1088" t="s">
        <v>3312</v>
      </c>
      <c r="U1088" t="s">
        <v>3312</v>
      </c>
      <c r="V1088" t="s">
        <v>3312</v>
      </c>
      <c r="W1088" t="s">
        <v>4398</v>
      </c>
      <c r="X1088">
        <v>6</v>
      </c>
      <c r="Y1088" t="s">
        <v>6039</v>
      </c>
      <c r="Z1088" t="s">
        <v>7681</v>
      </c>
      <c r="AA1088">
        <v>0.4433885924969211</v>
      </c>
      <c r="AB1088">
        <f>HYPERLINK("Melting_Curves/meltCurve_P30850_rnb.pdf", "Melting_Curves/meltCurve_P30850_rnb.pdf")</f>
        <v>0</v>
      </c>
    </row>
    <row r="1089" spans="1:28">
      <c r="A1089" t="s">
        <v>1115</v>
      </c>
      <c r="B1089">
        <v>0.999984544473304</v>
      </c>
      <c r="C1089">
        <v>0.968094802099886</v>
      </c>
      <c r="D1089">
        <v>0.969403725610564</v>
      </c>
      <c r="E1089">
        <v>1.08995683329049</v>
      </c>
      <c r="F1089">
        <v>1.19171918041504</v>
      </c>
      <c r="G1089">
        <v>1.01086855726149</v>
      </c>
      <c r="H1089">
        <v>1.05451866735967</v>
      </c>
      <c r="I1089">
        <v>0.995820097855407</v>
      </c>
      <c r="J1089">
        <v>0.780025697102208</v>
      </c>
      <c r="K1089">
        <v>0.894775146315018</v>
      </c>
      <c r="L1089">
        <v>15000</v>
      </c>
      <c r="M1089">
        <v>242.378033851067</v>
      </c>
      <c r="O1089">
        <v>61.8825889236793</v>
      </c>
      <c r="P1089">
        <v>-0.159220336694778</v>
      </c>
      <c r="Q1089">
        <v>0.837395072068988</v>
      </c>
      <c r="R1089">
        <v>0.482632310775195</v>
      </c>
      <c r="S1089" t="s">
        <v>2757</v>
      </c>
      <c r="T1089" t="s">
        <v>3312</v>
      </c>
      <c r="U1089" t="s">
        <v>3312</v>
      </c>
      <c r="V1089" t="s">
        <v>3312</v>
      </c>
      <c r="W1089" t="s">
        <v>4399</v>
      </c>
      <c r="X1089">
        <v>13</v>
      </c>
      <c r="Y1089" t="s">
        <v>6040</v>
      </c>
      <c r="Z1089" t="s">
        <v>7682</v>
      </c>
      <c r="AA1089">
        <v>0.9723043848637495</v>
      </c>
      <c r="AB1089">
        <f>HYPERLINK("Melting_Curves/meltCurve_P30859_artI.pdf", "Melting_Curves/meltCurve_P30859_artI.pdf")</f>
        <v>0</v>
      </c>
    </row>
    <row r="1090" spans="1:28">
      <c r="A1090" t="s">
        <v>1116</v>
      </c>
      <c r="B1090">
        <v>0.999984544473304</v>
      </c>
      <c r="C1090">
        <v>0.939919385457859</v>
      </c>
      <c r="D1090">
        <v>0.902372477499897</v>
      </c>
      <c r="E1090">
        <v>0.9674729548259799</v>
      </c>
      <c r="F1090">
        <v>1.00337705084154</v>
      </c>
      <c r="G1090">
        <v>0.870593756510757</v>
      </c>
      <c r="H1090">
        <v>0.84409082606924</v>
      </c>
      <c r="I1090">
        <v>0.739037210586821</v>
      </c>
      <c r="J1090">
        <v>0.568448915880592</v>
      </c>
      <c r="K1090">
        <v>0.576328374158467</v>
      </c>
      <c r="L1090">
        <v>668.807226113743</v>
      </c>
      <c r="M1090">
        <v>10.6019854751956</v>
      </c>
      <c r="O1090">
        <v>60.9629612873492</v>
      </c>
      <c r="P1090">
        <v>-0.0301411633742156</v>
      </c>
      <c r="Q1090">
        <v>0.307005089697988</v>
      </c>
      <c r="R1090">
        <v>0.913224693983499</v>
      </c>
      <c r="S1090" t="s">
        <v>2758</v>
      </c>
      <c r="T1090" t="s">
        <v>3312</v>
      </c>
      <c r="U1090" t="s">
        <v>3312</v>
      </c>
      <c r="V1090" t="s">
        <v>3312</v>
      </c>
      <c r="W1090" t="s">
        <v>4400</v>
      </c>
      <c r="X1090">
        <v>6</v>
      </c>
      <c r="Y1090" t="s">
        <v>6041</v>
      </c>
      <c r="Z1090" t="s">
        <v>7683</v>
      </c>
      <c r="AA1090">
        <v>0.8689875006422255</v>
      </c>
      <c r="AB1090">
        <f>HYPERLINK("Melting_Curves/meltCurve_P30860_artJ.pdf", "Melting_Curves/meltCurve_P30860_artJ.pdf")</f>
        <v>0</v>
      </c>
    </row>
    <row r="1091" spans="1:28">
      <c r="A1091" t="s">
        <v>1117</v>
      </c>
      <c r="B1091">
        <v>0.999984544473304</v>
      </c>
      <c r="C1091">
        <v>0.836664239509389</v>
      </c>
      <c r="D1091">
        <v>0.927555743025235</v>
      </c>
      <c r="E1091">
        <v>0.829118337973465</v>
      </c>
      <c r="F1091">
        <v>0.383395389750098</v>
      </c>
      <c r="G1091">
        <v>0.157020355519847</v>
      </c>
      <c r="H1091">
        <v>0.0936908485530439</v>
      </c>
      <c r="I1091">
        <v>0.0532294488117359</v>
      </c>
      <c r="J1091">
        <v>0.040357989800205</v>
      </c>
      <c r="K1091">
        <v>0.0313745325959529</v>
      </c>
      <c r="L1091">
        <v>1146.45469494131</v>
      </c>
      <c r="M1091">
        <v>23.3231900447587</v>
      </c>
      <c r="N1091">
        <v>49.3359957814485</v>
      </c>
      <c r="O1091">
        <v>48.7980625209964</v>
      </c>
      <c r="P1091">
        <v>-0.114594276760887</v>
      </c>
      <c r="Q1091">
        <v>0.0409753049977107</v>
      </c>
      <c r="R1091">
        <v>0.980892757526968</v>
      </c>
      <c r="S1091" t="s">
        <v>2759</v>
      </c>
      <c r="T1091" t="s">
        <v>3312</v>
      </c>
      <c r="U1091" t="s">
        <v>3312</v>
      </c>
      <c r="V1091" t="s">
        <v>3312</v>
      </c>
      <c r="W1091" t="s">
        <v>4401</v>
      </c>
      <c r="X1091">
        <v>6</v>
      </c>
      <c r="Y1091" t="s">
        <v>6042</v>
      </c>
      <c r="Z1091" t="s">
        <v>7684</v>
      </c>
      <c r="AA1091">
        <v>0.439034979562436</v>
      </c>
      <c r="AB1091">
        <f>HYPERLINK("Melting_Curves/meltCurve_P30863_dkgB.pdf", "Melting_Curves/meltCurve_P30863_dkgB.pdf")</f>
        <v>0</v>
      </c>
    </row>
    <row r="1092" spans="1:28">
      <c r="A1092" t="s">
        <v>1118</v>
      </c>
      <c r="B1092">
        <v>0.999984544473304</v>
      </c>
      <c r="C1092">
        <v>0.795309861515796</v>
      </c>
      <c r="D1092">
        <v>0.535493964518987</v>
      </c>
      <c r="E1092">
        <v>0.299411839551362</v>
      </c>
      <c r="F1092">
        <v>0.195790264449735</v>
      </c>
      <c r="G1092">
        <v>0.114430346371255</v>
      </c>
      <c r="H1092">
        <v>0.0572602490461627</v>
      </c>
      <c r="I1092">
        <v>0.0494705721570821</v>
      </c>
      <c r="J1092">
        <v>0.0429341624940059</v>
      </c>
      <c r="K1092">
        <v>0.0337031991561995</v>
      </c>
      <c r="L1092">
        <v>648.080798797248</v>
      </c>
      <c r="M1092">
        <v>14.8970345706244</v>
      </c>
      <c r="N1092">
        <v>43.7678295119821</v>
      </c>
      <c r="O1092">
        <v>42.7426507419828</v>
      </c>
      <c r="P1092">
        <v>-0.0833993343385725</v>
      </c>
      <c r="Q1092">
        <v>0.0429400830585662</v>
      </c>
      <c r="R1092">
        <v>0.993365065739486</v>
      </c>
      <c r="S1092" t="s">
        <v>2760</v>
      </c>
      <c r="T1092" t="s">
        <v>3312</v>
      </c>
      <c r="U1092" t="s">
        <v>3312</v>
      </c>
      <c r="V1092" t="s">
        <v>3312</v>
      </c>
      <c r="W1092" t="s">
        <v>4402</v>
      </c>
      <c r="X1092">
        <v>1</v>
      </c>
      <c r="Y1092" t="s">
        <v>6043</v>
      </c>
      <c r="Z1092" t="s">
        <v>7685</v>
      </c>
      <c r="AA1092">
        <v>0.2752344126000755</v>
      </c>
      <c r="AB1092">
        <f>HYPERLINK("Melting_Curves/meltCurve_P30864_yafC.pdf", "Melting_Curves/meltCurve_P30864_yafC.pdf")</f>
        <v>0</v>
      </c>
    </row>
    <row r="1093" spans="1:28">
      <c r="A1093" t="s">
        <v>1119</v>
      </c>
      <c r="B1093">
        <v>0.999984544473304</v>
      </c>
      <c r="C1093">
        <v>1.1156215566912</v>
      </c>
      <c r="D1093">
        <v>1.20836741556064</v>
      </c>
      <c r="E1093">
        <v>1.23474621343618</v>
      </c>
      <c r="F1093">
        <v>1.01257257015199</v>
      </c>
      <c r="G1093">
        <v>1.11275284593949</v>
      </c>
      <c r="H1093">
        <v>0.68614126218319</v>
      </c>
      <c r="I1093">
        <v>0.254843228298056</v>
      </c>
      <c r="J1093">
        <v>0.0144509625514871</v>
      </c>
      <c r="K1093">
        <v>0.00688769603769414</v>
      </c>
      <c r="L1093">
        <v>2228.36793115268</v>
      </c>
      <c r="M1093">
        <v>37.820185145808</v>
      </c>
      <c r="N1093">
        <v>58.9200693429077</v>
      </c>
      <c r="O1093">
        <v>58.7560640687891</v>
      </c>
      <c r="P1093">
        <v>-0.160920764948914</v>
      </c>
      <c r="Q1093">
        <v>0</v>
      </c>
      <c r="R1093">
        <v>0.937660916601663</v>
      </c>
      <c r="S1093" t="s">
        <v>2761</v>
      </c>
      <c r="T1093" t="s">
        <v>3312</v>
      </c>
      <c r="U1093" t="s">
        <v>3312</v>
      </c>
      <c r="V1093" t="s">
        <v>3312</v>
      </c>
      <c r="W1093" t="s">
        <v>4403</v>
      </c>
      <c r="X1093">
        <v>1</v>
      </c>
      <c r="Y1093" t="s">
        <v>6044</v>
      </c>
      <c r="Z1093" t="s">
        <v>7686</v>
      </c>
      <c r="AA1093">
        <v>0.7344862072055852</v>
      </c>
      <c r="AB1093">
        <f>HYPERLINK("Melting_Curves/meltCurve_P30870_glnE.pdf", "Melting_Curves/meltCurve_P30870_glnE.pdf")</f>
        <v>0</v>
      </c>
    </row>
    <row r="1094" spans="1:28">
      <c r="A1094" t="s">
        <v>1120</v>
      </c>
      <c r="B1094">
        <v>0.999984544473304</v>
      </c>
      <c r="C1094">
        <v>0.728536940638608</v>
      </c>
      <c r="D1094">
        <v>0.351907596115863</v>
      </c>
      <c r="E1094">
        <v>0.138952118486068</v>
      </c>
      <c r="F1094">
        <v>0.065181291698615</v>
      </c>
      <c r="G1094">
        <v>0.0267229361321542</v>
      </c>
      <c r="H1094">
        <v>0.0256251498793054</v>
      </c>
      <c r="I1094">
        <v>0.0236778936398561</v>
      </c>
      <c r="J1094">
        <v>0</v>
      </c>
      <c r="K1094">
        <v>0</v>
      </c>
      <c r="L1094">
        <v>913.666766464367</v>
      </c>
      <c r="M1094">
        <v>21.8625987856357</v>
      </c>
      <c r="N1094">
        <v>41.8691159043583</v>
      </c>
      <c r="O1094">
        <v>41.4463841940403</v>
      </c>
      <c r="P1094">
        <v>-0.129250787229237</v>
      </c>
      <c r="Q1094">
        <v>0.0199052606384296</v>
      </c>
      <c r="R1094">
        <v>0.995287583882223</v>
      </c>
      <c r="S1094" t="s">
        <v>2762</v>
      </c>
      <c r="T1094" t="s">
        <v>3312</v>
      </c>
      <c r="U1094" t="s">
        <v>3312</v>
      </c>
      <c r="V1094" t="s">
        <v>3312</v>
      </c>
      <c r="W1094" t="s">
        <v>4404</v>
      </c>
      <c r="X1094">
        <v>2</v>
      </c>
      <c r="Y1094" t="s">
        <v>6045</v>
      </c>
      <c r="Z1094" t="s">
        <v>7687</v>
      </c>
      <c r="AA1094">
        <v>0.1886725798857855</v>
      </c>
      <c r="AB1094">
        <f>HYPERLINK("Melting_Curves/meltCurve_P30871_ygiF.pdf", "Melting_Curves/meltCurve_P30871_ygiF.pdf")</f>
        <v>0</v>
      </c>
    </row>
    <row r="1095" spans="1:28">
      <c r="A1095" t="s">
        <v>1121</v>
      </c>
      <c r="B1095">
        <v>0.999984544473304</v>
      </c>
      <c r="C1095">
        <v>1.70119425258376</v>
      </c>
      <c r="D1095">
        <v>0.709671990178974</v>
      </c>
      <c r="E1095">
        <v>0.165906823027476</v>
      </c>
      <c r="F1095">
        <v>0.133666807276673</v>
      </c>
      <c r="G1095">
        <v>0.08559995569964959</v>
      </c>
      <c r="H1095">
        <v>0.0867859610799938</v>
      </c>
      <c r="I1095">
        <v>0.065978146602861</v>
      </c>
      <c r="J1095">
        <v>0.0501465773847706</v>
      </c>
      <c r="K1095">
        <v>0.0520360101449298</v>
      </c>
      <c r="L1095">
        <v>10782.5012558793</v>
      </c>
      <c r="M1095">
        <v>250</v>
      </c>
      <c r="N1095">
        <v>43.164880057455</v>
      </c>
      <c r="O1095">
        <v>43.1272465367599</v>
      </c>
      <c r="P1095">
        <v>-1.31667674397037</v>
      </c>
      <c r="Q1095">
        <v>0.0914457529047015</v>
      </c>
      <c r="R1095">
        <v>0.822051423617422</v>
      </c>
      <c r="S1095" t="s">
        <v>2763</v>
      </c>
      <c r="T1095" t="s">
        <v>3312</v>
      </c>
      <c r="U1095" t="s">
        <v>3312</v>
      </c>
      <c r="V1095" t="s">
        <v>3312</v>
      </c>
      <c r="W1095" t="s">
        <v>4405</v>
      </c>
      <c r="X1095">
        <v>19</v>
      </c>
      <c r="Y1095" t="s">
        <v>6046</v>
      </c>
      <c r="Z1095" t="s">
        <v>7688</v>
      </c>
      <c r="AA1095">
        <v>0.277162593596821</v>
      </c>
      <c r="AB1095">
        <f>HYPERLINK("Melting_Curves/meltCurve_P30958_mfd.pdf", "Melting_Curves/meltCurve_P30958_mfd.pdf")</f>
        <v>0</v>
      </c>
    </row>
    <row r="1096" spans="1:28">
      <c r="A1096" t="s">
        <v>1122</v>
      </c>
      <c r="B1096">
        <v>0.999984544473304</v>
      </c>
      <c r="C1096">
        <v>0.852523465344811</v>
      </c>
      <c r="D1096">
        <v>1.10545533657089</v>
      </c>
      <c r="E1096">
        <v>0.8580255057731569</v>
      </c>
      <c r="F1096">
        <v>0.663702490778342</v>
      </c>
      <c r="G1096">
        <v>0.7683388653745</v>
      </c>
      <c r="H1096">
        <v>0.430463753487995</v>
      </c>
      <c r="I1096">
        <v>0.362876401127149</v>
      </c>
      <c r="J1096">
        <v>0.335370451873484</v>
      </c>
      <c r="K1096">
        <v>0.349642693153946</v>
      </c>
      <c r="L1096">
        <v>613.008801141668</v>
      </c>
      <c r="M1096">
        <v>11.4051216760705</v>
      </c>
      <c r="N1096">
        <v>57.0661688850895</v>
      </c>
      <c r="O1096">
        <v>52.175732467106</v>
      </c>
      <c r="P1096">
        <v>-0.041415286244023</v>
      </c>
      <c r="Q1096">
        <v>0.242361780691047</v>
      </c>
      <c r="R1096">
        <v>0.893626905428799</v>
      </c>
      <c r="S1096" t="s">
        <v>2764</v>
      </c>
      <c r="T1096" t="s">
        <v>3312</v>
      </c>
      <c r="U1096" t="s">
        <v>3312</v>
      </c>
      <c r="V1096" t="s">
        <v>3312</v>
      </c>
      <c r="W1096" t="s">
        <v>4406</v>
      </c>
      <c r="X1096">
        <v>2</v>
      </c>
      <c r="Y1096" t="s">
        <v>6047</v>
      </c>
      <c r="Z1096" t="s">
        <v>7689</v>
      </c>
      <c r="AA1096">
        <v>0.6797026472439183</v>
      </c>
      <c r="AB1096">
        <f>HYPERLINK("Melting_Curves/meltCurve_P31057_panB.pdf", "Melting_Curves/meltCurve_P31057_panB.pdf")</f>
        <v>0</v>
      </c>
    </row>
    <row r="1097" spans="1:28">
      <c r="A1097" t="s">
        <v>1123</v>
      </c>
      <c r="B1097">
        <v>0.999984544473304</v>
      </c>
      <c r="C1097">
        <v>0.864407112158863</v>
      </c>
      <c r="D1097">
        <v>0.687093816452792</v>
      </c>
      <c r="E1097">
        <v>0.9822477219131061</v>
      </c>
      <c r="F1097">
        <v>0.93390092411349</v>
      </c>
      <c r="G1097">
        <v>0.792637187886121</v>
      </c>
      <c r="H1097">
        <v>0.774061776382357</v>
      </c>
      <c r="I1097">
        <v>0.769514937136573</v>
      </c>
      <c r="J1097">
        <v>0.598275855348415</v>
      </c>
      <c r="K1097">
        <v>0.729914653474705</v>
      </c>
      <c r="L1097">
        <v>156.18665095559</v>
      </c>
      <c r="M1097">
        <v>1.5248354768275</v>
      </c>
      <c r="O1097">
        <v>50.7748648367901</v>
      </c>
      <c r="P1097">
        <v>-0.0087430031859667</v>
      </c>
      <c r="Q1097">
        <v>0</v>
      </c>
      <c r="R1097">
        <v>0.416024155475973</v>
      </c>
      <c r="S1097" t="s">
        <v>2765</v>
      </c>
      <c r="T1097" t="s">
        <v>3312</v>
      </c>
      <c r="U1097" t="s">
        <v>3312</v>
      </c>
      <c r="V1097" t="s">
        <v>3312</v>
      </c>
      <c r="W1097" t="s">
        <v>4407</v>
      </c>
      <c r="X1097">
        <v>4</v>
      </c>
      <c r="Y1097" t="s">
        <v>6048</v>
      </c>
      <c r="Z1097" t="s">
        <v>7690</v>
      </c>
      <c r="AA1097">
        <v>0.8145897293613455</v>
      </c>
      <c r="AB1097">
        <f>HYPERLINK("Melting_Curves/meltCurve_P31063_yedD.pdf", "Melting_Curves/meltCurve_P31063_yedD.pdf")</f>
        <v>0</v>
      </c>
    </row>
    <row r="1098" spans="1:28">
      <c r="A1098" t="s">
        <v>1124</v>
      </c>
      <c r="B1098">
        <v>0.999984544473304</v>
      </c>
      <c r="C1098">
        <v>0.979899937369986</v>
      </c>
      <c r="D1098">
        <v>0.989560146244261</v>
      </c>
      <c r="E1098">
        <v>1.05292549861279</v>
      </c>
      <c r="F1098">
        <v>1.04503945642999</v>
      </c>
      <c r="G1098">
        <v>0.883593091017532</v>
      </c>
      <c r="H1098">
        <v>0.85873125735513</v>
      </c>
      <c r="I1098">
        <v>0.767082140437524</v>
      </c>
      <c r="J1098">
        <v>0.448919773534286</v>
      </c>
      <c r="K1098">
        <v>0.597929525102547</v>
      </c>
      <c r="L1098">
        <v>1296.83328015753</v>
      </c>
      <c r="M1098">
        <v>21.6470611647704</v>
      </c>
      <c r="O1098">
        <v>59.4038269621798</v>
      </c>
      <c r="P1098">
        <v>-0.0474273931123725</v>
      </c>
      <c r="Q1098">
        <v>0.47941171942253</v>
      </c>
      <c r="R1098">
        <v>0.8906746404675711</v>
      </c>
      <c r="S1098" t="s">
        <v>2766</v>
      </c>
      <c r="T1098" t="s">
        <v>3312</v>
      </c>
      <c r="U1098" t="s">
        <v>3312</v>
      </c>
      <c r="V1098" t="s">
        <v>3312</v>
      </c>
      <c r="W1098" t="s">
        <v>4408</v>
      </c>
      <c r="X1098">
        <v>1</v>
      </c>
      <c r="Y1098" t="s">
        <v>6049</v>
      </c>
      <c r="Z1098" t="s">
        <v>7691</v>
      </c>
      <c r="AA1098">
        <v>0.8779410557783807</v>
      </c>
      <c r="AB1098">
        <f>HYPERLINK("Melting_Curves/meltCurve_P31068_fliH.pdf", "Melting_Curves/meltCurve_P31068_fliH.pdf")</f>
        <v>0</v>
      </c>
    </row>
    <row r="1099" spans="1:28">
      <c r="A1099" t="s">
        <v>1125</v>
      </c>
      <c r="B1099">
        <v>0.999984544473304</v>
      </c>
      <c r="C1099">
        <v>0.956971863636467</v>
      </c>
      <c r="D1099">
        <v>0.835111153255107</v>
      </c>
      <c r="E1099">
        <v>0.776497679731557</v>
      </c>
      <c r="F1099">
        <v>0.80987204418468</v>
      </c>
      <c r="G1099">
        <v>0.660041546263725</v>
      </c>
      <c r="H1099">
        <v>0.528357819105216</v>
      </c>
      <c r="I1099">
        <v>0.435281443314271</v>
      </c>
      <c r="J1099">
        <v>0.359182768699746</v>
      </c>
      <c r="K1099">
        <v>0.364278298664994</v>
      </c>
      <c r="L1099">
        <v>340.168595365389</v>
      </c>
      <c r="M1099">
        <v>5.75759032714041</v>
      </c>
      <c r="N1099">
        <v>59.0817644526621</v>
      </c>
      <c r="O1099">
        <v>53.1197335905633</v>
      </c>
      <c r="P1099">
        <v>-0.0271988141727828</v>
      </c>
      <c r="Q1099">
        <v>0</v>
      </c>
      <c r="R1099">
        <v>0.96972688020269</v>
      </c>
      <c r="S1099" t="s">
        <v>2767</v>
      </c>
      <c r="T1099" t="s">
        <v>3312</v>
      </c>
      <c r="U1099" t="s">
        <v>3312</v>
      </c>
      <c r="V1099" t="s">
        <v>3312</v>
      </c>
      <c r="W1099" t="s">
        <v>4409</v>
      </c>
      <c r="X1099">
        <v>1</v>
      </c>
      <c r="Y1099" t="s">
        <v>6050</v>
      </c>
      <c r="Z1099" t="s">
        <v>7692</v>
      </c>
      <c r="AA1099">
        <v>0.6758128482600407</v>
      </c>
      <c r="AB1099">
        <f>HYPERLINK("Melting_Curves/meltCurve_P31069_kch.pdf", "Melting_Curves/meltCurve_P31069_kch.pdf")</f>
        <v>0</v>
      </c>
    </row>
    <row r="1100" spans="1:28">
      <c r="A1100" t="s">
        <v>1126</v>
      </c>
      <c r="B1100">
        <v>0.999984544473304</v>
      </c>
      <c r="C1100">
        <v>1.39504427117237</v>
      </c>
      <c r="D1100">
        <v>0.821849413692136</v>
      </c>
      <c r="E1100">
        <v>0.849122985188424</v>
      </c>
      <c r="F1100">
        <v>0.387238156392432</v>
      </c>
      <c r="G1100">
        <v>0.181937899258682</v>
      </c>
      <c r="H1100">
        <v>0.119889060937225</v>
      </c>
      <c r="I1100">
        <v>0.0858737265053966</v>
      </c>
      <c r="J1100">
        <v>0.0688922331078199</v>
      </c>
      <c r="K1100">
        <v>0.0467579521175293</v>
      </c>
      <c r="L1100">
        <v>1220.89765222245</v>
      </c>
      <c r="M1100">
        <v>24.8629209091663</v>
      </c>
      <c r="N1100">
        <v>49.4136222756667</v>
      </c>
      <c r="O1100">
        <v>48.7907947291163</v>
      </c>
      <c r="P1100">
        <v>-0.118239982695359</v>
      </c>
      <c r="Q1100">
        <v>0.0718800203736796</v>
      </c>
      <c r="R1100">
        <v>0.91159372796558</v>
      </c>
      <c r="S1100" t="s">
        <v>2768</v>
      </c>
      <c r="T1100" t="s">
        <v>3312</v>
      </c>
      <c r="U1100" t="s">
        <v>3312</v>
      </c>
      <c r="V1100" t="s">
        <v>3312</v>
      </c>
      <c r="W1100" t="s">
        <v>4410</v>
      </c>
      <c r="X1100">
        <v>3</v>
      </c>
      <c r="Y1100" t="s">
        <v>6051</v>
      </c>
      <c r="Z1100" t="s">
        <v>7693</v>
      </c>
      <c r="AA1100">
        <v>0.454498513961865</v>
      </c>
      <c r="AB1100">
        <f>HYPERLINK("Melting_Curves/meltCurve_P31119_aas.pdf", "Melting_Curves/meltCurve_P31119_aas.pdf")</f>
        <v>0</v>
      </c>
    </row>
    <row r="1101" spans="1:28">
      <c r="A1101" t="s">
        <v>1127</v>
      </c>
      <c r="B1101">
        <v>0.999984544473304</v>
      </c>
      <c r="C1101">
        <v>1.56841462389144</v>
      </c>
      <c r="D1101">
        <v>1.26502256988696</v>
      </c>
      <c r="E1101">
        <v>0.910791887808354</v>
      </c>
      <c r="F1101">
        <v>0.60706652317528</v>
      </c>
      <c r="G1101">
        <v>0.215023299360293</v>
      </c>
      <c r="H1101">
        <v>0.08831078901362641</v>
      </c>
      <c r="I1101">
        <v>0.0509260199767268</v>
      </c>
      <c r="J1101">
        <v>0.0312650290781403</v>
      </c>
      <c r="K1101">
        <v>0.0275753040752143</v>
      </c>
      <c r="L1101">
        <v>1470.15979671083</v>
      </c>
      <c r="M1101">
        <v>28.8861978583722</v>
      </c>
      <c r="N1101">
        <v>51.0380151375006</v>
      </c>
      <c r="O1101">
        <v>50.6528184497558</v>
      </c>
      <c r="P1101">
        <v>-0.137023682636359</v>
      </c>
      <c r="Q1101">
        <v>0.03890624714791</v>
      </c>
      <c r="R1101">
        <v>0.867201764646325</v>
      </c>
      <c r="S1101" t="s">
        <v>2769</v>
      </c>
      <c r="T1101" t="s">
        <v>3312</v>
      </c>
      <c r="U1101" t="s">
        <v>3312</v>
      </c>
      <c r="V1101" t="s">
        <v>3312</v>
      </c>
      <c r="W1101" t="s">
        <v>4411</v>
      </c>
      <c r="X1101">
        <v>12</v>
      </c>
      <c r="Y1101" t="s">
        <v>6052</v>
      </c>
      <c r="Z1101" t="s">
        <v>7694</v>
      </c>
      <c r="AA1101">
        <v>0.4904847364524494</v>
      </c>
      <c r="AB1101">
        <f>HYPERLINK("Melting_Curves/meltCurve_P31120_glmM.pdf", "Melting_Curves/meltCurve_P31120_glmM.pdf")</f>
        <v>0</v>
      </c>
    </row>
    <row r="1102" spans="1:28">
      <c r="A1102" t="s">
        <v>1128</v>
      </c>
      <c r="B1102">
        <v>0.999984544473304</v>
      </c>
      <c r="C1102">
        <v>0.99186881731577</v>
      </c>
      <c r="D1102">
        <v>1.13145617296259</v>
      </c>
      <c r="E1102">
        <v>1.08119174035378</v>
      </c>
      <c r="F1102">
        <v>1.33435610428379</v>
      </c>
      <c r="G1102">
        <v>1.03723293600577</v>
      </c>
      <c r="H1102">
        <v>0.817028543515522</v>
      </c>
      <c r="I1102">
        <v>0.882069994928208</v>
      </c>
      <c r="J1102">
        <v>0.526503155307894</v>
      </c>
      <c r="K1102">
        <v>0.830526488028371</v>
      </c>
      <c r="L1102">
        <v>5233.02066753902</v>
      </c>
      <c r="M1102">
        <v>92.0659000014095</v>
      </c>
      <c r="O1102">
        <v>56.8131454024903</v>
      </c>
      <c r="P1102">
        <v>-0.103038494502973</v>
      </c>
      <c r="Q1102">
        <v>0.745663042950887</v>
      </c>
      <c r="R1102">
        <v>0.502372494823576</v>
      </c>
      <c r="S1102" t="s">
        <v>2770</v>
      </c>
      <c r="T1102" t="s">
        <v>3312</v>
      </c>
      <c r="U1102" t="s">
        <v>3312</v>
      </c>
      <c r="V1102" t="s">
        <v>3312</v>
      </c>
      <c r="W1102" t="s">
        <v>4412</v>
      </c>
      <c r="X1102">
        <v>9</v>
      </c>
      <c r="Y1102" t="s">
        <v>6053</v>
      </c>
      <c r="Z1102" t="s">
        <v>7695</v>
      </c>
      <c r="AA1102">
        <v>0.9140514164813655</v>
      </c>
      <c r="AB1102">
        <f>HYPERLINK("Melting_Curves/meltCurve_P31130_ydeI.pdf", "Melting_Curves/meltCurve_P31130_ydeI.pdf")</f>
        <v>0</v>
      </c>
    </row>
    <row r="1103" spans="1:28">
      <c r="A1103" t="s">
        <v>1129</v>
      </c>
      <c r="B1103">
        <v>0.999984544473304</v>
      </c>
      <c r="C1103">
        <v>0.873066573906026</v>
      </c>
      <c r="D1103">
        <v>1.11205484920338</v>
      </c>
      <c r="E1103">
        <v>1.16718406006954</v>
      </c>
      <c r="F1103">
        <v>1.21053571191376</v>
      </c>
      <c r="G1103">
        <v>1.05756356674418</v>
      </c>
      <c r="H1103">
        <v>1.00869219643454</v>
      </c>
      <c r="I1103">
        <v>0.900861646723729</v>
      </c>
      <c r="J1103">
        <v>0.623238365129454</v>
      </c>
      <c r="K1103">
        <v>0.469589740642758</v>
      </c>
      <c r="L1103">
        <v>2883.81999696953</v>
      </c>
      <c r="M1103">
        <v>45.6816985223184</v>
      </c>
      <c r="N1103">
        <v>66.0212336807373</v>
      </c>
      <c r="O1103">
        <v>63.0079585448928</v>
      </c>
      <c r="P1103">
        <v>-0.10287353026906</v>
      </c>
      <c r="Q1103">
        <v>0.432434262242246</v>
      </c>
      <c r="R1103">
        <v>0.792691936998956</v>
      </c>
      <c r="S1103" t="s">
        <v>2771</v>
      </c>
      <c r="T1103" t="s">
        <v>3312</v>
      </c>
      <c r="U1103" t="s">
        <v>3312</v>
      </c>
      <c r="V1103" t="s">
        <v>3312</v>
      </c>
      <c r="W1103" t="s">
        <v>4413</v>
      </c>
      <c r="X1103">
        <v>5</v>
      </c>
      <c r="Y1103" t="s">
        <v>6054</v>
      </c>
      <c r="Z1103" t="s">
        <v>7696</v>
      </c>
      <c r="AA1103">
        <v>0.9265181649208156</v>
      </c>
      <c r="AB1103">
        <f>HYPERLINK("Melting_Curves/meltCurve_P31131_ydeJ.pdf", "Melting_Curves/meltCurve_P31131_ydeJ.pdf")</f>
        <v>0</v>
      </c>
    </row>
    <row r="1104" spans="1:28">
      <c r="A1104" t="s">
        <v>1130</v>
      </c>
      <c r="B1104">
        <v>0.999984544473304</v>
      </c>
      <c r="C1104">
        <v>0.748714555778218</v>
      </c>
      <c r="D1104">
        <v>0.9241823688480491</v>
      </c>
      <c r="E1104">
        <v>0.818347086954426</v>
      </c>
      <c r="F1104">
        <v>1.06209946246299</v>
      </c>
      <c r="G1104">
        <v>0.861352895253656</v>
      </c>
      <c r="H1104">
        <v>0.963535873285192</v>
      </c>
      <c r="I1104">
        <v>0.7937095199131829</v>
      </c>
      <c r="J1104">
        <v>0.762496126884728</v>
      </c>
      <c r="K1104">
        <v>0.373373234214883</v>
      </c>
      <c r="L1104">
        <v>1437.81796345582</v>
      </c>
      <c r="M1104">
        <v>21.752293851419</v>
      </c>
      <c r="N1104">
        <v>66.099601900883</v>
      </c>
      <c r="O1104">
        <v>65.54856933180351</v>
      </c>
      <c r="P1104">
        <v>-0.0829644539772043</v>
      </c>
      <c r="Q1104">
        <v>0</v>
      </c>
      <c r="R1104">
        <v>0.5766146744605209</v>
      </c>
      <c r="S1104" t="s">
        <v>2772</v>
      </c>
      <c r="T1104" t="s">
        <v>3312</v>
      </c>
      <c r="U1104" t="s">
        <v>3312</v>
      </c>
      <c r="V1104" t="s">
        <v>3312</v>
      </c>
      <c r="W1104" t="s">
        <v>4414</v>
      </c>
      <c r="X1104">
        <v>5</v>
      </c>
      <c r="Y1104" t="s">
        <v>6055</v>
      </c>
      <c r="Z1104" t="s">
        <v>7697</v>
      </c>
      <c r="AA1104">
        <v>0.9203697298676374</v>
      </c>
      <c r="AB1104">
        <f>HYPERLINK("Melting_Curves/meltCurve_P31133_potF.pdf", "Melting_Curves/meltCurve_P31133_potF.pdf")</f>
        <v>0</v>
      </c>
    </row>
    <row r="1105" spans="1:28">
      <c r="A1105" t="s">
        <v>1131</v>
      </c>
      <c r="B1105">
        <v>0.999984544473304</v>
      </c>
      <c r="C1105">
        <v>0.895740104195784</v>
      </c>
      <c r="D1105">
        <v>1.01998405235807</v>
      </c>
      <c r="E1105">
        <v>0.995802181293564</v>
      </c>
      <c r="F1105">
        <v>0.896794672867593</v>
      </c>
      <c r="G1105">
        <v>0.172289726929636</v>
      </c>
      <c r="H1105">
        <v>0.0530311853712348</v>
      </c>
      <c r="I1105">
        <v>0.0363912648342533</v>
      </c>
      <c r="J1105">
        <v>0.0341891361233903</v>
      </c>
      <c r="K1105">
        <v>0.0298997161147763</v>
      </c>
      <c r="L1105">
        <v>2937.44272612664</v>
      </c>
      <c r="M1105">
        <v>56.401227108153</v>
      </c>
      <c r="N1105">
        <v>52.1519389380827</v>
      </c>
      <c r="O1105">
        <v>52.015833503033</v>
      </c>
      <c r="P1105">
        <v>-0.26109600263115</v>
      </c>
      <c r="Q1105">
        <v>0.0368210260604321</v>
      </c>
      <c r="R1105">
        <v>0.994379554801077</v>
      </c>
      <c r="S1105" t="s">
        <v>2773</v>
      </c>
      <c r="T1105" t="s">
        <v>3312</v>
      </c>
      <c r="U1105" t="s">
        <v>3312</v>
      </c>
      <c r="V1105" t="s">
        <v>3312</v>
      </c>
      <c r="W1105" t="s">
        <v>4415</v>
      </c>
      <c r="X1105">
        <v>8</v>
      </c>
      <c r="Y1105" t="s">
        <v>6056</v>
      </c>
      <c r="Z1105" t="s">
        <v>7698</v>
      </c>
      <c r="AA1105">
        <v>0.5227537222767504</v>
      </c>
      <c r="AB1105">
        <f>HYPERLINK("Melting_Curves/meltCurve_P31142_sseA.pdf", "Melting_Curves/meltCurve_P31142_sseA.pdf")</f>
        <v>0</v>
      </c>
    </row>
    <row r="1106" spans="1:28">
      <c r="A1106" t="s">
        <v>1132</v>
      </c>
      <c r="B1106">
        <v>0.999984544473304</v>
      </c>
      <c r="C1106">
        <v>1.919427711928</v>
      </c>
      <c r="D1106">
        <v>0.967416173229119</v>
      </c>
      <c r="E1106">
        <v>1.13836144309057</v>
      </c>
      <c r="F1106">
        <v>0.355473077915711</v>
      </c>
      <c r="G1106">
        <v>0.122728712585463</v>
      </c>
      <c r="H1106">
        <v>0.0602139886744119</v>
      </c>
      <c r="I1106">
        <v>0.0433418126898972</v>
      </c>
      <c r="J1106">
        <v>0.0352904705249655</v>
      </c>
      <c r="K1106">
        <v>0.0427620560512807</v>
      </c>
      <c r="L1106">
        <v>12214.1496085933</v>
      </c>
      <c r="M1106">
        <v>244.092629967374</v>
      </c>
      <c r="N1106">
        <v>50.0656184260934</v>
      </c>
      <c r="O1106">
        <v>50.0356365238121</v>
      </c>
      <c r="P1106">
        <v>-1.14536037349465</v>
      </c>
      <c r="Q1106">
        <v>0.0608674529621312</v>
      </c>
      <c r="R1106">
        <v>0.772909077716367</v>
      </c>
      <c r="S1106" t="s">
        <v>2774</v>
      </c>
      <c r="T1106" t="s">
        <v>3312</v>
      </c>
      <c r="U1106" t="s">
        <v>3312</v>
      </c>
      <c r="V1106" t="s">
        <v>3312</v>
      </c>
      <c r="W1106" t="s">
        <v>4416</v>
      </c>
      <c r="X1106">
        <v>13</v>
      </c>
      <c r="Y1106" t="s">
        <v>6057</v>
      </c>
      <c r="Z1106" t="s">
        <v>7699</v>
      </c>
      <c r="AA1106">
        <v>0.4691320831978249</v>
      </c>
      <c r="AB1106">
        <f>HYPERLINK("Melting_Curves/meltCurve_P31224_acrB.pdf", "Melting_Curves/meltCurve_P31224_acrB.pdf")</f>
        <v>0</v>
      </c>
    </row>
    <row r="1107" spans="1:28">
      <c r="A1107" t="s">
        <v>1133</v>
      </c>
      <c r="B1107">
        <v>0.999984544473304</v>
      </c>
      <c r="C1107">
        <v>1.06743353217348</v>
      </c>
      <c r="D1107">
        <v>0.464237070828921</v>
      </c>
      <c r="E1107">
        <v>0.169137984265624</v>
      </c>
      <c r="F1107">
        <v>0.116501755734357</v>
      </c>
      <c r="G1107">
        <v>0.09522077052637321</v>
      </c>
      <c r="H1107">
        <v>0.0772574925051914</v>
      </c>
      <c r="I1107">
        <v>0.0415938252572086</v>
      </c>
      <c r="J1107">
        <v>0.0364809790814925</v>
      </c>
      <c r="K1107">
        <v>0.0590235691393295</v>
      </c>
      <c r="L1107">
        <v>10735.1386952153</v>
      </c>
      <c r="M1107">
        <v>250</v>
      </c>
      <c r="N1107">
        <v>42.9725933200414</v>
      </c>
      <c r="O1107">
        <v>42.9378079985855</v>
      </c>
      <c r="P1107">
        <v>-1.33182321919237</v>
      </c>
      <c r="Q1107">
        <v>0.0850309103284215</v>
      </c>
      <c r="R1107">
        <v>0.987718874848304</v>
      </c>
      <c r="S1107" t="s">
        <v>2775</v>
      </c>
      <c r="T1107" t="s">
        <v>3312</v>
      </c>
      <c r="U1107" t="s">
        <v>3312</v>
      </c>
      <c r="V1107" t="s">
        <v>3312</v>
      </c>
      <c r="W1107" t="s">
        <v>4417</v>
      </c>
      <c r="X1107">
        <v>2</v>
      </c>
      <c r="Y1107" t="s">
        <v>6058</v>
      </c>
      <c r="Z1107" t="s">
        <v>7700</v>
      </c>
      <c r="AA1107">
        <v>0.2662806624035269</v>
      </c>
      <c r="AB1107">
        <f>HYPERLINK("Melting_Curves/meltCurve_P31433_yicH.pdf", "Melting_Curves/meltCurve_P31433_yicH.pdf")</f>
        <v>0</v>
      </c>
    </row>
    <row r="1108" spans="1:28">
      <c r="A1108" t="s">
        <v>1134</v>
      </c>
      <c r="B1108">
        <v>0.999984544473304</v>
      </c>
      <c r="C1108">
        <v>0.958745142942228</v>
      </c>
      <c r="D1108">
        <v>1.04215530029399</v>
      </c>
      <c r="E1108">
        <v>0.93709735212515</v>
      </c>
      <c r="F1108">
        <v>0.243748646591183</v>
      </c>
      <c r="G1108">
        <v>0.035237618501282</v>
      </c>
      <c r="H1108">
        <v>0.0400879005994845</v>
      </c>
      <c r="I1108">
        <v>0.0292954212577444</v>
      </c>
      <c r="J1108">
        <v>0.0263238811771063</v>
      </c>
      <c r="K1108">
        <v>0</v>
      </c>
      <c r="L1108">
        <v>2548.51271720839</v>
      </c>
      <c r="M1108">
        <v>52.003373318645</v>
      </c>
      <c r="N1108">
        <v>49.0534282687671</v>
      </c>
      <c r="O1108">
        <v>48.9343796571468</v>
      </c>
      <c r="P1108">
        <v>-0.259254356313</v>
      </c>
      <c r="Q1108">
        <v>0.0241832846592912</v>
      </c>
      <c r="R1108">
        <v>0.997895566818535</v>
      </c>
      <c r="S1108" t="s">
        <v>2776</v>
      </c>
      <c r="T1108" t="s">
        <v>3312</v>
      </c>
      <c r="U1108" t="s">
        <v>3312</v>
      </c>
      <c r="V1108" t="s">
        <v>3312</v>
      </c>
      <c r="W1108" t="s">
        <v>4418</v>
      </c>
      <c r="X1108">
        <v>1</v>
      </c>
      <c r="Y1108" t="s">
        <v>6059</v>
      </c>
      <c r="Z1108" t="s">
        <v>7701</v>
      </c>
      <c r="AA1108">
        <v>0.4166764307334914</v>
      </c>
      <c r="AB1108">
        <f>HYPERLINK("Melting_Curves/meltCurve_P31455_yidR.pdf", "Melting_Curves/meltCurve_P31455_yidR.pdf")</f>
        <v>0</v>
      </c>
    </row>
    <row r="1109" spans="1:28">
      <c r="A1109" t="s">
        <v>1135</v>
      </c>
      <c r="B1109">
        <v>0.999984544473304</v>
      </c>
      <c r="C1109">
        <v>0.840892846226337</v>
      </c>
      <c r="D1109">
        <v>0.843640170957017</v>
      </c>
      <c r="E1109">
        <v>0.72280761069144</v>
      </c>
      <c r="F1109">
        <v>0.520699145862087</v>
      </c>
      <c r="G1109">
        <v>0.188356727667098</v>
      </c>
      <c r="H1109">
        <v>0.0848423928583393</v>
      </c>
      <c r="I1109">
        <v>0.0553312126909114</v>
      </c>
      <c r="J1109">
        <v>0.0342840147680447</v>
      </c>
      <c r="K1109">
        <v>0.0388302501682964</v>
      </c>
      <c r="L1109">
        <v>683.772244503905</v>
      </c>
      <c r="M1109">
        <v>13.8404700404866</v>
      </c>
      <c r="N1109">
        <v>49.4038065298188</v>
      </c>
      <c r="O1109">
        <v>48.4067454740425</v>
      </c>
      <c r="P1109">
        <v>-0.07148997607008931</v>
      </c>
      <c r="Q1109">
        <v>0</v>
      </c>
      <c r="R1109">
        <v>0.979241876177777</v>
      </c>
      <c r="S1109" t="s">
        <v>2777</v>
      </c>
      <c r="T1109" t="s">
        <v>3312</v>
      </c>
      <c r="U1109" t="s">
        <v>3312</v>
      </c>
      <c r="V1109" t="s">
        <v>3312</v>
      </c>
      <c r="W1109" t="s">
        <v>4419</v>
      </c>
      <c r="X1109">
        <v>3</v>
      </c>
      <c r="Y1109" t="s">
        <v>6060</v>
      </c>
      <c r="Z1109" t="s">
        <v>7702</v>
      </c>
      <c r="AA1109">
        <v>0.4374256539433918</v>
      </c>
      <c r="AB1109">
        <f>HYPERLINK("Melting_Curves/meltCurve_P31460_dgoR.pdf", "Melting_Curves/meltCurve_P31460_dgoR.pdf")</f>
        <v>0</v>
      </c>
    </row>
    <row r="1110" spans="1:28">
      <c r="A1110" t="s">
        <v>1136</v>
      </c>
      <c r="B1110">
        <v>0.999984544473304</v>
      </c>
      <c r="C1110">
        <v>0.733181163784577</v>
      </c>
      <c r="D1110">
        <v>0.402381773116493</v>
      </c>
      <c r="E1110">
        <v>0.248003051250788</v>
      </c>
      <c r="F1110">
        <v>0.129848139700666</v>
      </c>
      <c r="G1110">
        <v>0.09429019884781641</v>
      </c>
      <c r="H1110">
        <v>0.0929148974573743</v>
      </c>
      <c r="I1110">
        <v>0.0735383127374398</v>
      </c>
      <c r="J1110">
        <v>0.06953066269153151</v>
      </c>
      <c r="K1110">
        <v>0.069630155204789</v>
      </c>
      <c r="L1110">
        <v>807.752174886735</v>
      </c>
      <c r="M1110">
        <v>19.2690501750516</v>
      </c>
      <c r="N1110">
        <v>42.316523810867</v>
      </c>
      <c r="O1110">
        <v>41.4760103012279</v>
      </c>
      <c r="P1110">
        <v>-0.106549449352844</v>
      </c>
      <c r="Q1110">
        <v>0.08265759118535181</v>
      </c>
      <c r="R1110">
        <v>0.991076270765967</v>
      </c>
      <c r="S1110" t="s">
        <v>2778</v>
      </c>
      <c r="T1110" t="s">
        <v>3312</v>
      </c>
      <c r="U1110" t="s">
        <v>3312</v>
      </c>
      <c r="V1110" t="s">
        <v>3312</v>
      </c>
      <c r="W1110" t="s">
        <v>4420</v>
      </c>
      <c r="X1110">
        <v>1</v>
      </c>
      <c r="Y1110" t="s">
        <v>6061</v>
      </c>
      <c r="Z1110" t="s">
        <v>7703</v>
      </c>
      <c r="AA1110">
        <v>0.2482946753167893</v>
      </c>
      <c r="AB1110">
        <f>HYPERLINK("Melting_Curves/meltCurve_P31473_ravA.pdf", "Melting_Curves/meltCurve_P31473_ravA.pdf")</f>
        <v>0</v>
      </c>
    </row>
    <row r="1111" spans="1:28">
      <c r="A1111" t="s">
        <v>1137</v>
      </c>
      <c r="B1111">
        <v>0.999984544473304</v>
      </c>
      <c r="C1111">
        <v>0.813887247189634</v>
      </c>
      <c r="D1111">
        <v>0.869971428439882</v>
      </c>
      <c r="E1111">
        <v>0.607785505729376</v>
      </c>
      <c r="F1111">
        <v>0.238778585802164</v>
      </c>
      <c r="G1111">
        <v>0.0855775507664325</v>
      </c>
      <c r="H1111">
        <v>0.0378185330090474</v>
      </c>
      <c r="I1111">
        <v>0.0259000383391068</v>
      </c>
      <c r="J1111">
        <v>0.0140647075537898</v>
      </c>
      <c r="K1111">
        <v>0.0156926687517646</v>
      </c>
      <c r="L1111">
        <v>823.789011973176</v>
      </c>
      <c r="M1111">
        <v>17.4194818982567</v>
      </c>
      <c r="N1111">
        <v>47.2912283109122</v>
      </c>
      <c r="O1111">
        <v>46.6812089279203</v>
      </c>
      <c r="P1111">
        <v>-0.09329483685469089</v>
      </c>
      <c r="Q1111">
        <v>0</v>
      </c>
      <c r="R1111">
        <v>0.98260160369531</v>
      </c>
      <c r="S1111" t="s">
        <v>2779</v>
      </c>
      <c r="T1111" t="s">
        <v>3312</v>
      </c>
      <c r="U1111" t="s">
        <v>3312</v>
      </c>
      <c r="V1111" t="s">
        <v>3312</v>
      </c>
      <c r="W1111" t="s">
        <v>4421</v>
      </c>
      <c r="X1111">
        <v>3</v>
      </c>
      <c r="Y1111" t="s">
        <v>6062</v>
      </c>
      <c r="Z1111" t="s">
        <v>7704</v>
      </c>
      <c r="AA1111">
        <v>0.3600904374318979</v>
      </c>
      <c r="AB1111">
        <f>HYPERLINK("Melting_Curves/meltCurve_P31475_yieP.pdf", "Melting_Curves/meltCurve_P31475_yieP.pdf")</f>
        <v>0</v>
      </c>
    </row>
    <row r="1112" spans="1:28">
      <c r="A1112" t="s">
        <v>1138</v>
      </c>
      <c r="B1112">
        <v>0.999984544473304</v>
      </c>
      <c r="C1112">
        <v>0.864326076297934</v>
      </c>
      <c r="D1112">
        <v>0.926526713781164</v>
      </c>
      <c r="E1112">
        <v>0.925353684153862</v>
      </c>
      <c r="F1112">
        <v>1.01094634427136</v>
      </c>
      <c r="G1112">
        <v>0.926766418705248</v>
      </c>
      <c r="H1112">
        <v>0.9091228791588311</v>
      </c>
      <c r="I1112">
        <v>0.857447573238957</v>
      </c>
      <c r="J1112">
        <v>0.7967012300605369</v>
      </c>
      <c r="K1112">
        <v>0.61321281720578</v>
      </c>
      <c r="L1112">
        <v>734.000009398623</v>
      </c>
      <c r="M1112">
        <v>10.3439630301484</v>
      </c>
      <c r="Q1112">
        <v>0</v>
      </c>
      <c r="R1112">
        <v>0.710338877363591</v>
      </c>
      <c r="S1112" t="s">
        <v>2780</v>
      </c>
      <c r="T1112" t="s">
        <v>3312</v>
      </c>
      <c r="U1112" t="s">
        <v>3312</v>
      </c>
      <c r="V1112" t="s">
        <v>3312</v>
      </c>
      <c r="W1112" t="s">
        <v>4422</v>
      </c>
      <c r="X1112">
        <v>4</v>
      </c>
      <c r="Y1112" t="s">
        <v>6063</v>
      </c>
      <c r="Z1112" t="s">
        <v>7705</v>
      </c>
      <c r="AA1112">
        <v>0.9257515830275653</v>
      </c>
      <c r="AB1112">
        <f>HYPERLINK("Melting_Curves/meltCurve_P31550_thiB.pdf", "Melting_Curves/meltCurve_P31550_thiB.pdf")</f>
        <v>0</v>
      </c>
    </row>
    <row r="1113" spans="1:28">
      <c r="A1113" t="s">
        <v>1139</v>
      </c>
      <c r="B1113">
        <v>0.999984544473304</v>
      </c>
      <c r="C1113">
        <v>1.32314670193753</v>
      </c>
      <c r="D1113">
        <v>0.887706604793017</v>
      </c>
      <c r="E1113">
        <v>1.15612549469919</v>
      </c>
      <c r="F1113">
        <v>0.849923487942267</v>
      </c>
      <c r="G1113">
        <v>0.732513901958719</v>
      </c>
      <c r="H1113">
        <v>0.621192070574938</v>
      </c>
      <c r="I1113">
        <v>0.510529422646089</v>
      </c>
      <c r="J1113">
        <v>0.549212018630168</v>
      </c>
      <c r="K1113">
        <v>0.436239519709666</v>
      </c>
      <c r="L1113">
        <v>1127.39007649193</v>
      </c>
      <c r="M1113">
        <v>20.9412868196664</v>
      </c>
      <c r="N1113">
        <v>63.8115443101095</v>
      </c>
      <c r="O1113">
        <v>53.3520474843372</v>
      </c>
      <c r="P1113">
        <v>-0.0509229932263617</v>
      </c>
      <c r="Q1113">
        <v>0.481068711432476</v>
      </c>
      <c r="R1113">
        <v>0.79480925897217</v>
      </c>
      <c r="S1113" t="s">
        <v>2781</v>
      </c>
      <c r="T1113" t="s">
        <v>3312</v>
      </c>
      <c r="U1113" t="s">
        <v>3312</v>
      </c>
      <c r="V1113" t="s">
        <v>3312</v>
      </c>
      <c r="W1113" t="s">
        <v>4423</v>
      </c>
      <c r="X1113">
        <v>7</v>
      </c>
      <c r="Y1113" t="s">
        <v>6064</v>
      </c>
      <c r="Z1113" t="s">
        <v>7706</v>
      </c>
      <c r="AA1113">
        <v>0.7782334215621274</v>
      </c>
      <c r="AB1113">
        <f>HYPERLINK("Melting_Curves/meltCurve_P31554_lptD.pdf", "Melting_Curves/meltCurve_P31554_lptD.pdf")</f>
        <v>0</v>
      </c>
    </row>
    <row r="1114" spans="1:28">
      <c r="A1114" t="s">
        <v>1140</v>
      </c>
      <c r="B1114">
        <v>0.999984544473304</v>
      </c>
      <c r="C1114">
        <v>0.870486502448824</v>
      </c>
      <c r="D1114">
        <v>1.13875564538452</v>
      </c>
      <c r="E1114">
        <v>0.952585689785062</v>
      </c>
      <c r="F1114">
        <v>1.12195293430174</v>
      </c>
      <c r="G1114">
        <v>0.912973530270059</v>
      </c>
      <c r="H1114">
        <v>0.515368221072331</v>
      </c>
      <c r="I1114">
        <v>0.252428829178684</v>
      </c>
      <c r="J1114">
        <v>0.119878878913916</v>
      </c>
      <c r="K1114">
        <v>0.0817699923507582</v>
      </c>
      <c r="L1114">
        <v>1854.96438535483</v>
      </c>
      <c r="M1114">
        <v>32.3454699031068</v>
      </c>
      <c r="N1114">
        <v>57.726920023628</v>
      </c>
      <c r="O1114">
        <v>57.1306464611596</v>
      </c>
      <c r="P1114">
        <v>-0.128020450991475</v>
      </c>
      <c r="Q1114">
        <v>0.0955327689673143</v>
      </c>
      <c r="R1114">
        <v>0.962324496255084</v>
      </c>
      <c r="S1114" t="s">
        <v>2782</v>
      </c>
      <c r="T1114" t="s">
        <v>3312</v>
      </c>
      <c r="U1114" t="s">
        <v>3312</v>
      </c>
      <c r="V1114" t="s">
        <v>3312</v>
      </c>
      <c r="W1114" t="s">
        <v>4424</v>
      </c>
      <c r="X1114">
        <v>9</v>
      </c>
      <c r="Y1114" t="s">
        <v>6065</v>
      </c>
      <c r="Z1114" t="s">
        <v>7707</v>
      </c>
      <c r="AA1114">
        <v>0.713784922291022</v>
      </c>
      <c r="AB1114">
        <f>HYPERLINK("Melting_Curves/meltCurve_P31658_hchA.pdf", "Melting_Curves/meltCurve_P31658_hchA.pdf")</f>
        <v>0</v>
      </c>
    </row>
    <row r="1115" spans="1:28">
      <c r="A1115" t="s">
        <v>1141</v>
      </c>
      <c r="B1115">
        <v>0.999984544473304</v>
      </c>
      <c r="C1115">
        <v>0.704454796489641</v>
      </c>
      <c r="D1115">
        <v>0.565238476406547</v>
      </c>
      <c r="E1115">
        <v>0.308898120297463</v>
      </c>
      <c r="F1115">
        <v>0.232264526167009</v>
      </c>
      <c r="G1115">
        <v>0.117183609661562</v>
      </c>
      <c r="H1115">
        <v>0.080879360063018</v>
      </c>
      <c r="I1115">
        <v>0.0518004417325612</v>
      </c>
      <c r="J1115">
        <v>0.0374181032419208</v>
      </c>
      <c r="K1115">
        <v>0.0320926493373351</v>
      </c>
      <c r="L1115">
        <v>543.795001419109</v>
      </c>
      <c r="M1115">
        <v>12.4717770097433</v>
      </c>
      <c r="N1115">
        <v>43.8234394973157</v>
      </c>
      <c r="O1115">
        <v>42.5265801704643</v>
      </c>
      <c r="P1115">
        <v>-0.071093812312214</v>
      </c>
      <c r="Q1115">
        <v>0.0305313389911724</v>
      </c>
      <c r="R1115">
        <v>0.9844122512497659</v>
      </c>
      <c r="S1115" t="s">
        <v>2783</v>
      </c>
      <c r="T1115" t="s">
        <v>3312</v>
      </c>
      <c r="U1115" t="s">
        <v>3312</v>
      </c>
      <c r="V1115" t="s">
        <v>3312</v>
      </c>
      <c r="W1115" t="s">
        <v>4425</v>
      </c>
      <c r="X1115">
        <v>5</v>
      </c>
      <c r="Y1115" t="s">
        <v>6066</v>
      </c>
      <c r="Z1115" t="s">
        <v>7708</v>
      </c>
      <c r="AA1115">
        <v>0.2796473905004891</v>
      </c>
      <c r="AB1115">
        <f>HYPERLINK("Melting_Curves/meltCurve_P31660_prpC.pdf", "Melting_Curves/meltCurve_P31660_prpC.pdf")</f>
        <v>0</v>
      </c>
    </row>
    <row r="1116" spans="1:28">
      <c r="A1116" t="s">
        <v>1142</v>
      </c>
      <c r="B1116">
        <v>0.999984544473304</v>
      </c>
      <c r="C1116">
        <v>0.877680383811694</v>
      </c>
      <c r="D1116">
        <v>1.09870141268991</v>
      </c>
      <c r="E1116">
        <v>0.99744173430473</v>
      </c>
      <c r="F1116">
        <v>0.717969485249595</v>
      </c>
      <c r="G1116">
        <v>0.545219924680309</v>
      </c>
      <c r="H1116">
        <v>0.296456704806173</v>
      </c>
      <c r="I1116">
        <v>0.121055036236333</v>
      </c>
      <c r="J1116">
        <v>0.034674857090831</v>
      </c>
      <c r="K1116">
        <v>0.0325959084892383</v>
      </c>
      <c r="L1116">
        <v>921.940320989175</v>
      </c>
      <c r="M1116">
        <v>17.0429806609737</v>
      </c>
      <c r="N1116">
        <v>54.0950171133717</v>
      </c>
      <c r="O1116">
        <v>53.3667360423938</v>
      </c>
      <c r="P1116">
        <v>-0.0798438681172188</v>
      </c>
      <c r="Q1116">
        <v>0</v>
      </c>
      <c r="R1116">
        <v>0.976968641166628</v>
      </c>
      <c r="S1116" t="s">
        <v>2784</v>
      </c>
      <c r="T1116" t="s">
        <v>3312</v>
      </c>
      <c r="U1116" t="s">
        <v>3312</v>
      </c>
      <c r="V1116" t="s">
        <v>3312</v>
      </c>
      <c r="W1116" t="s">
        <v>4426</v>
      </c>
      <c r="X1116">
        <v>12</v>
      </c>
      <c r="Y1116" t="s">
        <v>6067</v>
      </c>
      <c r="Z1116" t="s">
        <v>7709</v>
      </c>
      <c r="AA1116">
        <v>0.5842366513646073</v>
      </c>
      <c r="AB1116">
        <f>HYPERLINK("Melting_Curves/meltCurve_P31663_panC.pdf", "Melting_Curves/meltCurve_P31663_panC.pdf")</f>
        <v>0</v>
      </c>
    </row>
    <row r="1117" spans="1:28">
      <c r="A1117" t="s">
        <v>1143</v>
      </c>
      <c r="B1117">
        <v>0.999984544473304</v>
      </c>
      <c r="C1117">
        <v>0.774634388268331</v>
      </c>
      <c r="D1117">
        <v>0.716410562538021</v>
      </c>
      <c r="E1117">
        <v>0.355229450952393</v>
      </c>
      <c r="F1117">
        <v>0.137584674272285</v>
      </c>
      <c r="G1117">
        <v>0.0835169992968791</v>
      </c>
      <c r="H1117">
        <v>0.0728698097862104</v>
      </c>
      <c r="I1117">
        <v>0.0679922349959888</v>
      </c>
      <c r="J1117">
        <v>0.087125931175148</v>
      </c>
      <c r="K1117">
        <v>0.0675614754859751</v>
      </c>
      <c r="L1117">
        <v>734.365045583102</v>
      </c>
      <c r="M1117">
        <v>16.5336564473398</v>
      </c>
      <c r="N1117">
        <v>44.722944495562</v>
      </c>
      <c r="O1117">
        <v>43.7818526673111</v>
      </c>
      <c r="P1117">
        <v>-0.0893577115397042</v>
      </c>
      <c r="Q1117">
        <v>0.0535723679875899</v>
      </c>
      <c r="R1117">
        <v>0.984597060754185</v>
      </c>
      <c r="S1117" t="s">
        <v>2785</v>
      </c>
      <c r="T1117" t="s">
        <v>3312</v>
      </c>
      <c r="U1117" t="s">
        <v>3312</v>
      </c>
      <c r="V1117" t="s">
        <v>3312</v>
      </c>
      <c r="W1117" t="s">
        <v>4427</v>
      </c>
      <c r="X1117">
        <v>9</v>
      </c>
      <c r="Y1117" t="s">
        <v>6068</v>
      </c>
      <c r="Z1117" t="s">
        <v>7710</v>
      </c>
      <c r="AA1117">
        <v>0.3063718047390684</v>
      </c>
      <c r="AB1117">
        <f>HYPERLINK("Melting_Curves/meltCurve_P31677_otsA.pdf", "Melting_Curves/meltCurve_P31677_otsA.pdf")</f>
        <v>0</v>
      </c>
    </row>
    <row r="1118" spans="1:28">
      <c r="A1118" t="s">
        <v>1144</v>
      </c>
      <c r="B1118">
        <v>0.999984544473304</v>
      </c>
      <c r="C1118">
        <v>1.32001514181378</v>
      </c>
      <c r="D1118">
        <v>0.71957901050087</v>
      </c>
      <c r="E1118">
        <v>0.920743320864247</v>
      </c>
      <c r="F1118">
        <v>0.541009685640001</v>
      </c>
      <c r="G1118">
        <v>0.445609906074617</v>
      </c>
      <c r="H1118">
        <v>0.233603124526381</v>
      </c>
      <c r="I1118">
        <v>0.263094178918441</v>
      </c>
      <c r="J1118">
        <v>0.07620511145418959</v>
      </c>
      <c r="K1118">
        <v>0.285971264632296</v>
      </c>
      <c r="L1118">
        <v>832.7895306137571</v>
      </c>
      <c r="M1118">
        <v>16.5470391187674</v>
      </c>
      <c r="N1118">
        <v>51.7103928999136</v>
      </c>
      <c r="O1118">
        <v>49.610777604548</v>
      </c>
      <c r="P1118">
        <v>-0.0684900084451798</v>
      </c>
      <c r="Q1118">
        <v>0.178678643586589</v>
      </c>
      <c r="R1118">
        <v>0.856028797986869</v>
      </c>
      <c r="S1118" t="s">
        <v>2786</v>
      </c>
      <c r="T1118" t="s">
        <v>3312</v>
      </c>
      <c r="U1118" t="s">
        <v>3312</v>
      </c>
      <c r="V1118" t="s">
        <v>3312</v>
      </c>
      <c r="W1118" t="s">
        <v>4428</v>
      </c>
      <c r="X1118">
        <v>1</v>
      </c>
      <c r="Y1118" t="s">
        <v>6069</v>
      </c>
      <c r="Z1118" t="s">
        <v>7711</v>
      </c>
      <c r="AA1118">
        <v>0.5582863754150862</v>
      </c>
      <c r="AB1118">
        <f>HYPERLINK("Melting_Curves/meltCurve_P31802_narP.pdf", "Melting_Curves/meltCurve_P31802_narP.pdf")</f>
        <v>0</v>
      </c>
    </row>
    <row r="1119" spans="1:28">
      <c r="A1119" t="s">
        <v>1145</v>
      </c>
      <c r="B1119">
        <v>0.999984544473304</v>
      </c>
      <c r="C1119">
        <v>1.20308807345469</v>
      </c>
      <c r="D1119">
        <v>1.07408045770899</v>
      </c>
      <c r="E1119">
        <v>1.019437658836</v>
      </c>
      <c r="F1119">
        <v>0.189286025759994</v>
      </c>
      <c r="G1119">
        <v>0.110433807010937</v>
      </c>
      <c r="H1119">
        <v>0.0692659729025424</v>
      </c>
      <c r="I1119">
        <v>0.0554728135980463</v>
      </c>
      <c r="J1119">
        <v>0.0335963661981996</v>
      </c>
      <c r="K1119">
        <v>0.051710928949974</v>
      </c>
      <c r="L1119">
        <v>12456.2222719718</v>
      </c>
      <c r="M1119">
        <v>250</v>
      </c>
      <c r="N1119">
        <v>49.8522446695843</v>
      </c>
      <c r="O1119">
        <v>49.8217181234042</v>
      </c>
      <c r="P1119">
        <v>-1.17406673844689</v>
      </c>
      <c r="Q1119">
        <v>0.0640959743794528</v>
      </c>
      <c r="R1119">
        <v>0.978893404879722</v>
      </c>
      <c r="S1119" t="s">
        <v>2787</v>
      </c>
      <c r="T1119" t="s">
        <v>3312</v>
      </c>
      <c r="U1119" t="s">
        <v>3312</v>
      </c>
      <c r="V1119" t="s">
        <v>3312</v>
      </c>
      <c r="W1119" t="s">
        <v>4429</v>
      </c>
      <c r="X1119">
        <v>4</v>
      </c>
      <c r="Y1119" t="s">
        <v>6070</v>
      </c>
      <c r="Z1119" t="s">
        <v>7712</v>
      </c>
      <c r="AA1119">
        <v>0.4642733224599476</v>
      </c>
      <c r="AB1119">
        <f>HYPERLINK("Melting_Curves/meltCurve_P31806_nnr.pdf", "Melting_Curves/meltCurve_P31806_nnr.pdf")</f>
        <v>0</v>
      </c>
    </row>
    <row r="1120" spans="1:28">
      <c r="A1120" t="s">
        <v>1146</v>
      </c>
      <c r="B1120">
        <v>0.999984544473304</v>
      </c>
      <c r="C1120">
        <v>0.726592086855759</v>
      </c>
      <c r="D1120">
        <v>0.731441665069303</v>
      </c>
      <c r="E1120">
        <v>0.320657501482577</v>
      </c>
      <c r="F1120">
        <v>0.153772011005882</v>
      </c>
      <c r="G1120">
        <v>0.0536424296336909</v>
      </c>
      <c r="H1120">
        <v>0.0421741332120886</v>
      </c>
      <c r="I1120">
        <v>0.0268413929278</v>
      </c>
      <c r="J1120">
        <v>0.0242896871575507</v>
      </c>
      <c r="K1120">
        <v>0.0205123838507325</v>
      </c>
      <c r="L1120">
        <v>656.227522935323</v>
      </c>
      <c r="M1120">
        <v>14.715970039108</v>
      </c>
      <c r="N1120">
        <v>44.609543379382</v>
      </c>
      <c r="O1120">
        <v>43.7937279640325</v>
      </c>
      <c r="P1120">
        <v>-0.0837862572043285</v>
      </c>
      <c r="Q1120">
        <v>0.00274008132216931</v>
      </c>
      <c r="R1120">
        <v>0.976880077424564</v>
      </c>
      <c r="S1120" t="s">
        <v>2788</v>
      </c>
      <c r="T1120" t="s">
        <v>3312</v>
      </c>
      <c r="U1120" t="s">
        <v>3312</v>
      </c>
      <c r="V1120" t="s">
        <v>3312</v>
      </c>
      <c r="W1120" t="s">
        <v>4430</v>
      </c>
      <c r="X1120">
        <v>4</v>
      </c>
      <c r="Y1120" t="s">
        <v>6071</v>
      </c>
      <c r="Z1120" t="s">
        <v>7713</v>
      </c>
      <c r="AA1120">
        <v>0.2801914521626959</v>
      </c>
      <c r="AB1120">
        <f>HYPERLINK("Melting_Curves/meltCurve_P31808_yciK.pdf", "Melting_Curves/meltCurve_P31808_yciK.pdf")</f>
        <v>0</v>
      </c>
    </row>
    <row r="1121" spans="1:28">
      <c r="A1121" t="s">
        <v>1147</v>
      </c>
      <c r="B1121">
        <v>0.999984544473304</v>
      </c>
      <c r="C1121">
        <v>0.59698812453801</v>
      </c>
      <c r="D1121">
        <v>0.345553848745306</v>
      </c>
      <c r="E1121">
        <v>0.192943319814918</v>
      </c>
      <c r="F1121">
        <v>0.0974710171325523</v>
      </c>
      <c r="G1121">
        <v>0.0603229120534474</v>
      </c>
      <c r="H1121">
        <v>0.0374327915471421</v>
      </c>
      <c r="I1121">
        <v>0.0290739124550658</v>
      </c>
      <c r="J1121">
        <v>0.0271702633931362</v>
      </c>
      <c r="K1121">
        <v>0.0233344624983659</v>
      </c>
      <c r="L1121">
        <v>760.271495380713</v>
      </c>
      <c r="M1121">
        <v>18.4401996990181</v>
      </c>
      <c r="N1121">
        <v>41.4230942833522</v>
      </c>
      <c r="O1121">
        <v>40.7533426663243</v>
      </c>
      <c r="P1121">
        <v>-0.108444581399425</v>
      </c>
      <c r="Q1121">
        <v>0.0413812403912408</v>
      </c>
      <c r="R1121">
        <v>0.979921261046782</v>
      </c>
      <c r="S1121" t="s">
        <v>2789</v>
      </c>
      <c r="T1121" t="s">
        <v>3312</v>
      </c>
      <c r="U1121" t="s">
        <v>3312</v>
      </c>
      <c r="V1121" t="s">
        <v>3312</v>
      </c>
      <c r="W1121" t="s">
        <v>4431</v>
      </c>
      <c r="X1121">
        <v>3</v>
      </c>
      <c r="Y1121" t="s">
        <v>6072</v>
      </c>
      <c r="Z1121" t="s">
        <v>7714</v>
      </c>
      <c r="AA1121">
        <v>0.1956618156788811</v>
      </c>
      <c r="AB1121">
        <f>HYPERLINK("Melting_Curves/meltCurve_P31979_nuoF.pdf", "Melting_Curves/meltCurve_P31979_nuoF.pdf")</f>
        <v>0</v>
      </c>
    </row>
    <row r="1122" spans="1:28">
      <c r="A1122" t="s">
        <v>1148</v>
      </c>
      <c r="B1122">
        <v>0.999984544473304</v>
      </c>
      <c r="C1122">
        <v>0.778261852461096</v>
      </c>
      <c r="D1122">
        <v>0.903975329762874</v>
      </c>
      <c r="E1122">
        <v>0.661136633497842</v>
      </c>
      <c r="F1122">
        <v>0.431906816476807</v>
      </c>
      <c r="G1122">
        <v>0.124546471604796</v>
      </c>
      <c r="H1122">
        <v>0.0707715945171761</v>
      </c>
      <c r="I1122">
        <v>0.0328820150349701</v>
      </c>
      <c r="J1122">
        <v>0.0242739811278295</v>
      </c>
      <c r="K1122">
        <v>0.0241560233503797</v>
      </c>
      <c r="L1122">
        <v>725.054149926259</v>
      </c>
      <c r="M1122">
        <v>14.9381062041024</v>
      </c>
      <c r="N1122">
        <v>48.5372202246992</v>
      </c>
      <c r="O1122">
        <v>47.6923065514315</v>
      </c>
      <c r="P1122">
        <v>-0.0783126395029124</v>
      </c>
      <c r="Q1122">
        <v>0</v>
      </c>
      <c r="R1122">
        <v>0.970243171466022</v>
      </c>
      <c r="S1122" t="s">
        <v>2790</v>
      </c>
      <c r="T1122" t="s">
        <v>3312</v>
      </c>
      <c r="U1122" t="s">
        <v>3312</v>
      </c>
      <c r="V1122" t="s">
        <v>3312</v>
      </c>
      <c r="W1122" t="s">
        <v>4432</v>
      </c>
      <c r="X1122">
        <v>1</v>
      </c>
      <c r="Y1122" t="s">
        <v>6073</v>
      </c>
      <c r="Z1122" t="s">
        <v>7715</v>
      </c>
      <c r="AA1122">
        <v>0.4064776789705107</v>
      </c>
      <c r="AB1122">
        <f>HYPERLINK("Melting_Curves/meltCurve_P32099_lplA.pdf", "Melting_Curves/meltCurve_P32099_lplA.pdf")</f>
        <v>0</v>
      </c>
    </row>
    <row r="1123" spans="1:28">
      <c r="A1123" t="s">
        <v>1149</v>
      </c>
      <c r="B1123">
        <v>0.999984544473304</v>
      </c>
      <c r="C1123">
        <v>0.901861619804967</v>
      </c>
      <c r="D1123">
        <v>0.687141382717955</v>
      </c>
      <c r="E1123">
        <v>0.205376371058118</v>
      </c>
      <c r="F1123">
        <v>0.117173974036011</v>
      </c>
      <c r="G1123">
        <v>0.0818035157955966</v>
      </c>
      <c r="H1123">
        <v>0.0595080717872441</v>
      </c>
      <c r="I1123">
        <v>0.0402075288874752</v>
      </c>
      <c r="J1123">
        <v>0.032494357595799</v>
      </c>
      <c r="K1123">
        <v>0.016545112838611</v>
      </c>
      <c r="L1123">
        <v>1106.66575554461</v>
      </c>
      <c r="M1123">
        <v>25.130332879641</v>
      </c>
      <c r="N1123">
        <v>44.2039296773153</v>
      </c>
      <c r="O1123">
        <v>43.761038871819</v>
      </c>
      <c r="P1123">
        <v>-0.137070379964089</v>
      </c>
      <c r="Q1123">
        <v>0.0452552700087575</v>
      </c>
      <c r="R1123">
        <v>0.995988173249607</v>
      </c>
      <c r="S1123" t="s">
        <v>2791</v>
      </c>
      <c r="T1123" t="s">
        <v>3312</v>
      </c>
      <c r="U1123" t="s">
        <v>3312</v>
      </c>
      <c r="V1123" t="s">
        <v>3312</v>
      </c>
      <c r="W1123" t="s">
        <v>4433</v>
      </c>
      <c r="X1123">
        <v>2</v>
      </c>
      <c r="Y1123" t="s">
        <v>6074</v>
      </c>
      <c r="Z1123" t="s">
        <v>7716</v>
      </c>
      <c r="AA1123">
        <v>0.2769595862789632</v>
      </c>
      <c r="AB1123">
        <f>HYPERLINK("Melting_Curves/meltCurve_P32131_hemN.pdf", "Melting_Curves/meltCurve_P32131_hemN.pdf")</f>
        <v>0</v>
      </c>
    </row>
    <row r="1124" spans="1:28">
      <c r="A1124" t="s">
        <v>1150</v>
      </c>
      <c r="B1124">
        <v>0.999984544473304</v>
      </c>
      <c r="C1124">
        <v>1.27933319245302</v>
      </c>
      <c r="D1124">
        <v>1.00692666077825</v>
      </c>
      <c r="E1124">
        <v>0.40677646862258</v>
      </c>
      <c r="F1124">
        <v>0.09350796547384931</v>
      </c>
      <c r="G1124">
        <v>0.0355232050931093</v>
      </c>
      <c r="H1124">
        <v>0.0229179254162172</v>
      </c>
      <c r="I1124">
        <v>0.0142998634833206</v>
      </c>
      <c r="J1124">
        <v>0.009591636932022651</v>
      </c>
      <c r="K1124">
        <v>0.00935721444253104</v>
      </c>
      <c r="L1124">
        <v>2384.44431414811</v>
      </c>
      <c r="M1124">
        <v>51.5895968481626</v>
      </c>
      <c r="N1124">
        <v>46.2701067450363</v>
      </c>
      <c r="O1124">
        <v>46.1501888633754</v>
      </c>
      <c r="P1124">
        <v>-0.271796915045665</v>
      </c>
      <c r="Q1124">
        <v>0.027441940803387</v>
      </c>
      <c r="R1124">
        <v>0.964551270651603</v>
      </c>
      <c r="S1124" t="s">
        <v>2792</v>
      </c>
      <c r="T1124" t="s">
        <v>3312</v>
      </c>
      <c r="U1124" t="s">
        <v>3312</v>
      </c>
      <c r="V1124" t="s">
        <v>3312</v>
      </c>
      <c r="W1124" t="s">
        <v>4434</v>
      </c>
      <c r="X1124">
        <v>12</v>
      </c>
      <c r="Y1124" t="s">
        <v>6075</v>
      </c>
      <c r="Z1124" t="s">
        <v>7717</v>
      </c>
      <c r="AA1124">
        <v>0.3281864869651827</v>
      </c>
      <c r="AB1124">
        <f>HYPERLINK("Melting_Curves/meltCurve_P32132_typA.pdf", "Melting_Curves/meltCurve_P32132_typA.pdf")</f>
        <v>0</v>
      </c>
    </row>
    <row r="1125" spans="1:28">
      <c r="A1125" t="s">
        <v>1151</v>
      </c>
      <c r="B1125">
        <v>0.999984544473304</v>
      </c>
      <c r="C1125">
        <v>0.861246428681308</v>
      </c>
      <c r="D1125">
        <v>0.9875503390646591</v>
      </c>
      <c r="E1125">
        <v>0.908160176506017</v>
      </c>
      <c r="F1125">
        <v>0.625639142859018</v>
      </c>
      <c r="G1125">
        <v>0.258958527155196</v>
      </c>
      <c r="H1125">
        <v>0.143938727665353</v>
      </c>
      <c r="I1125">
        <v>0.0796061451349761</v>
      </c>
      <c r="J1125">
        <v>0.0480540606272856</v>
      </c>
      <c r="K1125">
        <v>0.0341957476169466</v>
      </c>
      <c r="L1125">
        <v>1145.48930268504</v>
      </c>
      <c r="M1125">
        <v>22.4080965313606</v>
      </c>
      <c r="N1125">
        <v>51.3302346558965</v>
      </c>
      <c r="O1125">
        <v>50.7175557275964</v>
      </c>
      <c r="P1125">
        <v>-0.105602202181203</v>
      </c>
      <c r="Q1125">
        <v>0.0439576325705808</v>
      </c>
      <c r="R1125">
        <v>0.987217799246325</v>
      </c>
      <c r="S1125" t="s">
        <v>2793</v>
      </c>
      <c r="T1125" t="s">
        <v>3312</v>
      </c>
      <c r="U1125" t="s">
        <v>3312</v>
      </c>
      <c r="V1125" t="s">
        <v>3312</v>
      </c>
      <c r="W1125" t="s">
        <v>4435</v>
      </c>
      <c r="X1125">
        <v>4</v>
      </c>
      <c r="Y1125" t="s">
        <v>6076</v>
      </c>
      <c r="Z1125" t="s">
        <v>7718</v>
      </c>
      <c r="AA1125">
        <v>0.5042081344899854</v>
      </c>
      <c r="AB1125">
        <f>HYPERLINK("Melting_Curves/meltCurve_P32157_yiiM.pdf", "Melting_Curves/meltCurve_P32157_yiiM.pdf")</f>
        <v>0</v>
      </c>
    </row>
    <row r="1126" spans="1:28">
      <c r="A1126" t="s">
        <v>1152</v>
      </c>
      <c r="B1126">
        <v>0.999984544473304</v>
      </c>
      <c r="C1126">
        <v>1.62555661071808</v>
      </c>
      <c r="D1126">
        <v>0.955777675404713</v>
      </c>
      <c r="E1126">
        <v>1.05661531828403</v>
      </c>
      <c r="F1126">
        <v>0.941361361084802</v>
      </c>
      <c r="G1126">
        <v>0.683613196741747</v>
      </c>
      <c r="H1126">
        <v>0.329604615835312</v>
      </c>
      <c r="I1126">
        <v>0.131579507047867</v>
      </c>
      <c r="J1126">
        <v>0.0888216530492473</v>
      </c>
      <c r="K1126">
        <v>0.07204823600815689</v>
      </c>
      <c r="L1126">
        <v>1457.34400655305</v>
      </c>
      <c r="M1126">
        <v>26.3667777857217</v>
      </c>
      <c r="N1126">
        <v>55.5595164846308</v>
      </c>
      <c r="O1126">
        <v>54.9569786197058</v>
      </c>
      <c r="P1126">
        <v>-0.112294379099516</v>
      </c>
      <c r="Q1126">
        <v>0.06377750526515349</v>
      </c>
      <c r="R1126">
        <v>0.836039034305316</v>
      </c>
      <c r="S1126" t="s">
        <v>2794</v>
      </c>
      <c r="T1126" t="s">
        <v>3312</v>
      </c>
      <c r="U1126" t="s">
        <v>3312</v>
      </c>
      <c r="V1126" t="s">
        <v>3312</v>
      </c>
      <c r="W1126" t="s">
        <v>4436</v>
      </c>
      <c r="X1126">
        <v>4</v>
      </c>
      <c r="Y1126" t="s">
        <v>6077</v>
      </c>
      <c r="Z1126" t="s">
        <v>7719</v>
      </c>
      <c r="AA1126">
        <v>0.6412825312717521</v>
      </c>
      <c r="AB1126">
        <f>HYPERLINK("Melting_Curves/meltCurve_P32160_yiiQ.pdf", "Melting_Curves/meltCurve_P32160_yiiQ.pdf")</f>
        <v>0</v>
      </c>
    </row>
    <row r="1127" spans="1:28">
      <c r="A1127" t="s">
        <v>1153</v>
      </c>
      <c r="B1127">
        <v>0.999984544473304</v>
      </c>
      <c r="C1127">
        <v>0.938028423644537</v>
      </c>
      <c r="D1127">
        <v>0.794474067409939</v>
      </c>
      <c r="E1127">
        <v>1.05509672180609</v>
      </c>
      <c r="F1127">
        <v>0.960843113031681</v>
      </c>
      <c r="G1127">
        <v>0.768486403296324</v>
      </c>
      <c r="H1127">
        <v>0.741428312443259</v>
      </c>
      <c r="I1127">
        <v>0.708268985030592</v>
      </c>
      <c r="J1127">
        <v>0.433255714862359</v>
      </c>
      <c r="K1127">
        <v>0.634624948218977</v>
      </c>
      <c r="L1127">
        <v>792.585630707311</v>
      </c>
      <c r="M1127">
        <v>14.1167826317042</v>
      </c>
      <c r="O1127">
        <v>55.0543019614388</v>
      </c>
      <c r="P1127">
        <v>-0.031308995183525</v>
      </c>
      <c r="Q1127">
        <v>0.511652557711157</v>
      </c>
      <c r="R1127">
        <v>0.722547172033307</v>
      </c>
      <c r="S1127" t="s">
        <v>2795</v>
      </c>
      <c r="T1127" t="s">
        <v>3312</v>
      </c>
      <c r="U1127" t="s">
        <v>3312</v>
      </c>
      <c r="V1127" t="s">
        <v>3312</v>
      </c>
      <c r="W1127" t="s">
        <v>4437</v>
      </c>
      <c r="X1127">
        <v>3</v>
      </c>
      <c r="Y1127" t="s">
        <v>6078</v>
      </c>
      <c r="Z1127" t="s">
        <v>7720</v>
      </c>
      <c r="AA1127">
        <v>0.8285685073189261</v>
      </c>
      <c r="AB1127">
        <f>HYPERLINK("Melting_Curves/meltCurve_P32162_yiiS.pdf", "Melting_Curves/meltCurve_P32162_yiiS.pdf")</f>
        <v>0</v>
      </c>
    </row>
    <row r="1128" spans="1:28">
      <c r="A1128" t="s">
        <v>1154</v>
      </c>
      <c r="B1128">
        <v>0.999984544473304</v>
      </c>
      <c r="C1128">
        <v>2.07220122344928</v>
      </c>
      <c r="D1128">
        <v>1.33645360730617</v>
      </c>
      <c r="E1128">
        <v>2.17571124801936</v>
      </c>
      <c r="F1128">
        <v>0.964089536153757</v>
      </c>
      <c r="G1128">
        <v>1.19391674023182</v>
      </c>
      <c r="H1128">
        <v>0.708641528711942</v>
      </c>
      <c r="I1128">
        <v>0.6493023104485039</v>
      </c>
      <c r="J1128">
        <v>0.639115623336421</v>
      </c>
      <c r="K1128">
        <v>0.7688474954644779</v>
      </c>
      <c r="L1128">
        <v>14203.9822503552</v>
      </c>
      <c r="M1128">
        <v>250</v>
      </c>
      <c r="O1128">
        <v>56.812290512518</v>
      </c>
      <c r="P1128">
        <v>-0.34570596484137</v>
      </c>
      <c r="Q1128">
        <v>0.685754422416484</v>
      </c>
      <c r="R1128">
        <v>0.0539499559027389</v>
      </c>
      <c r="S1128" t="s">
        <v>2796</v>
      </c>
      <c r="T1128" t="s">
        <v>3312</v>
      </c>
      <c r="U1128" t="s">
        <v>3312</v>
      </c>
      <c r="V1128" t="s">
        <v>3312</v>
      </c>
      <c r="W1128" t="s">
        <v>4438</v>
      </c>
      <c r="X1128">
        <v>21</v>
      </c>
      <c r="Y1128" t="s">
        <v>6079</v>
      </c>
      <c r="Z1128" t="s">
        <v>7721</v>
      </c>
      <c r="AA1128">
        <v>0.8933546913264754</v>
      </c>
      <c r="AB1128">
        <f>HYPERLINK("Melting_Curves/meltCurve_P32176_fdoG.pdf", "Melting_Curves/meltCurve_P32176_fdoG.pdf")</f>
        <v>0</v>
      </c>
    </row>
    <row r="1129" spans="1:28">
      <c r="A1129" t="s">
        <v>1155</v>
      </c>
      <c r="B1129">
        <v>0.999984544473304</v>
      </c>
      <c r="C1129">
        <v>1.07934628301181</v>
      </c>
      <c r="D1129">
        <v>0.9467464312156439</v>
      </c>
      <c r="E1129">
        <v>1.09398575588747</v>
      </c>
      <c r="F1129">
        <v>1.02944628730846</v>
      </c>
      <c r="G1129">
        <v>0.882779840853789</v>
      </c>
      <c r="H1129">
        <v>0.874042548386154</v>
      </c>
      <c r="I1129">
        <v>0.745562668066692</v>
      </c>
      <c r="J1129">
        <v>0.546938369592609</v>
      </c>
      <c r="K1129">
        <v>0.383010344877241</v>
      </c>
      <c r="L1129">
        <v>950.416454416296</v>
      </c>
      <c r="M1129">
        <v>14.6278219616862</v>
      </c>
      <c r="N1129">
        <v>64.9732053452573</v>
      </c>
      <c r="O1129">
        <v>63.7951337977631</v>
      </c>
      <c r="P1129">
        <v>-0.057329813932999</v>
      </c>
      <c r="Q1129">
        <v>0</v>
      </c>
      <c r="R1129">
        <v>0.9475897196901401</v>
      </c>
      <c r="S1129" t="s">
        <v>2797</v>
      </c>
      <c r="T1129" t="s">
        <v>3312</v>
      </c>
      <c r="U1129" t="s">
        <v>3312</v>
      </c>
      <c r="V1129" t="s">
        <v>3312</v>
      </c>
      <c r="W1129" t="s">
        <v>4439</v>
      </c>
      <c r="X1129">
        <v>2</v>
      </c>
      <c r="Y1129" t="s">
        <v>6080</v>
      </c>
      <c r="Z1129" t="s">
        <v>7722</v>
      </c>
      <c r="AA1129">
        <v>0.8735617590272776</v>
      </c>
      <c r="AB1129">
        <f>HYPERLINK("Melting_Curves/meltCurve_P32177_fdhD.pdf", "Melting_Curves/meltCurve_P32177_fdhD.pdf")</f>
        <v>0</v>
      </c>
    </row>
    <row r="1130" spans="1:28">
      <c r="A1130" t="s">
        <v>1156</v>
      </c>
      <c r="B1130">
        <v>0.999984544473304</v>
      </c>
      <c r="C1130">
        <v>0.831770032145373</v>
      </c>
      <c r="D1130">
        <v>2.79324516150211</v>
      </c>
      <c r="E1130">
        <v>0.8470263426447</v>
      </c>
      <c r="F1130">
        <v>1.66015758334244</v>
      </c>
      <c r="G1130">
        <v>1.11837013548037</v>
      </c>
      <c r="H1130">
        <v>0.495940532649613</v>
      </c>
      <c r="I1130">
        <v>0.710288144812016</v>
      </c>
      <c r="J1130">
        <v>0.417723213642151</v>
      </c>
      <c r="K1130">
        <v>0.451386537127973</v>
      </c>
      <c r="L1130">
        <v>13932.5045067889</v>
      </c>
      <c r="M1130">
        <v>250</v>
      </c>
      <c r="O1130">
        <v>55.7264516907919</v>
      </c>
      <c r="P1130">
        <v>-0.539735848264141</v>
      </c>
      <c r="Q1130">
        <v>0.5187589819095491</v>
      </c>
      <c r="R1130">
        <v>0.195410091437292</v>
      </c>
      <c r="S1130" t="s">
        <v>2798</v>
      </c>
      <c r="T1130" t="s">
        <v>3312</v>
      </c>
      <c r="U1130" t="s">
        <v>3312</v>
      </c>
      <c r="V1130" t="s">
        <v>3312</v>
      </c>
      <c r="W1130" t="s">
        <v>4440</v>
      </c>
      <c r="X1130">
        <v>1</v>
      </c>
      <c r="Y1130" t="s">
        <v>6081</v>
      </c>
      <c r="Z1130" t="s">
        <v>7723</v>
      </c>
      <c r="AA1130">
        <v>0.819261147979933</v>
      </c>
      <c r="AB1130">
        <f>HYPERLINK("Melting_Curves/meltCurve_P32662_gph.pdf", "Melting_Curves/meltCurve_P32662_gph.pdf")</f>
        <v>0</v>
      </c>
    </row>
    <row r="1131" spans="1:28">
      <c r="A1131" t="s">
        <v>1157</v>
      </c>
      <c r="B1131">
        <v>0.999984544473304</v>
      </c>
      <c r="C1131">
        <v>1.62455876948307</v>
      </c>
      <c r="D1131">
        <v>0.114722095232337</v>
      </c>
      <c r="E1131">
        <v>0.130838928868137</v>
      </c>
      <c r="F1131">
        <v>0.912937183967124</v>
      </c>
      <c r="G1131">
        <v>0.545834208241406</v>
      </c>
      <c r="H1131">
        <v>0.0451565308217145</v>
      </c>
      <c r="I1131">
        <v>0.0369138000871808</v>
      </c>
      <c r="J1131">
        <v>0.5330258214835371</v>
      </c>
      <c r="K1131">
        <v>0.602034086364302</v>
      </c>
      <c r="L1131">
        <v>10368.5079332177</v>
      </c>
      <c r="M1131">
        <v>250</v>
      </c>
      <c r="N1131">
        <v>41.6925916042363</v>
      </c>
      <c r="O1131">
        <v>41.471381827378</v>
      </c>
      <c r="P1131">
        <v>-0.956713815042911</v>
      </c>
      <c r="Q1131">
        <v>0.365180161513821</v>
      </c>
      <c r="R1131">
        <v>0.522132098225452</v>
      </c>
      <c r="S1131" t="s">
        <v>2799</v>
      </c>
      <c r="T1131" t="s">
        <v>3312</v>
      </c>
      <c r="U1131" t="s">
        <v>3312</v>
      </c>
      <c r="V1131" t="s">
        <v>3312</v>
      </c>
      <c r="W1131" t="s">
        <v>4441</v>
      </c>
      <c r="X1131">
        <v>2</v>
      </c>
      <c r="Y1131" t="s">
        <v>6082</v>
      </c>
      <c r="Z1131" t="s">
        <v>7724</v>
      </c>
      <c r="AA1131">
        <v>0.4598998377565724</v>
      </c>
      <c r="AB1131">
        <f>HYPERLINK("Melting_Curves/meltCurve_P32664_nudC.pdf", "Melting_Curves/meltCurve_P32664_nudC.pdf")</f>
        <v>0</v>
      </c>
    </row>
    <row r="1132" spans="1:28">
      <c r="A1132" t="s">
        <v>1158</v>
      </c>
      <c r="B1132">
        <v>0.999984544473304</v>
      </c>
      <c r="C1132">
        <v>0.97675189614848</v>
      </c>
      <c r="D1132">
        <v>0.73240510219195</v>
      </c>
      <c r="E1132">
        <v>1.00256586942146</v>
      </c>
      <c r="F1132">
        <v>0.749204036394177</v>
      </c>
      <c r="G1132">
        <v>0.712359876205</v>
      </c>
      <c r="H1132">
        <v>0.497814508571553</v>
      </c>
      <c r="I1132">
        <v>0.396408874746959</v>
      </c>
      <c r="J1132">
        <v>0.321889013166112</v>
      </c>
      <c r="K1132">
        <v>0.392989213554844</v>
      </c>
      <c r="L1132">
        <v>472.904244015218</v>
      </c>
      <c r="M1132">
        <v>8.458074787608879</v>
      </c>
      <c r="N1132">
        <v>58.5354705264346</v>
      </c>
      <c r="O1132">
        <v>53.0486213302591</v>
      </c>
      <c r="P1132">
        <v>-0.0336019395377182</v>
      </c>
      <c r="Q1132">
        <v>0.157774453607851</v>
      </c>
      <c r="R1132">
        <v>0.880652802050541</v>
      </c>
      <c r="S1132" t="s">
        <v>2800</v>
      </c>
      <c r="T1132" t="s">
        <v>3312</v>
      </c>
      <c r="U1132" t="s">
        <v>3312</v>
      </c>
      <c r="V1132" t="s">
        <v>3312</v>
      </c>
      <c r="W1132" t="s">
        <v>4442</v>
      </c>
      <c r="X1132">
        <v>4</v>
      </c>
      <c r="Y1132" t="s">
        <v>6083</v>
      </c>
      <c r="Z1132" t="s">
        <v>7725</v>
      </c>
      <c r="AA1132">
        <v>0.6897723921959126</v>
      </c>
      <c r="AB1132">
        <f>HYPERLINK("Melting_Curves/meltCurve_P32669_fsaB.pdf", "Melting_Curves/meltCurve_P32669_fsaB.pdf")</f>
        <v>0</v>
      </c>
    </row>
    <row r="1133" spans="1:28">
      <c r="A1133" t="s">
        <v>1159</v>
      </c>
      <c r="B1133">
        <v>0.999984544473304</v>
      </c>
      <c r="C1133">
        <v>0.7773289236243101</v>
      </c>
      <c r="D1133">
        <v>0.521757767196822</v>
      </c>
      <c r="E1133">
        <v>0.372034368389893</v>
      </c>
      <c r="F1133">
        <v>0.168970553638652</v>
      </c>
      <c r="G1133">
        <v>0.07178443539467309</v>
      </c>
      <c r="H1133">
        <v>0.0563705722071443</v>
      </c>
      <c r="I1133">
        <v>0.0255871491333331</v>
      </c>
      <c r="J1133">
        <v>0.00685548494362554</v>
      </c>
      <c r="K1133">
        <v>0.02518980130366</v>
      </c>
      <c r="L1133">
        <v>582.334459379222</v>
      </c>
      <c r="M1133">
        <v>13.2553268276409</v>
      </c>
      <c r="N1133">
        <v>43.9737701849538</v>
      </c>
      <c r="O1133">
        <v>42.9683402643457</v>
      </c>
      <c r="P1133">
        <v>-0.0766541837770062</v>
      </c>
      <c r="Q1133">
        <v>0.00623710423789467</v>
      </c>
      <c r="R1133">
        <v>0.989590197248407</v>
      </c>
      <c r="S1133" t="s">
        <v>2801</v>
      </c>
      <c r="T1133" t="s">
        <v>3312</v>
      </c>
      <c r="U1133" t="s">
        <v>3312</v>
      </c>
      <c r="V1133" t="s">
        <v>3312</v>
      </c>
      <c r="W1133" t="s">
        <v>4443</v>
      </c>
      <c r="X1133">
        <v>1</v>
      </c>
      <c r="Y1133" t="s">
        <v>6084</v>
      </c>
      <c r="Z1133" t="s">
        <v>7726</v>
      </c>
      <c r="AA1133">
        <v>0.2677131419316203</v>
      </c>
      <c r="AB1133">
        <f>HYPERLINK("Melting_Curves/meltCurve_P32680_yjaG.pdf", "Melting_Curves/meltCurve_P32680_yjaG.pdf")</f>
        <v>0</v>
      </c>
    </row>
    <row r="1134" spans="1:28">
      <c r="A1134" t="s">
        <v>1160</v>
      </c>
      <c r="B1134">
        <v>0.999984544473304</v>
      </c>
      <c r="C1134">
        <v>0.77985136051447</v>
      </c>
      <c r="D1134">
        <v>0.578358754754336</v>
      </c>
      <c r="E1134">
        <v>0.231075044808001</v>
      </c>
      <c r="F1134">
        <v>0.136516461683904</v>
      </c>
      <c r="G1134">
        <v>0.0689451809071233</v>
      </c>
      <c r="H1134">
        <v>0.0719918252770646</v>
      </c>
      <c r="I1134">
        <v>0.0533301795764049</v>
      </c>
      <c r="J1134">
        <v>0.025764121225274</v>
      </c>
      <c r="K1134">
        <v>0.0301265005264344</v>
      </c>
      <c r="L1134">
        <v>751.350145252161</v>
      </c>
      <c r="M1134">
        <v>17.3500981394102</v>
      </c>
      <c r="N1134">
        <v>43.5102332710076</v>
      </c>
      <c r="O1134">
        <v>42.7422309633136</v>
      </c>
      <c r="P1134">
        <v>-0.0975038558173778</v>
      </c>
      <c r="Q1134">
        <v>0.0392458625572063</v>
      </c>
      <c r="R1134">
        <v>0.994169128469498</v>
      </c>
      <c r="S1134" t="s">
        <v>2802</v>
      </c>
      <c r="T1134" t="s">
        <v>3312</v>
      </c>
      <c r="U1134" t="s">
        <v>3312</v>
      </c>
      <c r="V1134" t="s">
        <v>3312</v>
      </c>
      <c r="W1134" t="s">
        <v>4444</v>
      </c>
      <c r="X1134">
        <v>2</v>
      </c>
      <c r="Y1134" t="s">
        <v>6085</v>
      </c>
      <c r="Z1134" t="s">
        <v>7727</v>
      </c>
      <c r="AA1134">
        <v>0.2592953860386881</v>
      </c>
      <c r="AB1134">
        <f>HYPERLINK("Melting_Curves/meltCurve_P32684_rluF.pdf", "Melting_Curves/meltCurve_P32684_rluF.pdf")</f>
        <v>0</v>
      </c>
    </row>
    <row r="1135" spans="1:28">
      <c r="A1135" t="s">
        <v>1161</v>
      </c>
      <c r="B1135">
        <v>0.999984544473304</v>
      </c>
      <c r="C1135">
        <v>0.799703914156234</v>
      </c>
      <c r="D1135">
        <v>0.557004685787431</v>
      </c>
      <c r="E1135">
        <v>0.377286947838074</v>
      </c>
      <c r="F1135">
        <v>0.328481820160885</v>
      </c>
      <c r="G1135">
        <v>0.232237295075002</v>
      </c>
      <c r="H1135">
        <v>0.15742306674384</v>
      </c>
      <c r="I1135">
        <v>0.123386531682212</v>
      </c>
      <c r="J1135">
        <v>0.136260510499377</v>
      </c>
      <c r="K1135">
        <v>0.143194749374626</v>
      </c>
      <c r="L1135">
        <v>576.081375512426</v>
      </c>
      <c r="M1135">
        <v>13.2312904408488</v>
      </c>
      <c r="N1135">
        <v>44.6162707451968</v>
      </c>
      <c r="O1135">
        <v>42.580811006748</v>
      </c>
      <c r="P1135">
        <v>-0.067075179000712</v>
      </c>
      <c r="Q1135">
        <v>0.136699626178305</v>
      </c>
      <c r="R1135">
        <v>0.98258811150588</v>
      </c>
      <c r="S1135" t="s">
        <v>2803</v>
      </c>
      <c r="T1135" t="s">
        <v>3312</v>
      </c>
      <c r="U1135" t="s">
        <v>3312</v>
      </c>
      <c r="V1135" t="s">
        <v>3312</v>
      </c>
      <c r="W1135" t="s">
        <v>4445</v>
      </c>
      <c r="X1135">
        <v>3</v>
      </c>
      <c r="Y1135" t="s">
        <v>6086</v>
      </c>
      <c r="Z1135" t="s">
        <v>7728</v>
      </c>
      <c r="AA1135">
        <v>0.3533554325242854</v>
      </c>
      <c r="AB1135">
        <f>HYPERLINK("Melting_Curves/meltCurve_P32695_dusA.pdf", "Melting_Curves/meltCurve_P32695_dusA.pdf")</f>
        <v>0</v>
      </c>
    </row>
    <row r="1136" spans="1:28">
      <c r="A1136" t="s">
        <v>1162</v>
      </c>
      <c r="B1136">
        <v>0.999984544473304</v>
      </c>
      <c r="C1136">
        <v>1.24238915758908</v>
      </c>
      <c r="D1136">
        <v>0.663062755680328</v>
      </c>
      <c r="E1136">
        <v>0.427920309578073</v>
      </c>
      <c r="F1136">
        <v>0.243984417586681</v>
      </c>
      <c r="G1136">
        <v>0.160744410211182</v>
      </c>
      <c r="H1136">
        <v>0.098682258048989</v>
      </c>
      <c r="I1136">
        <v>0.0535122347921415</v>
      </c>
      <c r="J1136">
        <v>0.0253801487993562</v>
      </c>
      <c r="K1136">
        <v>0.0198949023714888</v>
      </c>
      <c r="L1136">
        <v>906.728651123174</v>
      </c>
      <c r="M1136">
        <v>19.8679639177164</v>
      </c>
      <c r="N1136">
        <v>45.9444252149042</v>
      </c>
      <c r="O1136">
        <v>45.1829113795358</v>
      </c>
      <c r="P1136">
        <v>-0.103106948151315</v>
      </c>
      <c r="Q1136">
        <v>0.062104687079904</v>
      </c>
      <c r="R1136">
        <v>0.9353774501612681</v>
      </c>
      <c r="S1136" t="s">
        <v>2804</v>
      </c>
      <c r="T1136" t="s">
        <v>3312</v>
      </c>
      <c r="U1136" t="s">
        <v>3312</v>
      </c>
      <c r="V1136" t="s">
        <v>3312</v>
      </c>
      <c r="W1136" t="s">
        <v>4446</v>
      </c>
      <c r="X1136">
        <v>2</v>
      </c>
      <c r="Y1136" t="s">
        <v>6087</v>
      </c>
      <c r="Z1136" t="s">
        <v>7729</v>
      </c>
      <c r="AA1136">
        <v>0.3445870557581537</v>
      </c>
      <c r="AB1136">
        <f>HYPERLINK("Melting_Curves/meltCurve_P32705_actP.pdf", "Melting_Curves/meltCurve_P32705_actP.pdf")</f>
        <v>0</v>
      </c>
    </row>
    <row r="1137" spans="1:28">
      <c r="A1137" t="s">
        <v>1163</v>
      </c>
      <c r="B1137">
        <v>0.999984544473304</v>
      </c>
      <c r="C1137">
        <v>0.8335974461079571</v>
      </c>
      <c r="D1137">
        <v>1.00479313158642</v>
      </c>
      <c r="E1137">
        <v>0.942040253222767</v>
      </c>
      <c r="F1137">
        <v>1.03616803253164</v>
      </c>
      <c r="G1137">
        <v>0.940550943409421</v>
      </c>
      <c r="H1137">
        <v>0.991497432691215</v>
      </c>
      <c r="I1137">
        <v>0.804398870348034</v>
      </c>
      <c r="J1137">
        <v>0.48075688794383</v>
      </c>
      <c r="K1137">
        <v>0.195124946701014</v>
      </c>
      <c r="L1137">
        <v>1951.82821032315</v>
      </c>
      <c r="M1137">
        <v>30.5395472138946</v>
      </c>
      <c r="N1137">
        <v>63.911501506879</v>
      </c>
      <c r="O1137">
        <v>63.639354744869</v>
      </c>
      <c r="P1137">
        <v>-0.119971912732256</v>
      </c>
      <c r="Q1137">
        <v>0</v>
      </c>
      <c r="R1137">
        <v>0.946763694228397</v>
      </c>
      <c r="S1137" t="s">
        <v>2805</v>
      </c>
      <c r="T1137" t="s">
        <v>3312</v>
      </c>
      <c r="U1137" t="s">
        <v>3312</v>
      </c>
      <c r="V1137" t="s">
        <v>3312</v>
      </c>
      <c r="W1137" t="s">
        <v>4447</v>
      </c>
      <c r="X1137">
        <v>1</v>
      </c>
      <c r="Y1137" t="s">
        <v>6088</v>
      </c>
      <c r="Z1137" t="s">
        <v>7730</v>
      </c>
      <c r="AA1137">
        <v>0.8865323641427858</v>
      </c>
      <c r="AB1137">
        <f>HYPERLINK("Melting_Curves/meltCurve_P32715_mdtO.pdf", "Melting_Curves/meltCurve_P32715_mdtO.pdf")</f>
        <v>0</v>
      </c>
    </row>
    <row r="1138" spans="1:28">
      <c r="A1138" t="s">
        <v>1164</v>
      </c>
      <c r="B1138">
        <v>0.999984544473304</v>
      </c>
      <c r="C1138">
        <v>0.824325562260424</v>
      </c>
      <c r="D1138">
        <v>0.627547928356913</v>
      </c>
      <c r="E1138">
        <v>0.37639193011261</v>
      </c>
      <c r="F1138">
        <v>0.132818236153502</v>
      </c>
      <c r="G1138">
        <v>0.08470323307081611</v>
      </c>
      <c r="H1138">
        <v>0.0328785350468661</v>
      </c>
      <c r="I1138">
        <v>0.0329290402638081</v>
      </c>
      <c r="J1138">
        <v>0.0150624982335026</v>
      </c>
      <c r="K1138">
        <v>0.0171517016050539</v>
      </c>
      <c r="L1138">
        <v>665.942618245574</v>
      </c>
      <c r="M1138">
        <v>14.9459571303688</v>
      </c>
      <c r="N1138">
        <v>44.5968387233541</v>
      </c>
      <c r="O1138">
        <v>43.7818882978175</v>
      </c>
      <c r="P1138">
        <v>-0.0847819667427662</v>
      </c>
      <c r="Q1138">
        <v>0.00667914617231155</v>
      </c>
      <c r="R1138">
        <v>0.996133988114193</v>
      </c>
      <c r="S1138" t="s">
        <v>2806</v>
      </c>
      <c r="T1138" t="s">
        <v>3312</v>
      </c>
      <c r="U1138" t="s">
        <v>3312</v>
      </c>
      <c r="V1138" t="s">
        <v>3312</v>
      </c>
      <c r="W1138" t="s">
        <v>4448</v>
      </c>
      <c r="X1138">
        <v>3</v>
      </c>
      <c r="Y1138" t="s">
        <v>6089</v>
      </c>
      <c r="Z1138" t="s">
        <v>7731</v>
      </c>
      <c r="AA1138">
        <v>0.2811038595984228</v>
      </c>
      <c r="AB1138">
        <f>HYPERLINK("Melting_Curves/meltCurve_P33030_yeiR.pdf", "Melting_Curves/meltCurve_P33030_yeiR.pdf")</f>
        <v>0</v>
      </c>
    </row>
    <row r="1139" spans="1:28">
      <c r="A1139" t="s">
        <v>1165</v>
      </c>
      <c r="B1139">
        <v>0.999984544473304</v>
      </c>
      <c r="C1139">
        <v>1.4056835880065</v>
      </c>
      <c r="D1139">
        <v>1.2615438870352</v>
      </c>
      <c r="E1139">
        <v>1.21218819452149</v>
      </c>
      <c r="F1139">
        <v>1.23771678771071</v>
      </c>
      <c r="G1139">
        <v>1.14831184088005</v>
      </c>
      <c r="H1139">
        <v>0.36115561693642</v>
      </c>
      <c r="I1139">
        <v>0.0569980895870505</v>
      </c>
      <c r="J1139">
        <v>0.0332488487523122</v>
      </c>
      <c r="K1139">
        <v>0.0315701994644349</v>
      </c>
      <c r="L1139">
        <v>14310.415685508</v>
      </c>
      <c r="M1139">
        <v>250</v>
      </c>
      <c r="N1139">
        <v>57.2610569575725</v>
      </c>
      <c r="O1139">
        <v>57.2379996736718</v>
      </c>
      <c r="P1139">
        <v>-1.04759336219039</v>
      </c>
      <c r="Q1139">
        <v>0.0406056250614999</v>
      </c>
      <c r="R1139">
        <v>0.881790961060558</v>
      </c>
      <c r="S1139" t="s">
        <v>2807</v>
      </c>
      <c r="T1139" t="s">
        <v>3312</v>
      </c>
      <c r="U1139" t="s">
        <v>3312</v>
      </c>
      <c r="V1139" t="s">
        <v>3312</v>
      </c>
      <c r="W1139" t="s">
        <v>4449</v>
      </c>
      <c r="X1139">
        <v>14</v>
      </c>
      <c r="Y1139" t="s">
        <v>6090</v>
      </c>
      <c r="Z1139" t="s">
        <v>7732</v>
      </c>
      <c r="AA1139">
        <v>0.6880265832565524</v>
      </c>
      <c r="AB1139">
        <f>HYPERLINK("Melting_Curves/meltCurve_P33136_mdoG.pdf", "Melting_Curves/meltCurve_P33136_mdoG.pdf")</f>
        <v>0</v>
      </c>
    </row>
    <row r="1140" spans="1:28">
      <c r="A1140" t="s">
        <v>1166</v>
      </c>
      <c r="B1140">
        <v>0.999984544473304</v>
      </c>
      <c r="C1140">
        <v>1.63353236394443</v>
      </c>
      <c r="D1140">
        <v>1.14662297179248</v>
      </c>
      <c r="E1140">
        <v>1.63719795365409</v>
      </c>
      <c r="F1140">
        <v>1.02945518870585</v>
      </c>
      <c r="G1140">
        <v>0.942168830245969</v>
      </c>
      <c r="H1140">
        <v>0.197034023328288</v>
      </c>
      <c r="I1140">
        <v>0.0429329635318903</v>
      </c>
      <c r="J1140">
        <v>0.0239311411949058</v>
      </c>
      <c r="K1140">
        <v>0.0193173711882207</v>
      </c>
      <c r="L1140">
        <v>3693.28527778788</v>
      </c>
      <c r="M1140">
        <v>65.8909402635832</v>
      </c>
      <c r="N1140">
        <v>56.098618200151</v>
      </c>
      <c r="O1140">
        <v>55.9999264957501</v>
      </c>
      <c r="P1140">
        <v>-0.286232843444174</v>
      </c>
      <c r="Q1140">
        <v>0.02693671684813</v>
      </c>
      <c r="R1140">
        <v>0.779636300383649</v>
      </c>
      <c r="S1140" t="s">
        <v>2808</v>
      </c>
      <c r="T1140" t="s">
        <v>3312</v>
      </c>
      <c r="U1140" t="s">
        <v>3312</v>
      </c>
      <c r="V1140" t="s">
        <v>3312</v>
      </c>
      <c r="W1140" t="s">
        <v>4450</v>
      </c>
      <c r="X1140">
        <v>18</v>
      </c>
      <c r="Y1140" t="s">
        <v>6091</v>
      </c>
      <c r="Z1140" t="s">
        <v>7733</v>
      </c>
      <c r="AA1140">
        <v>0.6462613686291915</v>
      </c>
      <c r="AB1140">
        <f>HYPERLINK("Melting_Curves/meltCurve_P33195_gcvP.pdf", "Melting_Curves/meltCurve_P33195_gcvP.pdf")</f>
        <v>0</v>
      </c>
    </row>
    <row r="1141" spans="1:28">
      <c r="A1141" t="s">
        <v>1167</v>
      </c>
      <c r="B1141">
        <v>0.999984544473304</v>
      </c>
      <c r="C1141">
        <v>0.789568586908466</v>
      </c>
      <c r="D1141">
        <v>0.698055156587708</v>
      </c>
      <c r="E1141">
        <v>0.554837335735113</v>
      </c>
      <c r="F1141">
        <v>0.273779923361935</v>
      </c>
      <c r="G1141">
        <v>0.180098212492317</v>
      </c>
      <c r="H1141">
        <v>0.111423037452564</v>
      </c>
      <c r="I1141">
        <v>0.0916000425663053</v>
      </c>
      <c r="J1141">
        <v>0.0601083608569162</v>
      </c>
      <c r="K1141">
        <v>0.07114839240628661</v>
      </c>
      <c r="L1141">
        <v>515.243929346826</v>
      </c>
      <c r="M1141">
        <v>11.1436393286971</v>
      </c>
      <c r="N1141">
        <v>46.4309051744163</v>
      </c>
      <c r="O1141">
        <v>44.8225790665977</v>
      </c>
      <c r="P1141">
        <v>-0.0607577341308974</v>
      </c>
      <c r="Q1141">
        <v>0.0227808135227123</v>
      </c>
      <c r="R1141">
        <v>0.987072327066134</v>
      </c>
      <c r="S1141" t="s">
        <v>2809</v>
      </c>
      <c r="T1141" t="s">
        <v>3312</v>
      </c>
      <c r="U1141" t="s">
        <v>3312</v>
      </c>
      <c r="V1141" t="s">
        <v>3312</v>
      </c>
      <c r="W1141" t="s">
        <v>4451</v>
      </c>
      <c r="X1141">
        <v>1</v>
      </c>
      <c r="Y1141" t="s">
        <v>6092</v>
      </c>
      <c r="Z1141" t="s">
        <v>7734</v>
      </c>
      <c r="AA1141">
        <v>0.361272336295981</v>
      </c>
      <c r="AB1141">
        <f>HYPERLINK("Melting_Curves/meltCurve_P33218_yebE.pdf", "Melting_Curves/meltCurve_P33218_yebE.pdf")</f>
        <v>0</v>
      </c>
    </row>
    <row r="1142" spans="1:28">
      <c r="A1142" t="s">
        <v>1168</v>
      </c>
      <c r="B1142">
        <v>0.999984544473304</v>
      </c>
      <c r="C1142">
        <v>0.9075335903023229</v>
      </c>
      <c r="D1142">
        <v>0.909381923640126</v>
      </c>
      <c r="E1142">
        <v>1.11888660662508</v>
      </c>
      <c r="F1142">
        <v>1.0552810886783</v>
      </c>
      <c r="G1142">
        <v>0.926134821035648</v>
      </c>
      <c r="H1142">
        <v>0.898843285962348</v>
      </c>
      <c r="I1142">
        <v>0.74889648818122</v>
      </c>
      <c r="J1142">
        <v>0.518839047344135</v>
      </c>
      <c r="K1142">
        <v>0.619539958168657</v>
      </c>
      <c r="L1142">
        <v>1822.82356235915</v>
      </c>
      <c r="M1142">
        <v>30.473902946407</v>
      </c>
      <c r="O1142">
        <v>59.5600678425059</v>
      </c>
      <c r="P1142">
        <v>-0.0575648757317405</v>
      </c>
      <c r="Q1142">
        <v>0.549969360372857</v>
      </c>
      <c r="R1142">
        <v>0.847688410667515</v>
      </c>
      <c r="S1142" t="s">
        <v>2810</v>
      </c>
      <c r="T1142" t="s">
        <v>3312</v>
      </c>
      <c r="U1142" t="s">
        <v>3312</v>
      </c>
      <c r="V1142" t="s">
        <v>3312</v>
      </c>
      <c r="W1142" t="s">
        <v>4452</v>
      </c>
      <c r="X1142">
        <v>3</v>
      </c>
      <c r="Y1142" t="s">
        <v>6093</v>
      </c>
      <c r="Z1142" t="s">
        <v>7735</v>
      </c>
      <c r="AA1142">
        <v>0.8939615222672815</v>
      </c>
      <c r="AB1142">
        <f>HYPERLINK("Melting_Curves/meltCurve_P33219_yebF.pdf", "Melting_Curves/meltCurve_P33219_yebF.pdf")</f>
        <v>0</v>
      </c>
    </row>
    <row r="1143" spans="1:28">
      <c r="A1143" t="s">
        <v>1169</v>
      </c>
      <c r="B1143">
        <v>0.999984544473304</v>
      </c>
      <c r="C1143">
        <v>1.08082891249918</v>
      </c>
      <c r="D1143">
        <v>0.949623696153711</v>
      </c>
      <c r="E1143">
        <v>0.648816696887804</v>
      </c>
      <c r="F1143">
        <v>0.323273462431317</v>
      </c>
      <c r="G1143">
        <v>0.08335461680400449</v>
      </c>
      <c r="H1143">
        <v>0.0881461033965464</v>
      </c>
      <c r="I1143">
        <v>0.056921193146057</v>
      </c>
      <c r="J1143">
        <v>0.0531013675230026</v>
      </c>
      <c r="K1143">
        <v>0.0583355649609093</v>
      </c>
      <c r="L1143">
        <v>1128.07444719623</v>
      </c>
      <c r="M1143">
        <v>23.5653464255959</v>
      </c>
      <c r="N1143">
        <v>48.099432240165</v>
      </c>
      <c r="O1143">
        <v>47.529331595562</v>
      </c>
      <c r="P1143">
        <v>-0.117365971941051</v>
      </c>
      <c r="Q1143">
        <v>0.0531467239009912</v>
      </c>
      <c r="R1143">
        <v>0.9934708160305949</v>
      </c>
      <c r="S1143" t="s">
        <v>2811</v>
      </c>
      <c r="T1143" t="s">
        <v>3312</v>
      </c>
      <c r="U1143" t="s">
        <v>3312</v>
      </c>
      <c r="V1143" t="s">
        <v>3312</v>
      </c>
      <c r="W1143" t="s">
        <v>4453</v>
      </c>
      <c r="X1143">
        <v>2</v>
      </c>
      <c r="Y1143" t="s">
        <v>6094</v>
      </c>
      <c r="Z1143" t="s">
        <v>7736</v>
      </c>
      <c r="AA1143">
        <v>0.4052755717721095</v>
      </c>
      <c r="AB1143">
        <f>HYPERLINK("Melting_Curves/meltCurve_P33221_purT.pdf", "Melting_Curves/meltCurve_P33221_purT.pdf")</f>
        <v>0</v>
      </c>
    </row>
    <row r="1144" spans="1:28">
      <c r="A1144" t="s">
        <v>1170</v>
      </c>
      <c r="B1144">
        <v>0.999984544473304</v>
      </c>
      <c r="C1144">
        <v>1.29923605679118</v>
      </c>
      <c r="D1144">
        <v>1.24257141672039</v>
      </c>
      <c r="E1144">
        <v>1.1056872520121</v>
      </c>
      <c r="F1144">
        <v>1.00756915416679</v>
      </c>
      <c r="G1144">
        <v>0.917544833701498</v>
      </c>
      <c r="H1144">
        <v>0.274789822793749</v>
      </c>
      <c r="I1144">
        <v>0.0778655539986452</v>
      </c>
      <c r="J1144">
        <v>0.047239419029521</v>
      </c>
      <c r="K1144">
        <v>0.0496404423249869</v>
      </c>
      <c r="L1144">
        <v>3013.3522498833</v>
      </c>
      <c r="M1144">
        <v>53.6743395225378</v>
      </c>
      <c r="N1144">
        <v>56.2590658175635</v>
      </c>
      <c r="O1144">
        <v>56.0636281256975</v>
      </c>
      <c r="P1144">
        <v>-0.226638339488924</v>
      </c>
      <c r="Q1144">
        <v>0.0530924915078616</v>
      </c>
      <c r="R1144">
        <v>0.9352019838328069</v>
      </c>
      <c r="S1144" t="s">
        <v>2812</v>
      </c>
      <c r="T1144" t="s">
        <v>3312</v>
      </c>
      <c r="U1144" t="s">
        <v>3312</v>
      </c>
      <c r="V1144" t="s">
        <v>3312</v>
      </c>
      <c r="W1144" t="s">
        <v>4454</v>
      </c>
      <c r="X1144">
        <v>8</v>
      </c>
      <c r="Y1144" t="s">
        <v>6095</v>
      </c>
      <c r="Z1144" t="s">
        <v>7737</v>
      </c>
      <c r="AA1144">
        <v>0.6592886363555603</v>
      </c>
      <c r="AB1144">
        <f>HYPERLINK("Melting_Curves/meltCurve_P33224_aidB.pdf", "Melting_Curves/meltCurve_P33224_aidB.pdf")</f>
        <v>0</v>
      </c>
    </row>
    <row r="1145" spans="1:28">
      <c r="A1145" t="s">
        <v>1171</v>
      </c>
      <c r="B1145">
        <v>0.999984544473304</v>
      </c>
      <c r="C1145">
        <v>0.841134927310404</v>
      </c>
      <c r="D1145">
        <v>1.00343402178364</v>
      </c>
      <c r="E1145">
        <v>0.93858500515705</v>
      </c>
      <c r="F1145">
        <v>1.14602157781249</v>
      </c>
      <c r="G1145">
        <v>0.876168942347693</v>
      </c>
      <c r="H1145">
        <v>0.80341156599437</v>
      </c>
      <c r="I1145">
        <v>0.676676981002843</v>
      </c>
      <c r="J1145">
        <v>0.633453480948563</v>
      </c>
      <c r="K1145">
        <v>0.532565426203224</v>
      </c>
      <c r="L1145">
        <v>1179.0282263929</v>
      </c>
      <c r="M1145">
        <v>20.1501941166973</v>
      </c>
      <c r="O1145">
        <v>57.9448608445248</v>
      </c>
      <c r="P1145">
        <v>-0.040989860273394</v>
      </c>
      <c r="Q1145">
        <v>0.528525284495996</v>
      </c>
      <c r="R1145">
        <v>0.812887499727751</v>
      </c>
      <c r="S1145" t="s">
        <v>2813</v>
      </c>
      <c r="T1145" t="s">
        <v>3312</v>
      </c>
      <c r="U1145" t="s">
        <v>3312</v>
      </c>
      <c r="V1145" t="s">
        <v>3312</v>
      </c>
      <c r="W1145" t="s">
        <v>4455</v>
      </c>
      <c r="X1145">
        <v>7</v>
      </c>
      <c r="Y1145" t="s">
        <v>6096</v>
      </c>
      <c r="Z1145" t="s">
        <v>7738</v>
      </c>
      <c r="AA1145">
        <v>0.869206233359732</v>
      </c>
      <c r="AB1145">
        <f>HYPERLINK("Melting_Curves/meltCurve_P33362_yehZ.pdf", "Melting_Curves/meltCurve_P33362_yehZ.pdf")</f>
        <v>0</v>
      </c>
    </row>
    <row r="1146" spans="1:28">
      <c r="A1146" t="s">
        <v>1172</v>
      </c>
      <c r="B1146">
        <v>0.999984544473304</v>
      </c>
      <c r="C1146">
        <v>1.41771156378076</v>
      </c>
      <c r="D1146">
        <v>0.957495053272136</v>
      </c>
      <c r="E1146">
        <v>1.20707441977804</v>
      </c>
      <c r="F1146">
        <v>0.388993577052108</v>
      </c>
      <c r="G1146">
        <v>0.225931492863758</v>
      </c>
      <c r="H1146">
        <v>0.0679767977232389</v>
      </c>
      <c r="I1146">
        <v>0.0446202619710291</v>
      </c>
      <c r="J1146">
        <v>0.0305636467158728</v>
      </c>
      <c r="K1146">
        <v>0.0274995372018085</v>
      </c>
      <c r="L1146">
        <v>8981.685515001131</v>
      </c>
      <c r="M1146">
        <v>179.597598777688</v>
      </c>
      <c r="N1146">
        <v>50.0581976978266</v>
      </c>
      <c r="O1146">
        <v>50.0038302984417</v>
      </c>
      <c r="P1146">
        <v>-0.826698377643582</v>
      </c>
      <c r="Q1146">
        <v>0.0793172235490601</v>
      </c>
      <c r="R1146">
        <v>0.908934309888906</v>
      </c>
      <c r="S1146" t="s">
        <v>2814</v>
      </c>
      <c r="T1146" t="s">
        <v>3312</v>
      </c>
      <c r="U1146" t="s">
        <v>3312</v>
      </c>
      <c r="V1146" t="s">
        <v>3312</v>
      </c>
      <c r="W1146" t="s">
        <v>4456</v>
      </c>
      <c r="X1146">
        <v>18</v>
      </c>
      <c r="Y1146" t="s">
        <v>6097</v>
      </c>
      <c r="Z1146" t="s">
        <v>7739</v>
      </c>
      <c r="AA1146">
        <v>0.478744901200032</v>
      </c>
      <c r="AB1146">
        <f>HYPERLINK("Melting_Curves/meltCurve_P33363_bglX.pdf", "Melting_Curves/meltCurve_P33363_bglX.pdf")</f>
        <v>0</v>
      </c>
    </row>
    <row r="1147" spans="1:28">
      <c r="A1147" t="s">
        <v>1173</v>
      </c>
      <c r="B1147">
        <v>0.999984544473304</v>
      </c>
      <c r="C1147">
        <v>0.826770179982776</v>
      </c>
      <c r="D1147">
        <v>0.841684143664521</v>
      </c>
      <c r="E1147">
        <v>0.756085046422581</v>
      </c>
      <c r="F1147">
        <v>0.680290137097319</v>
      </c>
      <c r="G1147">
        <v>0.377297131976551</v>
      </c>
      <c r="H1147">
        <v>0.161200746448292</v>
      </c>
      <c r="I1147">
        <v>0.0613313913568647</v>
      </c>
      <c r="J1147">
        <v>0.0510296917408411</v>
      </c>
      <c r="K1147">
        <v>0.0456789593989502</v>
      </c>
      <c r="L1147">
        <v>647.361421908369</v>
      </c>
      <c r="M1147">
        <v>12.604819719687</v>
      </c>
      <c r="N1147">
        <v>51.3582453959996</v>
      </c>
      <c r="O1147">
        <v>50.1170102321346</v>
      </c>
      <c r="P1147">
        <v>-0.0628894786806561</v>
      </c>
      <c r="Q1147">
        <v>0</v>
      </c>
      <c r="R1147">
        <v>0.96374363949208</v>
      </c>
      <c r="S1147" t="s">
        <v>2815</v>
      </c>
      <c r="T1147" t="s">
        <v>3312</v>
      </c>
      <c r="U1147" t="s">
        <v>3312</v>
      </c>
      <c r="V1147" t="s">
        <v>3312</v>
      </c>
      <c r="W1147" t="s">
        <v>4457</v>
      </c>
      <c r="X1147">
        <v>3</v>
      </c>
      <c r="Y1147" t="s">
        <v>6098</v>
      </c>
      <c r="Z1147" t="s">
        <v>7740</v>
      </c>
      <c r="AA1147">
        <v>0.5027021121959464</v>
      </c>
      <c r="AB1147">
        <f>HYPERLINK("Melting_Curves/meltCurve_P33368_yohF.pdf", "Melting_Curves/meltCurve_P33368_yohF.pdf")</f>
        <v>0</v>
      </c>
    </row>
    <row r="1148" spans="1:28">
      <c r="A1148" t="s">
        <v>1174</v>
      </c>
      <c r="B1148">
        <v>0.999984544473304</v>
      </c>
      <c r="C1148">
        <v>1.31614896161828</v>
      </c>
      <c r="D1148">
        <v>1.11790972439307</v>
      </c>
      <c r="E1148">
        <v>1.45220033186543</v>
      </c>
      <c r="F1148">
        <v>1.09399161468814</v>
      </c>
      <c r="G1148">
        <v>1.05911419578497</v>
      </c>
      <c r="H1148">
        <v>0.693240797092267</v>
      </c>
      <c r="I1148">
        <v>0.165821869607014</v>
      </c>
      <c r="J1148">
        <v>0.0361646653694429</v>
      </c>
      <c r="K1148">
        <v>0.0288181283939813</v>
      </c>
      <c r="L1148">
        <v>2735.60703913114</v>
      </c>
      <c r="M1148">
        <v>46.8169862985663</v>
      </c>
      <c r="N1148">
        <v>58.5088664779947</v>
      </c>
      <c r="O1148">
        <v>58.3256210750936</v>
      </c>
      <c r="P1148">
        <v>-0.194681213477662</v>
      </c>
      <c r="Q1148">
        <v>0.029848691625392</v>
      </c>
      <c r="R1148">
        <v>0.870578953920262</v>
      </c>
      <c r="S1148" t="s">
        <v>2816</v>
      </c>
      <c r="T1148" t="s">
        <v>3312</v>
      </c>
      <c r="U1148" t="s">
        <v>3312</v>
      </c>
      <c r="V1148" t="s">
        <v>3312</v>
      </c>
      <c r="W1148" t="s">
        <v>4458</v>
      </c>
      <c r="X1148">
        <v>19</v>
      </c>
      <c r="Y1148" t="s">
        <v>6099</v>
      </c>
      <c r="Z1148" t="s">
        <v>7741</v>
      </c>
      <c r="AA1148">
        <v>0.7256368611062091</v>
      </c>
      <c r="AB1148">
        <f>HYPERLINK("Melting_Curves/meltCurve_P33570_tktB.pdf", "Melting_Curves/meltCurve_P33570_tktB.pdf")</f>
        <v>0</v>
      </c>
    </row>
    <row r="1149" spans="1:28">
      <c r="A1149" t="s">
        <v>1175</v>
      </c>
      <c r="B1149">
        <v>0.999984544473304</v>
      </c>
      <c r="C1149">
        <v>1.01980120980853</v>
      </c>
      <c r="D1149">
        <v>1.04861527515078</v>
      </c>
      <c r="E1149">
        <v>0.945267136547387</v>
      </c>
      <c r="F1149">
        <v>0.865247253770606</v>
      </c>
      <c r="G1149">
        <v>0.229392394859286</v>
      </c>
      <c r="H1149">
        <v>0.087124655225413</v>
      </c>
      <c r="I1149">
        <v>0.0443923783209735</v>
      </c>
      <c r="J1149">
        <v>0.0292099767319191</v>
      </c>
      <c r="K1149">
        <v>0.0239992377344393</v>
      </c>
      <c r="L1149">
        <v>2329.70876484624</v>
      </c>
      <c r="M1149">
        <v>44.6598111729452</v>
      </c>
      <c r="N1149">
        <v>52.2640777188968</v>
      </c>
      <c r="O1149">
        <v>52.0613952814847</v>
      </c>
      <c r="P1149">
        <v>-0.205809301264911</v>
      </c>
      <c r="Q1149">
        <v>0.0403268915946982</v>
      </c>
      <c r="R1149">
        <v>0.99670497637555</v>
      </c>
      <c r="S1149" t="s">
        <v>2817</v>
      </c>
      <c r="T1149" t="s">
        <v>3312</v>
      </c>
      <c r="U1149" t="s">
        <v>3312</v>
      </c>
      <c r="V1149" t="s">
        <v>3312</v>
      </c>
      <c r="W1149" t="s">
        <v>4459</v>
      </c>
      <c r="X1149">
        <v>7</v>
      </c>
      <c r="Y1149" t="s">
        <v>6100</v>
      </c>
      <c r="Z1149" t="s">
        <v>7742</v>
      </c>
      <c r="AA1149">
        <v>0.5282315080256209</v>
      </c>
      <c r="AB1149">
        <f>HYPERLINK("Melting_Curves/meltCurve_P33590_nikA.pdf", "Melting_Curves/meltCurve_P33590_nikA.pdf")</f>
        <v>0</v>
      </c>
    </row>
    <row r="1150" spans="1:28">
      <c r="A1150" t="s">
        <v>1176</v>
      </c>
      <c r="B1150">
        <v>0.999984544473304</v>
      </c>
      <c r="C1150">
        <v>0.5666494150974209</v>
      </c>
      <c r="D1150">
        <v>0.110702131005943</v>
      </c>
      <c r="E1150">
        <v>0.0797873633225591</v>
      </c>
      <c r="F1150">
        <v>0.0395759241387481</v>
      </c>
      <c r="G1150">
        <v>0.0241218331079563</v>
      </c>
      <c r="H1150">
        <v>0.0238298114275107</v>
      </c>
      <c r="I1150">
        <v>0.010679557397684</v>
      </c>
      <c r="J1150">
        <v>0.0141928654706908</v>
      </c>
      <c r="K1150">
        <v>0.00755174862932688</v>
      </c>
      <c r="L1150">
        <v>1558.88122511313</v>
      </c>
      <c r="M1150">
        <v>38.8170456915628</v>
      </c>
      <c r="N1150">
        <v>40.2216882675496</v>
      </c>
      <c r="O1150">
        <v>40.0535695628347</v>
      </c>
      <c r="P1150">
        <v>-0.235248979998915</v>
      </c>
      <c r="Q1150">
        <v>0.0290308517221385</v>
      </c>
      <c r="R1150">
        <v>0.995257186047563</v>
      </c>
      <c r="S1150" t="s">
        <v>2818</v>
      </c>
      <c r="T1150" t="s">
        <v>3312</v>
      </c>
      <c r="U1150" t="s">
        <v>3312</v>
      </c>
      <c r="V1150" t="s">
        <v>3312</v>
      </c>
      <c r="W1150" t="s">
        <v>4460</v>
      </c>
      <c r="X1150">
        <v>1</v>
      </c>
      <c r="Y1150" t="s">
        <v>6101</v>
      </c>
      <c r="Z1150" t="s">
        <v>7743</v>
      </c>
      <c r="AA1150">
        <v>0.1351304852712307</v>
      </c>
      <c r="AB1150">
        <f>HYPERLINK("Melting_Curves/meltCurve_P33596_recX.pdf", "Melting_Curves/meltCurve_P33596_recX.pdf")</f>
        <v>0</v>
      </c>
    </row>
    <row r="1151" spans="1:28">
      <c r="A1151" t="s">
        <v>1177</v>
      </c>
      <c r="B1151">
        <v>0.999984544473304</v>
      </c>
      <c r="C1151">
        <v>0.764960979044403</v>
      </c>
      <c r="D1151">
        <v>0.467444870186357</v>
      </c>
      <c r="E1151">
        <v>0.276365658334458</v>
      </c>
      <c r="F1151">
        <v>0.213344705297484</v>
      </c>
      <c r="G1151">
        <v>0.143969901154679</v>
      </c>
      <c r="H1151">
        <v>0.130406140708411</v>
      </c>
      <c r="I1151">
        <v>0.0956905787771701</v>
      </c>
      <c r="J1151">
        <v>0.0596883666693147</v>
      </c>
      <c r="K1151">
        <v>0.0595540917901505</v>
      </c>
      <c r="L1151">
        <v>703.940444811686</v>
      </c>
      <c r="M1151">
        <v>16.5570118013811</v>
      </c>
      <c r="N1151">
        <v>43.0656840344222</v>
      </c>
      <c r="O1151">
        <v>41.9104845426259</v>
      </c>
      <c r="P1151">
        <v>-0.0893655583966103</v>
      </c>
      <c r="Q1151">
        <v>0.09522443926272429</v>
      </c>
      <c r="R1151">
        <v>0.986067095587478</v>
      </c>
      <c r="S1151" t="s">
        <v>2819</v>
      </c>
      <c r="T1151" t="s">
        <v>3312</v>
      </c>
      <c r="U1151" t="s">
        <v>3312</v>
      </c>
      <c r="V1151" t="s">
        <v>3312</v>
      </c>
      <c r="W1151" t="s">
        <v>4461</v>
      </c>
      <c r="X1151">
        <v>5</v>
      </c>
      <c r="Y1151" t="s">
        <v>6102</v>
      </c>
      <c r="Z1151" t="s">
        <v>7744</v>
      </c>
      <c r="AA1151">
        <v>0.2816104872758115</v>
      </c>
      <c r="AB1151">
        <f>HYPERLINK("Melting_Curves/meltCurve_P33599_nuoC.pdf", "Melting_Curves/meltCurve_P33599_nuoC.pdf")</f>
        <v>0</v>
      </c>
    </row>
    <row r="1152" spans="1:28">
      <c r="A1152" t="s">
        <v>1178</v>
      </c>
      <c r="B1152">
        <v>0.999984544473304</v>
      </c>
      <c r="C1152">
        <v>1.11892389556113</v>
      </c>
      <c r="D1152">
        <v>0.469162902824259</v>
      </c>
      <c r="E1152">
        <v>0.44764605243049</v>
      </c>
      <c r="F1152">
        <v>0.283405010186225</v>
      </c>
      <c r="G1152">
        <v>0.175086702633732</v>
      </c>
      <c r="H1152">
        <v>0.0877197579296833</v>
      </c>
      <c r="I1152">
        <v>0.06917232358510959</v>
      </c>
      <c r="J1152">
        <v>0.0569998927237212</v>
      </c>
      <c r="K1152">
        <v>0.0807271316762537</v>
      </c>
      <c r="L1152">
        <v>717.522340592289</v>
      </c>
      <c r="M1152">
        <v>16.054358177646</v>
      </c>
      <c r="N1152">
        <v>45.1987978989881</v>
      </c>
      <c r="O1152">
        <v>44.0171185938825</v>
      </c>
      <c r="P1152">
        <v>-0.0836959258516389</v>
      </c>
      <c r="Q1152">
        <v>0.0821761481676991</v>
      </c>
      <c r="R1152">
        <v>0.918214987667984</v>
      </c>
      <c r="S1152" t="s">
        <v>2820</v>
      </c>
      <c r="T1152" t="s">
        <v>3312</v>
      </c>
      <c r="U1152" t="s">
        <v>3312</v>
      </c>
      <c r="V1152" t="s">
        <v>3312</v>
      </c>
      <c r="W1152" t="s">
        <v>4462</v>
      </c>
      <c r="X1152">
        <v>19</v>
      </c>
      <c r="Y1152" t="s">
        <v>6103</v>
      </c>
      <c r="Z1152" t="s">
        <v>7745</v>
      </c>
      <c r="AA1152">
        <v>0.3367738363638252</v>
      </c>
      <c r="AB1152">
        <f>HYPERLINK("Melting_Curves/meltCurve_P33602_nuoG.pdf", "Melting_Curves/meltCurve_P33602_nuoG.pdf")</f>
        <v>0</v>
      </c>
    </row>
    <row r="1153" spans="1:28">
      <c r="A1153" t="s">
        <v>1179</v>
      </c>
      <c r="B1153">
        <v>0.999984544473304</v>
      </c>
      <c r="C1153">
        <v>1.28937712646409</v>
      </c>
      <c r="D1153">
        <v>0.253341564725955</v>
      </c>
      <c r="E1153">
        <v>0.224047890580345</v>
      </c>
      <c r="F1153">
        <v>0.121708898832992</v>
      </c>
      <c r="G1153">
        <v>0.09268061085068929</v>
      </c>
      <c r="H1153">
        <v>0.0613196492612627</v>
      </c>
      <c r="I1153">
        <v>0.0706943385183248</v>
      </c>
      <c r="J1153">
        <v>0.04558411980299</v>
      </c>
      <c r="K1153">
        <v>0.0327058835693123</v>
      </c>
      <c r="L1153">
        <v>10683.9394927126</v>
      </c>
      <c r="M1153">
        <v>250</v>
      </c>
      <c r="N1153">
        <v>42.7708306173812</v>
      </c>
      <c r="O1153">
        <v>42.7330232021292</v>
      </c>
      <c r="P1153">
        <v>-1.32702210911946</v>
      </c>
      <c r="Q1153">
        <v>0.092677336575006</v>
      </c>
      <c r="R1153">
        <v>0.939161470588616</v>
      </c>
      <c r="S1153" t="s">
        <v>2821</v>
      </c>
      <c r="T1153" t="s">
        <v>3312</v>
      </c>
      <c r="U1153" t="s">
        <v>3312</v>
      </c>
      <c r="V1153" t="s">
        <v>3312</v>
      </c>
      <c r="W1153" t="s">
        <v>4463</v>
      </c>
      <c r="X1153">
        <v>1</v>
      </c>
      <c r="Y1153" t="s">
        <v>6104</v>
      </c>
      <c r="Z1153" t="s">
        <v>7746</v>
      </c>
      <c r="AA1153">
        <v>0.2662181596059658</v>
      </c>
      <c r="AB1153">
        <f>HYPERLINK("Melting_Curves/meltCurve_P33607_nuoL.pdf", "Melting_Curves/meltCurve_P33607_nuoL.pdf")</f>
        <v>0</v>
      </c>
    </row>
    <row r="1154" spans="1:28">
      <c r="A1154" t="s">
        <v>1180</v>
      </c>
      <c r="B1154">
        <v>0.999984544473304</v>
      </c>
      <c r="C1154">
        <v>1.1381365523294</v>
      </c>
      <c r="D1154">
        <v>0.742959413182212</v>
      </c>
      <c r="E1154">
        <v>0.80888255111298</v>
      </c>
      <c r="F1154">
        <v>0.234379884935188</v>
      </c>
      <c r="G1154">
        <v>0.0850800414384016</v>
      </c>
      <c r="H1154">
        <v>0.070387068447456</v>
      </c>
      <c r="I1154">
        <v>0.07666410662764279</v>
      </c>
      <c r="J1154">
        <v>0.0480874576316567</v>
      </c>
      <c r="K1154">
        <v>0.061358519248499</v>
      </c>
      <c r="L1154">
        <v>1474.6832893253</v>
      </c>
      <c r="M1154">
        <v>30.6206846222021</v>
      </c>
      <c r="N1154">
        <v>48.3476874354543</v>
      </c>
      <c r="O1154">
        <v>47.9557052514225</v>
      </c>
      <c r="P1154">
        <v>-0.150672474689288</v>
      </c>
      <c r="Q1154">
        <v>0.056120205325113</v>
      </c>
      <c r="R1154">
        <v>0.955028820821613</v>
      </c>
      <c r="S1154" t="s">
        <v>2822</v>
      </c>
      <c r="T1154" t="s">
        <v>3312</v>
      </c>
      <c r="U1154" t="s">
        <v>3312</v>
      </c>
      <c r="V1154" t="s">
        <v>3312</v>
      </c>
      <c r="W1154" t="s">
        <v>4464</v>
      </c>
      <c r="X1154">
        <v>4</v>
      </c>
      <c r="Y1154" t="s">
        <v>6105</v>
      </c>
      <c r="Z1154" t="s">
        <v>7747</v>
      </c>
      <c r="AA1154">
        <v>0.4126154352714301</v>
      </c>
      <c r="AB1154">
        <f>HYPERLINK("Melting_Curves/meltCurve_P33643_rluD.pdf", "Melting_Curves/meltCurve_P33643_rluD.pdf")</f>
        <v>0</v>
      </c>
    </row>
    <row r="1155" spans="1:28">
      <c r="A1155" t="s">
        <v>1181</v>
      </c>
      <c r="B1155">
        <v>0.999984544473304</v>
      </c>
      <c r="C1155">
        <v>0.862495792569352</v>
      </c>
      <c r="D1155">
        <v>1.13031056761161</v>
      </c>
      <c r="E1155">
        <v>0.946594446187413</v>
      </c>
      <c r="F1155">
        <v>1.11559989030964</v>
      </c>
      <c r="G1155">
        <v>0.883684543781597</v>
      </c>
      <c r="H1155">
        <v>0.699198467028628</v>
      </c>
      <c r="I1155">
        <v>0.469135559828061</v>
      </c>
      <c r="J1155">
        <v>0.191448836882064</v>
      </c>
      <c r="K1155">
        <v>0.0848114422158544</v>
      </c>
      <c r="L1155">
        <v>1262.86516001668</v>
      </c>
      <c r="M1155">
        <v>21.0168893846381</v>
      </c>
      <c r="N1155">
        <v>60.0881156724342</v>
      </c>
      <c r="O1155">
        <v>59.5520420810469</v>
      </c>
      <c r="P1155">
        <v>-0.0882314495374171</v>
      </c>
      <c r="Q1155">
        <v>0</v>
      </c>
      <c r="R1155">
        <v>0.95102654516499</v>
      </c>
      <c r="S1155" t="s">
        <v>2823</v>
      </c>
      <c r="T1155" t="s">
        <v>3312</v>
      </c>
      <c r="U1155" t="s">
        <v>3312</v>
      </c>
      <c r="V1155" t="s">
        <v>3312</v>
      </c>
      <c r="W1155" t="s">
        <v>4465</v>
      </c>
      <c r="X1155">
        <v>6</v>
      </c>
      <c r="Y1155" t="s">
        <v>6106</v>
      </c>
      <c r="Z1155" t="s">
        <v>7748</v>
      </c>
      <c r="AA1155">
        <v>0.7705012274282124</v>
      </c>
      <c r="AB1155">
        <f>HYPERLINK("Melting_Curves/meltCurve_P33644_yfiH.pdf", "Melting_Curves/meltCurve_P33644_yfiH.pdf")</f>
        <v>0</v>
      </c>
    </row>
    <row r="1156" spans="1:28">
      <c r="A1156" t="s">
        <v>1182</v>
      </c>
      <c r="B1156">
        <v>0.999984544473304</v>
      </c>
      <c r="C1156">
        <v>1.12876823312417</v>
      </c>
      <c r="D1156">
        <v>1.25094506928129</v>
      </c>
      <c r="E1156">
        <v>1.11807714866896</v>
      </c>
      <c r="F1156">
        <v>0.216977852161246</v>
      </c>
      <c r="G1156">
        <v>0.224173493939204</v>
      </c>
      <c r="H1156">
        <v>0.125628806297031</v>
      </c>
      <c r="I1156">
        <v>0</v>
      </c>
      <c r="J1156">
        <v>0</v>
      </c>
      <c r="K1156">
        <v>0</v>
      </c>
      <c r="L1156">
        <v>12466.0349902994</v>
      </c>
      <c r="M1156">
        <v>250</v>
      </c>
      <c r="N1156">
        <v>49.8942289673387</v>
      </c>
      <c r="O1156">
        <v>49.860929041345</v>
      </c>
      <c r="P1156">
        <v>-1.16579152084909</v>
      </c>
      <c r="Q1156">
        <v>0.06996045395400639</v>
      </c>
      <c r="R1156">
        <v>0.94878606190154</v>
      </c>
      <c r="S1156" t="s">
        <v>2824</v>
      </c>
      <c r="T1156" t="s">
        <v>3312</v>
      </c>
      <c r="U1156" t="s">
        <v>3312</v>
      </c>
      <c r="V1156" t="s">
        <v>3312</v>
      </c>
      <c r="W1156" t="s">
        <v>4466</v>
      </c>
      <c r="X1156">
        <v>1</v>
      </c>
      <c r="Y1156" t="s">
        <v>6107</v>
      </c>
      <c r="Z1156" t="s">
        <v>7749</v>
      </c>
      <c r="AA1156">
        <v>0.4688471387751592</v>
      </c>
      <c r="AB1156">
        <f>HYPERLINK("Melting_Curves/meltCurve_P33913_yejA.pdf", "Melting_Curves/meltCurve_P33913_yejA.pdf")</f>
        <v>0</v>
      </c>
    </row>
    <row r="1157" spans="1:28">
      <c r="A1157" t="s">
        <v>1183</v>
      </c>
      <c r="B1157">
        <v>0.999984544473304</v>
      </c>
      <c r="C1157">
        <v>0.888177574057079</v>
      </c>
      <c r="D1157">
        <v>0.639818086366121</v>
      </c>
      <c r="E1157">
        <v>0.787670734643857</v>
      </c>
      <c r="F1157">
        <v>0.672195697533898</v>
      </c>
      <c r="G1157">
        <v>0.572756123097792</v>
      </c>
      <c r="H1157">
        <v>0.542915250091848</v>
      </c>
      <c r="I1157">
        <v>0.510148374950827</v>
      </c>
      <c r="J1157">
        <v>0.325178202561723</v>
      </c>
      <c r="K1157">
        <v>0.491322408144423</v>
      </c>
      <c r="L1157">
        <v>287.424096037061</v>
      </c>
      <c r="M1157">
        <v>5.72828495829506</v>
      </c>
      <c r="N1157">
        <v>59.1034052947683</v>
      </c>
      <c r="O1157">
        <v>45.0693720937173</v>
      </c>
      <c r="P1157">
        <v>-0.0226615873075842</v>
      </c>
      <c r="Q1157">
        <v>0.289519086061671</v>
      </c>
      <c r="R1157">
        <v>0.836765804136095</v>
      </c>
      <c r="S1157" t="s">
        <v>2825</v>
      </c>
      <c r="T1157" t="s">
        <v>3312</v>
      </c>
      <c r="U1157" t="s">
        <v>3312</v>
      </c>
      <c r="V1157" t="s">
        <v>3312</v>
      </c>
      <c r="W1157" t="s">
        <v>4467</v>
      </c>
      <c r="X1157">
        <v>1</v>
      </c>
      <c r="Y1157" t="s">
        <v>6108</v>
      </c>
      <c r="Z1157" t="s">
        <v>7750</v>
      </c>
      <c r="AA1157">
        <v>0.6350881276899332</v>
      </c>
      <c r="AB1157">
        <f>HYPERLINK("Melting_Curves/meltCurve_P33916_yejF.pdf", "Melting_Curves/meltCurve_P33916_yejF.pdf")</f>
        <v>0</v>
      </c>
    </row>
    <row r="1158" spans="1:28">
      <c r="A1158" t="s">
        <v>1184</v>
      </c>
      <c r="B1158">
        <v>0.999984544473304</v>
      </c>
      <c r="C1158">
        <v>1.1326898631409</v>
      </c>
      <c r="D1158">
        <v>0.7602883803331409</v>
      </c>
      <c r="E1158">
        <v>1.08487092645326</v>
      </c>
      <c r="F1158">
        <v>0.750352683485971</v>
      </c>
      <c r="G1158">
        <v>0.677046136022675</v>
      </c>
      <c r="H1158">
        <v>0.628897731194576</v>
      </c>
      <c r="I1158">
        <v>0.477790841682436</v>
      </c>
      <c r="J1158">
        <v>0.415733318228586</v>
      </c>
      <c r="K1158">
        <v>0.274979324473235</v>
      </c>
      <c r="L1158">
        <v>474.098156120049</v>
      </c>
      <c r="M1158">
        <v>7.87711798654037</v>
      </c>
      <c r="N1158">
        <v>60.1867498099669</v>
      </c>
      <c r="O1158">
        <v>56.6780792297014</v>
      </c>
      <c r="P1158">
        <v>-0.0347866256269084</v>
      </c>
      <c r="Q1158">
        <v>0</v>
      </c>
      <c r="R1158">
        <v>0.859653315775344</v>
      </c>
      <c r="S1158" t="s">
        <v>2826</v>
      </c>
      <c r="T1158" t="s">
        <v>3312</v>
      </c>
      <c r="U1158" t="s">
        <v>3312</v>
      </c>
      <c r="V1158" t="s">
        <v>3312</v>
      </c>
      <c r="W1158" t="s">
        <v>4468</v>
      </c>
      <c r="X1158">
        <v>5</v>
      </c>
      <c r="Y1158" t="s">
        <v>6109</v>
      </c>
      <c r="Z1158" t="s">
        <v>7751</v>
      </c>
      <c r="AA1158">
        <v>0.7259241549762387</v>
      </c>
      <c r="AB1158">
        <f>HYPERLINK("Melting_Curves/meltCurve_P33937_napA.pdf", "Melting_Curves/meltCurve_P33937_napA.pdf")</f>
        <v>0</v>
      </c>
    </row>
    <row r="1159" spans="1:28">
      <c r="A1159" t="s">
        <v>1185</v>
      </c>
      <c r="B1159">
        <v>0.999984544473304</v>
      </c>
      <c r="C1159">
        <v>0.918284661210217</v>
      </c>
      <c r="D1159">
        <v>0.39681959899794</v>
      </c>
      <c r="E1159">
        <v>0.195211889842106</v>
      </c>
      <c r="F1159">
        <v>0.0778222703472416</v>
      </c>
      <c r="G1159">
        <v>0.0704849456401383</v>
      </c>
      <c r="H1159">
        <v>0.0349917316079588</v>
      </c>
      <c r="I1159">
        <v>0.0571078840959015</v>
      </c>
      <c r="J1159">
        <v>0.0318720734130201</v>
      </c>
      <c r="K1159">
        <v>0.0308136120797055</v>
      </c>
      <c r="L1159">
        <v>1277.27373967968</v>
      </c>
      <c r="M1159">
        <v>30.1045257269041</v>
      </c>
      <c r="N1159">
        <v>42.6018404082915</v>
      </c>
      <c r="O1159">
        <v>42.2420695824694</v>
      </c>
      <c r="P1159">
        <v>-0.167867923131593</v>
      </c>
      <c r="Q1159">
        <v>0.0578104003414362</v>
      </c>
      <c r="R1159">
        <v>0.990909892208233</v>
      </c>
      <c r="S1159" t="s">
        <v>2827</v>
      </c>
      <c r="T1159" t="s">
        <v>3312</v>
      </c>
      <c r="U1159" t="s">
        <v>3312</v>
      </c>
      <c r="V1159" t="s">
        <v>3312</v>
      </c>
      <c r="W1159" t="s">
        <v>4469</v>
      </c>
      <c r="X1159">
        <v>2</v>
      </c>
      <c r="Y1159" t="s">
        <v>6110</v>
      </c>
      <c r="Z1159" t="s">
        <v>7752</v>
      </c>
      <c r="AA1159">
        <v>0.2335768196233527</v>
      </c>
      <c r="AB1159">
        <f>HYPERLINK("Melting_Curves/meltCurve_P34209_ydcF.pdf", "Melting_Curves/meltCurve_P34209_ydcF.pdf")</f>
        <v>0</v>
      </c>
    </row>
    <row r="1160" spans="1:28">
      <c r="A1160" t="s">
        <v>1186</v>
      </c>
      <c r="B1160">
        <v>0.999984544473304</v>
      </c>
      <c r="C1160">
        <v>1.12715902003111</v>
      </c>
      <c r="D1160">
        <v>1.03985213747737</v>
      </c>
      <c r="E1160">
        <v>0.86047831887784</v>
      </c>
      <c r="F1160">
        <v>0.595529145291289</v>
      </c>
      <c r="G1160">
        <v>0.314602881720073</v>
      </c>
      <c r="H1160">
        <v>0.202838266137115</v>
      </c>
      <c r="I1160">
        <v>0.102781731787351</v>
      </c>
      <c r="J1160">
        <v>0.0580149710142844</v>
      </c>
      <c r="K1160">
        <v>0.0368297762390016</v>
      </c>
      <c r="L1160">
        <v>956.0935501944369</v>
      </c>
      <c r="M1160">
        <v>18.6744600294066</v>
      </c>
      <c r="N1160">
        <v>51.4797916371108</v>
      </c>
      <c r="O1160">
        <v>50.6216645562884</v>
      </c>
      <c r="P1160">
        <v>-0.0877474816447012</v>
      </c>
      <c r="Q1160">
        <v>0.0485970400131629</v>
      </c>
      <c r="R1160">
        <v>0.985855978385879</v>
      </c>
      <c r="S1160" t="s">
        <v>2828</v>
      </c>
      <c r="T1160" t="s">
        <v>3312</v>
      </c>
      <c r="U1160" t="s">
        <v>3312</v>
      </c>
      <c r="V1160" t="s">
        <v>3312</v>
      </c>
      <c r="W1160" t="s">
        <v>4470</v>
      </c>
      <c r="X1160">
        <v>17</v>
      </c>
      <c r="Y1160" t="s">
        <v>6111</v>
      </c>
      <c r="Z1160" t="s">
        <v>7753</v>
      </c>
      <c r="AA1160">
        <v>0.5127434656671479</v>
      </c>
      <c r="AB1160">
        <f>HYPERLINK("Melting_Curves/meltCurve_P35340_ahpF.pdf", "Melting_Curves/meltCurve_P35340_ahpF.pdf")</f>
        <v>0</v>
      </c>
    </row>
    <row r="1161" spans="1:28">
      <c r="A1161" t="s">
        <v>1187</v>
      </c>
      <c r="B1161">
        <v>0.999984544473304</v>
      </c>
      <c r="C1161">
        <v>1.11261724183553</v>
      </c>
      <c r="D1161">
        <v>1.01406318064977</v>
      </c>
      <c r="E1161">
        <v>1.02568194667476</v>
      </c>
      <c r="F1161">
        <v>1.32592425978214</v>
      </c>
      <c r="G1161">
        <v>1.12087766150963</v>
      </c>
      <c r="H1161">
        <v>1.46874716520213</v>
      </c>
      <c r="I1161">
        <v>1.37948202194677</v>
      </c>
      <c r="J1161">
        <v>1.46822731705376</v>
      </c>
      <c r="K1161">
        <v>0.928527929880989</v>
      </c>
      <c r="L1161">
        <v>11757.2027853006</v>
      </c>
      <c r="M1161">
        <v>250</v>
      </c>
      <c r="O1161">
        <v>47.0258016233044</v>
      </c>
      <c r="P1161">
        <v>0.374746931064288</v>
      </c>
      <c r="Q1161">
        <v>1.28196439701182</v>
      </c>
      <c r="R1161">
        <v>0.359860906724408</v>
      </c>
      <c r="S1161" t="s">
        <v>2829</v>
      </c>
      <c r="T1161" t="s">
        <v>3312</v>
      </c>
      <c r="U1161" t="s">
        <v>3312</v>
      </c>
      <c r="V1161" t="s">
        <v>3312</v>
      </c>
      <c r="W1161" t="s">
        <v>4471</v>
      </c>
      <c r="X1161">
        <v>5</v>
      </c>
      <c r="Y1161" t="s">
        <v>6112</v>
      </c>
      <c r="Z1161" t="s">
        <v>7754</v>
      </c>
      <c r="AA1161">
        <v>1.187682202255304</v>
      </c>
      <c r="AB1161">
        <f>HYPERLINK("Melting_Curves/meltCurve_P36649_cueO.pdf", "Melting_Curves/meltCurve_P36649_cueO.pdf")</f>
        <v>0</v>
      </c>
    </row>
    <row r="1162" spans="1:28">
      <c r="A1162" t="s">
        <v>1188</v>
      </c>
      <c r="B1162">
        <v>0.999984544473304</v>
      </c>
      <c r="C1162">
        <v>1.4645008116464</v>
      </c>
      <c r="D1162">
        <v>1.21963831158378</v>
      </c>
      <c r="E1162">
        <v>0.943891763162821</v>
      </c>
      <c r="F1162">
        <v>1.11320523093943</v>
      </c>
      <c r="G1162">
        <v>0.8948902377185159</v>
      </c>
      <c r="H1162">
        <v>0.843656961418756</v>
      </c>
      <c r="I1162">
        <v>0.668294215923164</v>
      </c>
      <c r="J1162">
        <v>0.472282487444445</v>
      </c>
      <c r="K1162">
        <v>0.222862260627119</v>
      </c>
      <c r="L1162">
        <v>1150.75945801823</v>
      </c>
      <c r="M1162">
        <v>18.210667257639</v>
      </c>
      <c r="N1162">
        <v>63.1915043308397</v>
      </c>
      <c r="O1162">
        <v>62.4442836880061</v>
      </c>
      <c r="P1162">
        <v>-0.072911099274169</v>
      </c>
      <c r="Q1162">
        <v>0</v>
      </c>
      <c r="R1162">
        <v>0.753362734245266</v>
      </c>
      <c r="S1162" t="s">
        <v>2830</v>
      </c>
      <c r="T1162" t="s">
        <v>3312</v>
      </c>
      <c r="U1162" t="s">
        <v>3312</v>
      </c>
      <c r="V1162" t="s">
        <v>3312</v>
      </c>
      <c r="W1162" t="s">
        <v>4472</v>
      </c>
      <c r="X1162">
        <v>1</v>
      </c>
      <c r="Y1162" t="s">
        <v>6113</v>
      </c>
      <c r="Z1162" t="s">
        <v>7755</v>
      </c>
      <c r="AA1162">
        <v>0.8492162765213439</v>
      </c>
      <c r="AB1162">
        <f>HYPERLINK("Melting_Curves/meltCurve_P36655_dsbD.pdf", "Melting_Curves/meltCurve_P36655_dsbD.pdf")</f>
        <v>0</v>
      </c>
    </row>
    <row r="1163" spans="1:28">
      <c r="A1163" t="s">
        <v>1189</v>
      </c>
      <c r="B1163">
        <v>0.999984544473304</v>
      </c>
      <c r="C1163">
        <v>0.865891261458635</v>
      </c>
      <c r="D1163">
        <v>0.983885019430954</v>
      </c>
      <c r="E1163">
        <v>0.998488509406545</v>
      </c>
      <c r="F1163">
        <v>1.02751700779527</v>
      </c>
      <c r="G1163">
        <v>0.883730986881421</v>
      </c>
      <c r="H1163">
        <v>0.731453829040529</v>
      </c>
      <c r="I1163">
        <v>0.595256200754462</v>
      </c>
      <c r="J1163">
        <v>0.363621048760213</v>
      </c>
      <c r="K1163">
        <v>0.0655913302219068</v>
      </c>
      <c r="L1163">
        <v>1146.92325837263</v>
      </c>
      <c r="M1163">
        <v>18.6800784264819</v>
      </c>
      <c r="N1163">
        <v>61.3982037935213</v>
      </c>
      <c r="O1163">
        <v>60.7075435097143</v>
      </c>
      <c r="P1163">
        <v>-0.0769297880156988</v>
      </c>
      <c r="Q1163">
        <v>0</v>
      </c>
      <c r="R1163">
        <v>0.952760659515959</v>
      </c>
      <c r="S1163" t="s">
        <v>2831</v>
      </c>
      <c r="T1163" t="s">
        <v>3312</v>
      </c>
      <c r="U1163" t="s">
        <v>3312</v>
      </c>
      <c r="V1163" t="s">
        <v>3312</v>
      </c>
      <c r="W1163" t="s">
        <v>4473</v>
      </c>
      <c r="X1163">
        <v>7</v>
      </c>
      <c r="Y1163" t="s">
        <v>6114</v>
      </c>
      <c r="Z1163" t="s">
        <v>7756</v>
      </c>
      <c r="AA1163">
        <v>0.8047923921920199</v>
      </c>
      <c r="AB1163">
        <f>HYPERLINK("Melting_Curves/meltCurve_P36659_cbpA.pdf", "Melting_Curves/meltCurve_P36659_cbpA.pdf")</f>
        <v>0</v>
      </c>
    </row>
    <row r="1164" spans="1:28">
      <c r="A1164" t="s">
        <v>1190</v>
      </c>
      <c r="B1164">
        <v>0.999984544473304</v>
      </c>
      <c r="C1164">
        <v>0.953855268123008</v>
      </c>
      <c r="D1164">
        <v>0.773767614073212</v>
      </c>
      <c r="E1164">
        <v>0.603125762003228</v>
      </c>
      <c r="F1164">
        <v>0.5253845480596629</v>
      </c>
      <c r="G1164">
        <v>0.42526280074402</v>
      </c>
      <c r="H1164">
        <v>0.384176853670731</v>
      </c>
      <c r="I1164">
        <v>0.363946297731066</v>
      </c>
      <c r="J1164">
        <v>0.271897141769797</v>
      </c>
      <c r="K1164">
        <v>0.220363150764354</v>
      </c>
      <c r="L1164">
        <v>478.057368692004</v>
      </c>
      <c r="M1164">
        <v>10.0840586109172</v>
      </c>
      <c r="N1164">
        <v>50.6652258196948</v>
      </c>
      <c r="O1164">
        <v>45.6561434930529</v>
      </c>
      <c r="P1164">
        <v>-0.0420638775836274</v>
      </c>
      <c r="Q1164">
        <v>0.238572398710802</v>
      </c>
      <c r="R1164">
        <v>0.977591582859253</v>
      </c>
      <c r="S1164" t="s">
        <v>2832</v>
      </c>
      <c r="T1164" t="s">
        <v>3312</v>
      </c>
      <c r="U1164" t="s">
        <v>3312</v>
      </c>
      <c r="V1164" t="s">
        <v>3312</v>
      </c>
      <c r="W1164" t="s">
        <v>4474</v>
      </c>
      <c r="X1164">
        <v>3</v>
      </c>
      <c r="Y1164" t="s">
        <v>6115</v>
      </c>
      <c r="Z1164" t="s">
        <v>7757</v>
      </c>
      <c r="AA1164">
        <v>0.5342874055405623</v>
      </c>
      <c r="AB1164">
        <f>HYPERLINK("Melting_Curves/meltCurve_P36672_treB.pdf", "Melting_Curves/meltCurve_P36672_treB.pdf")</f>
        <v>0</v>
      </c>
    </row>
    <row r="1165" spans="1:28">
      <c r="A1165" t="s">
        <v>1191</v>
      </c>
      <c r="B1165">
        <v>0.999984544473304</v>
      </c>
      <c r="C1165">
        <v>0.514954911507929</v>
      </c>
      <c r="D1165">
        <v>0.762985388315267</v>
      </c>
      <c r="E1165">
        <v>0.423693234949239</v>
      </c>
      <c r="F1165">
        <v>0.374018192880022</v>
      </c>
      <c r="G1165">
        <v>0.207604377594518</v>
      </c>
      <c r="H1165">
        <v>0.05019579810291</v>
      </c>
      <c r="I1165">
        <v>0.0289861195068425</v>
      </c>
      <c r="J1165">
        <v>0</v>
      </c>
      <c r="K1165">
        <v>0.0111609779504315</v>
      </c>
      <c r="L1165">
        <v>423.430809996997</v>
      </c>
      <c r="M1165">
        <v>9.34836626346415</v>
      </c>
      <c r="N1165">
        <v>45.2946326974883</v>
      </c>
      <c r="O1165">
        <v>43.366903074417</v>
      </c>
      <c r="P1165">
        <v>-0.0539250209637011</v>
      </c>
      <c r="Q1165">
        <v>0</v>
      </c>
      <c r="R1165">
        <v>0.885452915281885</v>
      </c>
      <c r="S1165" t="s">
        <v>2833</v>
      </c>
      <c r="T1165" t="s">
        <v>3312</v>
      </c>
      <c r="U1165" t="s">
        <v>3312</v>
      </c>
      <c r="V1165" t="s">
        <v>3312</v>
      </c>
      <c r="W1165" t="s">
        <v>4475</v>
      </c>
      <c r="X1165">
        <v>2</v>
      </c>
      <c r="Y1165" t="s">
        <v>6116</v>
      </c>
      <c r="Z1165" t="s">
        <v>7758</v>
      </c>
      <c r="AA1165">
        <v>0.3303309965330724</v>
      </c>
      <c r="AB1165">
        <f>HYPERLINK("Melting_Curves/meltCurve_P36680_zapD.pdf", "Melting_Curves/meltCurve_P36680_zapD.pdf")</f>
        <v>0</v>
      </c>
    </row>
    <row r="1166" spans="1:28">
      <c r="A1166" t="s">
        <v>1192</v>
      </c>
      <c r="B1166">
        <v>0.999984544473304</v>
      </c>
      <c r="C1166">
        <v>1.28063833311437</v>
      </c>
      <c r="D1166">
        <v>0.866643962487763</v>
      </c>
      <c r="E1166">
        <v>0.284021700455712</v>
      </c>
      <c r="F1166">
        <v>0.0899801765161314</v>
      </c>
      <c r="G1166">
        <v>0.0513901754083912</v>
      </c>
      <c r="H1166">
        <v>0.0375660312701372</v>
      </c>
      <c r="I1166">
        <v>0.0244624918804391</v>
      </c>
      <c r="J1166">
        <v>0.0191703010270788</v>
      </c>
      <c r="K1166">
        <v>0.0184591406076118</v>
      </c>
      <c r="L1166">
        <v>1739.16285765835</v>
      </c>
      <c r="M1166">
        <v>38.3844246662943</v>
      </c>
      <c r="N1166">
        <v>45.3968702185707</v>
      </c>
      <c r="O1166">
        <v>45.186624416258</v>
      </c>
      <c r="P1166">
        <v>-0.204769875629915</v>
      </c>
      <c r="Q1166">
        <v>0.0357717716491811</v>
      </c>
      <c r="R1166">
        <v>0.9605717658994</v>
      </c>
      <c r="S1166" t="s">
        <v>2834</v>
      </c>
      <c r="T1166" t="s">
        <v>3312</v>
      </c>
      <c r="U1166" t="s">
        <v>3312</v>
      </c>
      <c r="V1166" t="s">
        <v>3312</v>
      </c>
      <c r="W1166" t="s">
        <v>4476</v>
      </c>
      <c r="X1166">
        <v>28</v>
      </c>
      <c r="Y1166" t="s">
        <v>6117</v>
      </c>
      <c r="Z1166" t="s">
        <v>7759</v>
      </c>
      <c r="AA1166">
        <v>0.3061202304889714</v>
      </c>
      <c r="AB1166">
        <f>HYPERLINK("Melting_Curves/meltCurve_P36683_acnB.pdf", "Melting_Curves/meltCurve_P36683_acnB.pdf")</f>
        <v>0</v>
      </c>
    </row>
    <row r="1167" spans="1:28">
      <c r="A1167" t="s">
        <v>1193</v>
      </c>
      <c r="B1167">
        <v>0.999984544473304</v>
      </c>
      <c r="C1167">
        <v>1.12664580304249</v>
      </c>
      <c r="D1167">
        <v>1.2538745497673</v>
      </c>
      <c r="E1167">
        <v>0.99026088757153</v>
      </c>
      <c r="F1167">
        <v>0.969112479501219</v>
      </c>
      <c r="G1167">
        <v>0.678637661615787</v>
      </c>
      <c r="H1167">
        <v>0.344128324465729</v>
      </c>
      <c r="I1167">
        <v>0.113167835288454</v>
      </c>
      <c r="J1167">
        <v>0.0374392368220423</v>
      </c>
      <c r="K1167">
        <v>0.0284023220006756</v>
      </c>
      <c r="L1167">
        <v>1374.95488069949</v>
      </c>
      <c r="M1167">
        <v>24.703346474911</v>
      </c>
      <c r="N1167">
        <v>55.705742091567</v>
      </c>
      <c r="O1167">
        <v>55.2977532002174</v>
      </c>
      <c r="P1167">
        <v>-0.11053095553973</v>
      </c>
      <c r="Q1167">
        <v>0.0103319218846831</v>
      </c>
      <c r="R1167">
        <v>0.960053826847058</v>
      </c>
      <c r="S1167" t="s">
        <v>2835</v>
      </c>
      <c r="T1167" t="s">
        <v>3312</v>
      </c>
      <c r="U1167" t="s">
        <v>3312</v>
      </c>
      <c r="V1167" t="s">
        <v>3312</v>
      </c>
      <c r="W1167" t="s">
        <v>4477</v>
      </c>
      <c r="X1167">
        <v>6</v>
      </c>
      <c r="Y1167" t="s">
        <v>6118</v>
      </c>
      <c r="Z1167" t="s">
        <v>7760</v>
      </c>
      <c r="AA1167">
        <v>0.6341744529594787</v>
      </c>
      <c r="AB1167">
        <f>HYPERLINK("Melting_Curves/meltCurve_P36767_rdgC.pdf", "Melting_Curves/meltCurve_P36767_rdgC.pdf")</f>
        <v>0</v>
      </c>
    </row>
    <row r="1168" spans="1:28">
      <c r="A1168" t="s">
        <v>1194</v>
      </c>
      <c r="B1168">
        <v>0.999984544473304</v>
      </c>
      <c r="C1168">
        <v>1.26879753623122</v>
      </c>
      <c r="D1168">
        <v>1.0851582939211</v>
      </c>
      <c r="E1168">
        <v>0.869785178497881</v>
      </c>
      <c r="F1168">
        <v>1.24405787836798</v>
      </c>
      <c r="G1168">
        <v>0.926744845089731</v>
      </c>
      <c r="H1168">
        <v>0.965160748131916</v>
      </c>
      <c r="I1168">
        <v>0.710674850913033</v>
      </c>
      <c r="J1168">
        <v>0.192442513482925</v>
      </c>
      <c r="K1168">
        <v>0</v>
      </c>
      <c r="L1168">
        <v>2996.1279496102</v>
      </c>
      <c r="M1168">
        <v>48.2209569823163</v>
      </c>
      <c r="N1168">
        <v>62.1333197029206</v>
      </c>
      <c r="O1168">
        <v>62.0267393975595</v>
      </c>
      <c r="P1168">
        <v>-0.194355718658864</v>
      </c>
      <c r="Q1168">
        <v>0</v>
      </c>
      <c r="R1168">
        <v>0.89823516085223</v>
      </c>
      <c r="S1168" t="s">
        <v>2836</v>
      </c>
      <c r="T1168" t="s">
        <v>3312</v>
      </c>
      <c r="U1168" t="s">
        <v>3312</v>
      </c>
      <c r="V1168" t="s">
        <v>3312</v>
      </c>
      <c r="W1168" t="s">
        <v>4478</v>
      </c>
      <c r="X1168">
        <v>1</v>
      </c>
      <c r="Y1168" t="s">
        <v>6119</v>
      </c>
      <c r="Z1168" t="s">
        <v>7761</v>
      </c>
      <c r="AA1168">
        <v>0.8391714506756244</v>
      </c>
      <c r="AB1168">
        <f>HYPERLINK("Melting_Curves/meltCurve_P36771_lrhA.pdf", "Melting_Curves/meltCurve_P36771_lrhA.pdf")</f>
        <v>0</v>
      </c>
    </row>
    <row r="1169" spans="1:28">
      <c r="A1169" t="s">
        <v>1195</v>
      </c>
      <c r="B1169">
        <v>0.999984544473304</v>
      </c>
      <c r="C1169">
        <v>0.945406780141847</v>
      </c>
      <c r="D1169">
        <v>0.853138244739456</v>
      </c>
      <c r="E1169">
        <v>0.656815933746422</v>
      </c>
      <c r="F1169">
        <v>0.491764054126319</v>
      </c>
      <c r="G1169">
        <v>0.306221638891725</v>
      </c>
      <c r="H1169">
        <v>0.219742251304378</v>
      </c>
      <c r="I1169">
        <v>0.184104637458954</v>
      </c>
      <c r="J1169">
        <v>0.120890324554815</v>
      </c>
      <c r="K1169">
        <v>0.126680085490067</v>
      </c>
      <c r="L1169">
        <v>584.848023602843</v>
      </c>
      <c r="M1169">
        <v>11.9661920283044</v>
      </c>
      <c r="N1169">
        <v>49.6855510290248</v>
      </c>
      <c r="O1169">
        <v>47.5700524600173</v>
      </c>
      <c r="P1169">
        <v>-0.0573251910582843</v>
      </c>
      <c r="Q1169">
        <v>0.0886665053255542</v>
      </c>
      <c r="R1169">
        <v>0.9983537454547891</v>
      </c>
      <c r="S1169" t="s">
        <v>2837</v>
      </c>
      <c r="T1169" t="s">
        <v>3312</v>
      </c>
      <c r="U1169" t="s">
        <v>3312</v>
      </c>
      <c r="V1169" t="s">
        <v>3312</v>
      </c>
      <c r="W1169" t="s">
        <v>4479</v>
      </c>
      <c r="X1169">
        <v>13</v>
      </c>
      <c r="Y1169" t="s">
        <v>6120</v>
      </c>
      <c r="Z1169" t="s">
        <v>7762</v>
      </c>
      <c r="AA1169">
        <v>0.4767774517943968</v>
      </c>
      <c r="AB1169">
        <f>HYPERLINK("Melting_Curves/meltCurve_P36938_pgm.pdf", "Melting_Curves/meltCurve_P36938_pgm.pdf")</f>
        <v>0</v>
      </c>
    </row>
    <row r="1170" spans="1:28">
      <c r="A1170" t="s">
        <v>1196</v>
      </c>
      <c r="B1170">
        <v>0.999984544473304</v>
      </c>
      <c r="C1170">
        <v>0.889704673380509</v>
      </c>
      <c r="D1170">
        <v>0.8368283910511231</v>
      </c>
      <c r="E1170">
        <v>0.787751641439517</v>
      </c>
      <c r="F1170">
        <v>0.776647604165096</v>
      </c>
      <c r="G1170">
        <v>0.566175484246599</v>
      </c>
      <c r="H1170">
        <v>0.49677967250283</v>
      </c>
      <c r="I1170">
        <v>0.488660158196691</v>
      </c>
      <c r="J1170">
        <v>0.361475638291212</v>
      </c>
      <c r="K1170">
        <v>0.429130064404187</v>
      </c>
      <c r="L1170">
        <v>354.500808875597</v>
      </c>
      <c r="M1170">
        <v>6.63424238150679</v>
      </c>
      <c r="N1170">
        <v>58.7254768062819</v>
      </c>
      <c r="O1170">
        <v>49.2060392970881</v>
      </c>
      <c r="P1170">
        <v>-0.0261829937380735</v>
      </c>
      <c r="Q1170">
        <v>0.22495305309496</v>
      </c>
      <c r="R1170">
        <v>0.956803023937577</v>
      </c>
      <c r="S1170" t="s">
        <v>2838</v>
      </c>
      <c r="T1170" t="s">
        <v>3312</v>
      </c>
      <c r="U1170" t="s">
        <v>3312</v>
      </c>
      <c r="V1170" t="s">
        <v>3312</v>
      </c>
      <c r="W1170" t="s">
        <v>4480</v>
      </c>
      <c r="X1170">
        <v>1</v>
      </c>
      <c r="Y1170" t="s">
        <v>6121</v>
      </c>
      <c r="Z1170" t="s">
        <v>7763</v>
      </c>
      <c r="AA1170">
        <v>0.661494607166183</v>
      </c>
      <c r="AB1170">
        <f>HYPERLINK("Melting_Curves/meltCurve_P36979_rlmN.pdf", "Melting_Curves/meltCurve_P36979_rlmN.pdf")</f>
        <v>0</v>
      </c>
    </row>
    <row r="1171" spans="1:28">
      <c r="A1171" t="s">
        <v>1197</v>
      </c>
      <c r="B1171">
        <v>0.999984544473304</v>
      </c>
      <c r="C1171">
        <v>0.974416142923878</v>
      </c>
      <c r="D1171">
        <v>1.26699848685518</v>
      </c>
      <c r="E1171">
        <v>0.956403565854283</v>
      </c>
      <c r="F1171">
        <v>0.769933983668013</v>
      </c>
      <c r="G1171">
        <v>0.586992412950159</v>
      </c>
      <c r="H1171">
        <v>0.27081308571649</v>
      </c>
      <c r="I1171">
        <v>0.105714749435738</v>
      </c>
      <c r="J1171">
        <v>0.0558152022018608</v>
      </c>
      <c r="K1171">
        <v>0.0479637012905541</v>
      </c>
      <c r="L1171">
        <v>1030.79903770843</v>
      </c>
      <c r="M1171">
        <v>18.9662346816877</v>
      </c>
      <c r="N1171">
        <v>54.3985707687116</v>
      </c>
      <c r="O1171">
        <v>53.755782035584</v>
      </c>
      <c r="P1171">
        <v>-0.0874559455209976</v>
      </c>
      <c r="Q1171">
        <v>0.00853829795322558</v>
      </c>
      <c r="R1171">
        <v>0.956564400499944</v>
      </c>
      <c r="S1171" t="s">
        <v>2839</v>
      </c>
      <c r="T1171" t="s">
        <v>3312</v>
      </c>
      <c r="U1171" t="s">
        <v>3312</v>
      </c>
      <c r="V1171" t="s">
        <v>3312</v>
      </c>
      <c r="W1171" t="s">
        <v>4481</v>
      </c>
      <c r="X1171">
        <v>5</v>
      </c>
      <c r="Y1171" t="s">
        <v>6122</v>
      </c>
      <c r="Z1171" t="s">
        <v>7764</v>
      </c>
      <c r="AA1171">
        <v>0.5944240023076669</v>
      </c>
      <c r="AB1171">
        <f>HYPERLINK("Melting_Curves/meltCurve_P37051_purU.pdf", "Melting_Curves/meltCurve_P37051_purU.pdf")</f>
        <v>0</v>
      </c>
    </row>
    <row r="1172" spans="1:28">
      <c r="A1172" t="s">
        <v>1198</v>
      </c>
      <c r="B1172">
        <v>0.999984544473304</v>
      </c>
      <c r="C1172">
        <v>1.03284224185368</v>
      </c>
      <c r="D1172">
        <v>0.857060393238235</v>
      </c>
      <c r="E1172">
        <v>0.384292841014398</v>
      </c>
      <c r="F1172">
        <v>0.172651397145602</v>
      </c>
      <c r="G1172">
        <v>0.08688760061216561</v>
      </c>
      <c r="H1172">
        <v>0.0571810531718086</v>
      </c>
      <c r="I1172">
        <v>0.0418913800294186</v>
      </c>
      <c r="J1172">
        <v>0.0326241288795662</v>
      </c>
      <c r="K1172">
        <v>0.0389771830620909</v>
      </c>
      <c r="L1172">
        <v>1212.25340773317</v>
      </c>
      <c r="M1172">
        <v>26.5229968206674</v>
      </c>
      <c r="N1172">
        <v>45.8944928005948</v>
      </c>
      <c r="O1172">
        <v>45.4483065863031</v>
      </c>
      <c r="P1172">
        <v>-0.138359611955117</v>
      </c>
      <c r="Q1172">
        <v>0.0516694813248365</v>
      </c>
      <c r="R1172">
        <v>0.996319629341162</v>
      </c>
      <c r="S1172" t="s">
        <v>2840</v>
      </c>
      <c r="T1172" t="s">
        <v>3312</v>
      </c>
      <c r="U1172" t="s">
        <v>3312</v>
      </c>
      <c r="V1172" t="s">
        <v>3312</v>
      </c>
      <c r="W1172" t="s">
        <v>4482</v>
      </c>
      <c r="X1172">
        <v>13</v>
      </c>
      <c r="Y1172" t="s">
        <v>6123</v>
      </c>
      <c r="Z1172" t="s">
        <v>7765</v>
      </c>
      <c r="AA1172">
        <v>0.333799619907671</v>
      </c>
      <c r="AB1172">
        <f>HYPERLINK("Melting_Curves/meltCurve_P37095_pepB.pdf", "Melting_Curves/meltCurve_P37095_pepB.pdf")</f>
        <v>0</v>
      </c>
    </row>
    <row r="1173" spans="1:28">
      <c r="A1173" t="s">
        <v>1199</v>
      </c>
      <c r="B1173">
        <v>0.999984544473304</v>
      </c>
      <c r="C1173">
        <v>1.48343657289007</v>
      </c>
      <c r="D1173">
        <v>0.67426874331807</v>
      </c>
      <c r="E1173">
        <v>0.7224714006569219</v>
      </c>
      <c r="F1173">
        <v>1.22861375230133</v>
      </c>
      <c r="G1173">
        <v>0.375638303607419</v>
      </c>
      <c r="H1173">
        <v>0.617737682880196</v>
      </c>
      <c r="I1173">
        <v>0.612974372019467</v>
      </c>
      <c r="J1173">
        <v>0.951135036554887</v>
      </c>
      <c r="K1173">
        <v>0.826600902922305</v>
      </c>
      <c r="L1173">
        <v>10387.5938310332</v>
      </c>
      <c r="M1173">
        <v>250</v>
      </c>
      <c r="O1173">
        <v>41.5477168612051</v>
      </c>
      <c r="P1173">
        <v>-0.374304432867286</v>
      </c>
      <c r="Q1173">
        <v>0.751176089652088</v>
      </c>
      <c r="R1173">
        <v>0.279257357126243</v>
      </c>
      <c r="S1173" t="s">
        <v>2841</v>
      </c>
      <c r="T1173" t="s">
        <v>3312</v>
      </c>
      <c r="U1173" t="s">
        <v>3312</v>
      </c>
      <c r="V1173" t="s">
        <v>3312</v>
      </c>
      <c r="W1173" t="s">
        <v>4483</v>
      </c>
      <c r="X1173">
        <v>1</v>
      </c>
      <c r="Y1173" t="s">
        <v>6124</v>
      </c>
      <c r="Z1173" t="s">
        <v>7766</v>
      </c>
      <c r="AA1173">
        <v>0.7889356400135417</v>
      </c>
      <c r="AB1173">
        <f>HYPERLINK("Melting_Curves/meltCurve_P37128_nudK.pdf", "Melting_Curves/meltCurve_P37128_nudK.pdf")</f>
        <v>0</v>
      </c>
    </row>
    <row r="1174" spans="1:28">
      <c r="A1174" t="s">
        <v>1200</v>
      </c>
      <c r="B1174">
        <v>0.999984544473304</v>
      </c>
      <c r="C1174">
        <v>0.98121567825679</v>
      </c>
      <c r="D1174">
        <v>0.952588709240932</v>
      </c>
      <c r="E1174">
        <v>1.23009090424635</v>
      </c>
      <c r="F1174">
        <v>1.18804259580363</v>
      </c>
      <c r="G1174">
        <v>1.03123988197896</v>
      </c>
      <c r="H1174">
        <v>1.23167142785013</v>
      </c>
      <c r="I1174">
        <v>0.956121580098108</v>
      </c>
      <c r="J1174">
        <v>0.849056393951922</v>
      </c>
      <c r="K1174">
        <v>0.457647914323057</v>
      </c>
      <c r="L1174">
        <v>3007.58965450103</v>
      </c>
      <c r="M1174">
        <v>45.3656587240941</v>
      </c>
      <c r="N1174">
        <v>66.7042353127607</v>
      </c>
      <c r="O1174">
        <v>66.1681800175961</v>
      </c>
      <c r="P1174">
        <v>-0.150653511320581</v>
      </c>
      <c r="Q1174">
        <v>0.121057102983438</v>
      </c>
      <c r="R1174">
        <v>0.6831950671463221</v>
      </c>
      <c r="S1174" t="s">
        <v>2842</v>
      </c>
      <c r="T1174" t="s">
        <v>3312</v>
      </c>
      <c r="U1174" t="s">
        <v>3312</v>
      </c>
      <c r="V1174" t="s">
        <v>3312</v>
      </c>
      <c r="W1174" t="s">
        <v>4484</v>
      </c>
      <c r="X1174">
        <v>3</v>
      </c>
      <c r="Y1174" t="s">
        <v>6125</v>
      </c>
      <c r="Z1174" t="s">
        <v>7767</v>
      </c>
      <c r="AA1174">
        <v>0.9602481415931964</v>
      </c>
      <c r="AB1174">
        <f>HYPERLINK("Melting_Curves/meltCurve_P37147_fxsA.pdf", "Melting_Curves/meltCurve_P37147_fxsA.pdf")</f>
        <v>0</v>
      </c>
    </row>
    <row r="1175" spans="1:28">
      <c r="A1175" t="s">
        <v>1201</v>
      </c>
      <c r="B1175">
        <v>0.999984544473304</v>
      </c>
      <c r="C1175">
        <v>1.00245878748163</v>
      </c>
      <c r="D1175">
        <v>0.832720009630615</v>
      </c>
      <c r="E1175">
        <v>1.00777808642169</v>
      </c>
      <c r="F1175">
        <v>0.886516197497036</v>
      </c>
      <c r="G1175">
        <v>0.564724066367193</v>
      </c>
      <c r="H1175">
        <v>0.313135151066261</v>
      </c>
      <c r="I1175">
        <v>0.227216617101647</v>
      </c>
      <c r="J1175">
        <v>0.139137005598207</v>
      </c>
      <c r="K1175">
        <v>0.205575603578591</v>
      </c>
      <c r="L1175">
        <v>1370.25897107293</v>
      </c>
      <c r="M1175">
        <v>25.530823966504</v>
      </c>
      <c r="N1175">
        <v>54.5806971582547</v>
      </c>
      <c r="O1175">
        <v>53.3447411123799</v>
      </c>
      <c r="P1175">
        <v>-0.09891355449925431</v>
      </c>
      <c r="Q1175">
        <v>0.173320424641742</v>
      </c>
      <c r="R1175">
        <v>0.973970799280684</v>
      </c>
      <c r="S1175" t="s">
        <v>2843</v>
      </c>
      <c r="T1175" t="s">
        <v>3312</v>
      </c>
      <c r="U1175" t="s">
        <v>3312</v>
      </c>
      <c r="V1175" t="s">
        <v>3312</v>
      </c>
      <c r="W1175" t="s">
        <v>4485</v>
      </c>
      <c r="X1175">
        <v>2</v>
      </c>
      <c r="Y1175" t="s">
        <v>6126</v>
      </c>
      <c r="Z1175" t="s">
        <v>7768</v>
      </c>
      <c r="AA1175">
        <v>0.6397060307736887</v>
      </c>
      <c r="AB1175">
        <f>HYPERLINK("Melting_Curves/meltCurve_P37182_hybD.pdf", "Melting_Curves/meltCurve_P37182_hybD.pdf")</f>
        <v>0</v>
      </c>
    </row>
    <row r="1176" spans="1:28">
      <c r="A1176" t="s">
        <v>1202</v>
      </c>
      <c r="B1176">
        <v>0.999984544473304</v>
      </c>
      <c r="C1176">
        <v>0.928608575635384</v>
      </c>
      <c r="D1176">
        <v>0.652520298051632</v>
      </c>
      <c r="E1176">
        <v>1.09284667624422</v>
      </c>
      <c r="F1176">
        <v>0.831695146508477</v>
      </c>
      <c r="G1176">
        <v>0.633561906177456</v>
      </c>
      <c r="H1176">
        <v>0.646657865933937</v>
      </c>
      <c r="I1176">
        <v>0.405839498234407</v>
      </c>
      <c r="J1176">
        <v>0.317810793706209</v>
      </c>
      <c r="K1176">
        <v>0.3497994857697</v>
      </c>
      <c r="L1176">
        <v>440.710478412306</v>
      </c>
      <c r="M1176">
        <v>7.39529016291644</v>
      </c>
      <c r="N1176">
        <v>59.5933980419404</v>
      </c>
      <c r="O1176">
        <v>55.7011797654207</v>
      </c>
      <c r="P1176">
        <v>-0.033242071027155</v>
      </c>
      <c r="Q1176">
        <v>0</v>
      </c>
      <c r="R1176">
        <v>0.781356073687088</v>
      </c>
      <c r="S1176" t="s">
        <v>2844</v>
      </c>
      <c r="T1176" t="s">
        <v>3312</v>
      </c>
      <c r="U1176" t="s">
        <v>3312</v>
      </c>
      <c r="V1176" t="s">
        <v>3312</v>
      </c>
      <c r="W1176" t="s">
        <v>4486</v>
      </c>
      <c r="X1176">
        <v>3</v>
      </c>
      <c r="Y1176" t="s">
        <v>6127</v>
      </c>
      <c r="Z1176" t="s">
        <v>7769</v>
      </c>
      <c r="AA1176">
        <v>0.7081995650999671</v>
      </c>
      <c r="AB1176">
        <f>HYPERLINK("Melting_Curves/meltCurve_P37188_gatB.pdf", "Melting_Curves/meltCurve_P37188_gatB.pdf")</f>
        <v>0</v>
      </c>
    </row>
    <row r="1177" spans="1:28">
      <c r="A1177" t="s">
        <v>1203</v>
      </c>
      <c r="B1177">
        <v>0.999984544473304</v>
      </c>
      <c r="C1177">
        <v>0.636966549085655</v>
      </c>
      <c r="D1177">
        <v>0.968507713493211</v>
      </c>
      <c r="E1177">
        <v>0.481825032733995</v>
      </c>
      <c r="F1177">
        <v>0.24380983006608</v>
      </c>
      <c r="G1177">
        <v>0.0948423055858956</v>
      </c>
      <c r="H1177">
        <v>0.0775167122137988</v>
      </c>
      <c r="I1177">
        <v>0.08520220563777189</v>
      </c>
      <c r="J1177">
        <v>0.08882795698538461</v>
      </c>
      <c r="K1177">
        <v>0.0984232097060861</v>
      </c>
      <c r="L1177">
        <v>811.924755793793</v>
      </c>
      <c r="M1177">
        <v>17.5415218748953</v>
      </c>
      <c r="N1177">
        <v>46.6450894045779</v>
      </c>
      <c r="O1177">
        <v>45.6969161507037</v>
      </c>
      <c r="P1177">
        <v>-0.0899084592283346</v>
      </c>
      <c r="Q1177">
        <v>0.0631795640502333</v>
      </c>
      <c r="R1177">
        <v>0.898659159833768</v>
      </c>
      <c r="S1177" t="s">
        <v>2845</v>
      </c>
      <c r="T1177" t="s">
        <v>3312</v>
      </c>
      <c r="U1177" t="s">
        <v>3312</v>
      </c>
      <c r="V1177" t="s">
        <v>3312</v>
      </c>
      <c r="W1177" t="s">
        <v>4487</v>
      </c>
      <c r="X1177">
        <v>3</v>
      </c>
      <c r="Y1177" t="s">
        <v>6128</v>
      </c>
      <c r="Z1177" t="s">
        <v>7770</v>
      </c>
      <c r="AA1177">
        <v>0.369043028658485</v>
      </c>
      <c r="AB1177">
        <f>HYPERLINK("Melting_Curves/meltCurve_P37194_slp.pdf", "Melting_Curves/meltCurve_P37194_slp.pdf")</f>
        <v>0</v>
      </c>
    </row>
    <row r="1178" spans="1:28">
      <c r="A1178" t="s">
        <v>1204</v>
      </c>
      <c r="B1178">
        <v>0.999984544473304</v>
      </c>
      <c r="C1178">
        <v>0.678279531768612</v>
      </c>
      <c r="D1178">
        <v>0.468425519907539</v>
      </c>
      <c r="E1178">
        <v>0.135797675139111</v>
      </c>
      <c r="F1178">
        <v>0.07493569479197409</v>
      </c>
      <c r="G1178">
        <v>0.0528106797772003</v>
      </c>
      <c r="H1178">
        <v>0.0410659897528909</v>
      </c>
      <c r="I1178">
        <v>0.0355448548444637</v>
      </c>
      <c r="J1178">
        <v>0.0256465630601116</v>
      </c>
      <c r="K1178">
        <v>0.0261998132043985</v>
      </c>
      <c r="L1178">
        <v>785.094778589189</v>
      </c>
      <c r="M1178">
        <v>18.6507995272604</v>
      </c>
      <c r="N1178">
        <v>42.228255804812</v>
      </c>
      <c r="O1178">
        <v>41.619462532151</v>
      </c>
      <c r="P1178">
        <v>-0.108821456660394</v>
      </c>
      <c r="Q1178">
        <v>0.0286967072913157</v>
      </c>
      <c r="R1178">
        <v>0.98832715433337</v>
      </c>
      <c r="S1178" t="s">
        <v>2846</v>
      </c>
      <c r="T1178" t="s">
        <v>3312</v>
      </c>
      <c r="U1178" t="s">
        <v>3312</v>
      </c>
      <c r="V1178" t="s">
        <v>3312</v>
      </c>
      <c r="W1178" t="s">
        <v>4488</v>
      </c>
      <c r="X1178">
        <v>4</v>
      </c>
      <c r="Y1178" t="s">
        <v>6129</v>
      </c>
      <c r="Z1178" t="s">
        <v>7771</v>
      </c>
      <c r="AA1178">
        <v>0.2106914297552064</v>
      </c>
      <c r="AB1178">
        <f>HYPERLINK("Melting_Curves/meltCurve_P37313_dppF.pdf", "Melting_Curves/meltCurve_P37313_dppF.pdf")</f>
        <v>0</v>
      </c>
    </row>
    <row r="1179" spans="1:28">
      <c r="A1179" t="s">
        <v>1205</v>
      </c>
      <c r="B1179">
        <v>0.999984544473304</v>
      </c>
      <c r="C1179">
        <v>0.774200652107591</v>
      </c>
      <c r="D1179">
        <v>1.00130452205998</v>
      </c>
      <c r="E1179">
        <v>0.89970476533628</v>
      </c>
      <c r="F1179">
        <v>1.02351492487793</v>
      </c>
      <c r="G1179">
        <v>0.931414500881669</v>
      </c>
      <c r="H1179">
        <v>0.935597162371358</v>
      </c>
      <c r="I1179">
        <v>0.892827969387247</v>
      </c>
      <c r="J1179">
        <v>0.542063546331886</v>
      </c>
      <c r="K1179">
        <v>0.164352192470139</v>
      </c>
      <c r="L1179">
        <v>2501.51532149397</v>
      </c>
      <c r="M1179">
        <v>38.8890622683154</v>
      </c>
      <c r="N1179">
        <v>64.3243790560031</v>
      </c>
      <c r="O1179">
        <v>64.1550117614001</v>
      </c>
      <c r="P1179">
        <v>-0.151543709899337</v>
      </c>
      <c r="Q1179">
        <v>0</v>
      </c>
      <c r="R1179">
        <v>0.893653882479294</v>
      </c>
      <c r="S1179" t="s">
        <v>2847</v>
      </c>
      <c r="T1179" t="s">
        <v>3312</v>
      </c>
      <c r="U1179" t="s">
        <v>3312</v>
      </c>
      <c r="V1179" t="s">
        <v>3312</v>
      </c>
      <c r="W1179" t="s">
        <v>4489</v>
      </c>
      <c r="X1179">
        <v>4</v>
      </c>
      <c r="Y1179" t="s">
        <v>6130</v>
      </c>
      <c r="Z1179" t="s">
        <v>7772</v>
      </c>
      <c r="AA1179">
        <v>0.9033339499975994</v>
      </c>
      <c r="AB1179">
        <f>HYPERLINK("Melting_Curves/meltCurve_P37325_ybcH.pdf", "Melting_Curves/meltCurve_P37325_ybcH.pdf")</f>
        <v>0</v>
      </c>
    </row>
    <row r="1180" spans="1:28">
      <c r="A1180" t="s">
        <v>1206</v>
      </c>
      <c r="B1180">
        <v>0.999984544473304</v>
      </c>
      <c r="C1180">
        <v>0.980933054842514</v>
      </c>
      <c r="D1180">
        <v>0.928317899704089</v>
      </c>
      <c r="E1180">
        <v>1.03724741349539</v>
      </c>
      <c r="F1180">
        <v>1.00795036533731</v>
      </c>
      <c r="G1180">
        <v>0.930875396785836</v>
      </c>
      <c r="H1180">
        <v>0.9638691019296241</v>
      </c>
      <c r="I1180">
        <v>0.91772671432583</v>
      </c>
      <c r="J1180">
        <v>0.754326062806666</v>
      </c>
      <c r="K1180">
        <v>0.74408278181206</v>
      </c>
      <c r="L1180">
        <v>3918.70119989692</v>
      </c>
      <c r="M1180">
        <v>63.5152514167691</v>
      </c>
      <c r="O1180">
        <v>61.6359384071632</v>
      </c>
      <c r="P1180">
        <v>-0.0675325312162024</v>
      </c>
      <c r="Q1180">
        <v>0.737862672537892</v>
      </c>
      <c r="R1180">
        <v>0.858857888123007</v>
      </c>
      <c r="S1180" t="s">
        <v>2848</v>
      </c>
      <c r="T1180" t="s">
        <v>3312</v>
      </c>
      <c r="U1180" t="s">
        <v>3312</v>
      </c>
      <c r="V1180" t="s">
        <v>3312</v>
      </c>
      <c r="W1180" t="s">
        <v>4490</v>
      </c>
      <c r="X1180">
        <v>16</v>
      </c>
      <c r="Y1180" t="s">
        <v>6131</v>
      </c>
      <c r="Z1180" t="s">
        <v>7773</v>
      </c>
      <c r="AA1180">
        <v>0.9540363278519967</v>
      </c>
      <c r="AB1180">
        <f>HYPERLINK("Melting_Curves/meltCurve_P37329_modA.pdf", "Melting_Curves/meltCurve_P37329_modA.pdf")</f>
        <v>0</v>
      </c>
    </row>
    <row r="1181" spans="1:28">
      <c r="A1181" t="s">
        <v>1207</v>
      </c>
      <c r="B1181">
        <v>0.999984544473304</v>
      </c>
      <c r="C1181">
        <v>1.14732561159148</v>
      </c>
      <c r="D1181">
        <v>0.996359359586622</v>
      </c>
      <c r="E1181">
        <v>1.13801744723068</v>
      </c>
      <c r="F1181">
        <v>0.249499950498044</v>
      </c>
      <c r="G1181">
        <v>0.0942397877693069</v>
      </c>
      <c r="H1181">
        <v>0.0641933157200818</v>
      </c>
      <c r="I1181">
        <v>0.0477687831972077</v>
      </c>
      <c r="J1181">
        <v>0.0338415368290784</v>
      </c>
      <c r="K1181">
        <v>0.0282711986410041</v>
      </c>
      <c r="L1181">
        <v>12482.5584712694</v>
      </c>
      <c r="M1181">
        <v>250</v>
      </c>
      <c r="N1181">
        <v>49.952919246732</v>
      </c>
      <c r="O1181">
        <v>49.9270157044742</v>
      </c>
      <c r="P1181">
        <v>-1.18465002208121</v>
      </c>
      <c r="Q1181">
        <v>0.0536629183547412</v>
      </c>
      <c r="R1181">
        <v>0.981682833520379</v>
      </c>
      <c r="S1181" t="s">
        <v>2849</v>
      </c>
      <c r="T1181" t="s">
        <v>3312</v>
      </c>
      <c r="U1181" t="s">
        <v>3312</v>
      </c>
      <c r="V1181" t="s">
        <v>3312</v>
      </c>
      <c r="W1181" t="s">
        <v>4491</v>
      </c>
      <c r="X1181">
        <v>20</v>
      </c>
      <c r="Y1181" t="s">
        <v>6132</v>
      </c>
      <c r="Z1181" t="s">
        <v>7774</v>
      </c>
      <c r="AA1181">
        <v>0.4616245028223667</v>
      </c>
      <c r="AB1181">
        <f>HYPERLINK("Melting_Curves/meltCurve_P37330_glcB.pdf", "Melting_Curves/meltCurve_P37330_glcB.pdf")</f>
        <v>0</v>
      </c>
    </row>
    <row r="1182" spans="1:28">
      <c r="A1182" t="s">
        <v>1208</v>
      </c>
      <c r="B1182">
        <v>0.999984544473304</v>
      </c>
      <c r="C1182">
        <v>0.913887846816557</v>
      </c>
      <c r="D1182">
        <v>0.920634980097736</v>
      </c>
      <c r="E1182">
        <v>0.653478844631014</v>
      </c>
      <c r="F1182">
        <v>0.537749803260542</v>
      </c>
      <c r="G1182">
        <v>0.33048232741026</v>
      </c>
      <c r="H1182">
        <v>0.236010456191589</v>
      </c>
      <c r="I1182">
        <v>0.18722090715864</v>
      </c>
      <c r="J1182">
        <v>0.129726333505006</v>
      </c>
      <c r="K1182">
        <v>0.139154203093851</v>
      </c>
      <c r="L1182">
        <v>588.097199101055</v>
      </c>
      <c r="M1182">
        <v>11.897599572903</v>
      </c>
      <c r="N1182">
        <v>50.2817784268241</v>
      </c>
      <c r="O1182">
        <v>48.0955163138296</v>
      </c>
      <c r="P1182">
        <v>-0.0562127287050213</v>
      </c>
      <c r="Q1182">
        <v>0.0912765058108633</v>
      </c>
      <c r="R1182">
        <v>0.992222680287935</v>
      </c>
      <c r="S1182" t="s">
        <v>2850</v>
      </c>
      <c r="T1182" t="s">
        <v>3312</v>
      </c>
      <c r="U1182" t="s">
        <v>3312</v>
      </c>
      <c r="V1182" t="s">
        <v>3312</v>
      </c>
      <c r="W1182" t="s">
        <v>4492</v>
      </c>
      <c r="X1182">
        <v>4</v>
      </c>
      <c r="Y1182" t="s">
        <v>6133</v>
      </c>
      <c r="Z1182" t="s">
        <v>7775</v>
      </c>
      <c r="AA1182">
        <v>0.4944255828447464</v>
      </c>
      <c r="AB1182">
        <f>HYPERLINK("Melting_Curves/meltCurve_P37339_lhgO.pdf", "Melting_Curves/meltCurve_P37339_lhgO.pdf")</f>
        <v>0</v>
      </c>
    </row>
    <row r="1183" spans="1:28">
      <c r="A1183" t="s">
        <v>1209</v>
      </c>
      <c r="B1183">
        <v>0.999984544473304</v>
      </c>
      <c r="C1183">
        <v>1.0086391595</v>
      </c>
      <c r="D1183">
        <v>0.855261324708948</v>
      </c>
      <c r="E1183">
        <v>0.559461315370956</v>
      </c>
      <c r="F1183">
        <v>0.262887690476269</v>
      </c>
      <c r="G1183">
        <v>0.193765532628037</v>
      </c>
      <c r="H1183">
        <v>0.110290926569968</v>
      </c>
      <c r="I1183">
        <v>0.0724918646655036</v>
      </c>
      <c r="J1183">
        <v>0.0383870916034782</v>
      </c>
      <c r="K1183">
        <v>0.0612324992777809</v>
      </c>
      <c r="L1183">
        <v>864.072915746587</v>
      </c>
      <c r="M1183">
        <v>18.3906938122371</v>
      </c>
      <c r="N1183">
        <v>47.3303950137736</v>
      </c>
      <c r="O1183">
        <v>46.4393084051616</v>
      </c>
      <c r="P1183">
        <v>-0.09277853760076681</v>
      </c>
      <c r="Q1183">
        <v>0.0629230087009109</v>
      </c>
      <c r="R1183">
        <v>0.995938801258217</v>
      </c>
      <c r="S1183" t="s">
        <v>2851</v>
      </c>
      <c r="T1183" t="s">
        <v>3312</v>
      </c>
      <c r="U1183" t="s">
        <v>3312</v>
      </c>
      <c r="V1183" t="s">
        <v>3312</v>
      </c>
      <c r="W1183" t="s">
        <v>4493</v>
      </c>
      <c r="X1183">
        <v>1</v>
      </c>
      <c r="Y1183" t="s">
        <v>6134</v>
      </c>
      <c r="Z1183" t="s">
        <v>7776</v>
      </c>
      <c r="AA1183">
        <v>0.3892274218455432</v>
      </c>
      <c r="AB1183">
        <f>HYPERLINK("Melting_Curves/meltCurve_P37342_yjjI.pdf", "Melting_Curves/meltCurve_P37342_yjjI.pdf")</f>
        <v>0</v>
      </c>
    </row>
    <row r="1184" spans="1:28">
      <c r="A1184" t="s">
        <v>1210</v>
      </c>
      <c r="B1184">
        <v>0.999984544473304</v>
      </c>
      <c r="C1184">
        <v>0.978601672237065</v>
      </c>
      <c r="D1184">
        <v>1.04592493248075</v>
      </c>
      <c r="E1184">
        <v>0.942338182605795</v>
      </c>
      <c r="F1184">
        <v>0.849366043180122</v>
      </c>
      <c r="G1184">
        <v>0.388390125900454</v>
      </c>
      <c r="H1184">
        <v>0.142433906386312</v>
      </c>
      <c r="I1184">
        <v>0.09893159454244529</v>
      </c>
      <c r="J1184">
        <v>0.074211326558665</v>
      </c>
      <c r="K1184">
        <v>0.0542280159146115</v>
      </c>
      <c r="L1184">
        <v>1620.9597386976</v>
      </c>
      <c r="M1184">
        <v>30.7451043085185</v>
      </c>
      <c r="N1184">
        <v>52.9789991205853</v>
      </c>
      <c r="O1184">
        <v>52.5010034976606</v>
      </c>
      <c r="P1184">
        <v>-0.136280195093438</v>
      </c>
      <c r="Q1184">
        <v>0.0691457305409518</v>
      </c>
      <c r="R1184">
        <v>0.997064861597133</v>
      </c>
      <c r="S1184" t="s">
        <v>2852</v>
      </c>
      <c r="T1184" t="s">
        <v>3312</v>
      </c>
      <c r="U1184" t="s">
        <v>3312</v>
      </c>
      <c r="V1184" t="s">
        <v>3312</v>
      </c>
      <c r="W1184" t="s">
        <v>4494</v>
      </c>
      <c r="X1184">
        <v>3</v>
      </c>
      <c r="Y1184" t="s">
        <v>6135</v>
      </c>
      <c r="Z1184" t="s">
        <v>7777</v>
      </c>
      <c r="AA1184">
        <v>0.5626374307168935</v>
      </c>
      <c r="AB1184">
        <f>HYPERLINK("Melting_Curves/meltCurve_P37349_dhaM.pdf", "Melting_Curves/meltCurve_P37349_dhaM.pdf")</f>
        <v>0</v>
      </c>
    </row>
    <row r="1185" spans="1:28">
      <c r="A1185" t="s">
        <v>1211</v>
      </c>
      <c r="B1185">
        <v>0.999984544473304</v>
      </c>
      <c r="C1185">
        <v>1.00493734054497</v>
      </c>
      <c r="D1185">
        <v>0.8552687961565379</v>
      </c>
      <c r="E1185">
        <v>0.99168200774134</v>
      </c>
      <c r="F1185">
        <v>1.05879227185799</v>
      </c>
      <c r="G1185">
        <v>0.710682943668389</v>
      </c>
      <c r="H1185">
        <v>0.568384570760038</v>
      </c>
      <c r="I1185">
        <v>0.283456251303693</v>
      </c>
      <c r="J1185">
        <v>0.137343347068363</v>
      </c>
      <c r="K1185">
        <v>0.07570438843003249</v>
      </c>
      <c r="L1185">
        <v>1052.6306571698</v>
      </c>
      <c r="M1185">
        <v>18.1964918253038</v>
      </c>
      <c r="N1185">
        <v>57.848002581678</v>
      </c>
      <c r="O1185">
        <v>57.1629194798405</v>
      </c>
      <c r="P1185">
        <v>-0.0795854734219477</v>
      </c>
      <c r="Q1185">
        <v>0</v>
      </c>
      <c r="R1185">
        <v>0.967183528403351</v>
      </c>
      <c r="S1185" t="s">
        <v>2853</v>
      </c>
      <c r="T1185" t="s">
        <v>3312</v>
      </c>
      <c r="U1185" t="s">
        <v>3312</v>
      </c>
      <c r="V1185" t="s">
        <v>3312</v>
      </c>
      <c r="W1185" t="s">
        <v>4495</v>
      </c>
      <c r="X1185">
        <v>1</v>
      </c>
      <c r="Y1185" t="s">
        <v>6136</v>
      </c>
      <c r="Z1185" t="s">
        <v>7778</v>
      </c>
      <c r="AA1185">
        <v>0.7017408966739828</v>
      </c>
      <c r="AB1185">
        <f>HYPERLINK("Melting_Curves/meltCurve_P37351_rpiB.pdf", "Melting_Curves/meltCurve_P37351_rpiB.pdf")</f>
        <v>0</v>
      </c>
    </row>
    <row r="1186" spans="1:28">
      <c r="A1186" t="s">
        <v>1212</v>
      </c>
      <c r="B1186">
        <v>0.999984544473304</v>
      </c>
      <c r="C1186">
        <v>0.8940664497420751</v>
      </c>
      <c r="D1186">
        <v>0.999159535817567</v>
      </c>
      <c r="E1186">
        <v>0.961007967709961</v>
      </c>
      <c r="F1186">
        <v>1.11221449224773</v>
      </c>
      <c r="G1186">
        <v>0.8984777321980389</v>
      </c>
      <c r="H1186">
        <v>0.89183997030746</v>
      </c>
      <c r="I1186">
        <v>0.815967556534857</v>
      </c>
      <c r="J1186">
        <v>0.745185724732652</v>
      </c>
      <c r="K1186">
        <v>0.7105579858954419</v>
      </c>
      <c r="L1186">
        <v>1057.35682584619</v>
      </c>
      <c r="M1186">
        <v>17.7543957138834</v>
      </c>
      <c r="O1186">
        <v>58.8145286322863</v>
      </c>
      <c r="P1186">
        <v>-0.0245484618138987</v>
      </c>
      <c r="Q1186">
        <v>0.674732717793887</v>
      </c>
      <c r="R1186">
        <v>0.767353158255334</v>
      </c>
      <c r="S1186" t="s">
        <v>2854</v>
      </c>
      <c r="T1186" t="s">
        <v>3312</v>
      </c>
      <c r="U1186" t="s">
        <v>3312</v>
      </c>
      <c r="V1186" t="s">
        <v>3312</v>
      </c>
      <c r="W1186" t="s">
        <v>4496</v>
      </c>
      <c r="X1186">
        <v>11</v>
      </c>
      <c r="Y1186" t="s">
        <v>6137</v>
      </c>
      <c r="Z1186" t="s">
        <v>7779</v>
      </c>
      <c r="AA1186">
        <v>0.9193580470519611</v>
      </c>
      <c r="AB1186">
        <f>HYPERLINK("Melting_Curves/meltCurve_P37387_xylF.pdf", "Melting_Curves/meltCurve_P37387_xylF.pdf")</f>
        <v>0</v>
      </c>
    </row>
    <row r="1187" spans="1:28">
      <c r="A1187" t="s">
        <v>1213</v>
      </c>
      <c r="B1187">
        <v>0.999984544473304</v>
      </c>
      <c r="C1187">
        <v>0.795333888434026</v>
      </c>
      <c r="D1187">
        <v>0.83842216873152</v>
      </c>
      <c r="E1187">
        <v>0.576904294775974</v>
      </c>
      <c r="F1187">
        <v>0.401915952107664</v>
      </c>
      <c r="G1187">
        <v>0.173399990528611</v>
      </c>
      <c r="H1187">
        <v>0.0779516124009853</v>
      </c>
      <c r="I1187">
        <v>0.0403460946088172</v>
      </c>
      <c r="J1187">
        <v>0.0258047311274452</v>
      </c>
      <c r="K1187">
        <v>0.0289994308211242</v>
      </c>
      <c r="L1187">
        <v>592.815984822864</v>
      </c>
      <c r="M1187">
        <v>12.4125780096173</v>
      </c>
      <c r="N1187">
        <v>47.7592737341535</v>
      </c>
      <c r="O1187">
        <v>46.5704843309125</v>
      </c>
      <c r="P1187">
        <v>-0.06664737416242381</v>
      </c>
      <c r="Q1187">
        <v>0</v>
      </c>
      <c r="R1187">
        <v>0.982549844002696</v>
      </c>
      <c r="S1187" t="s">
        <v>2855</v>
      </c>
      <c r="T1187" t="s">
        <v>3312</v>
      </c>
      <c r="U1187" t="s">
        <v>3312</v>
      </c>
      <c r="V1187" t="s">
        <v>3312</v>
      </c>
      <c r="W1187" t="s">
        <v>4497</v>
      </c>
      <c r="X1187">
        <v>7</v>
      </c>
      <c r="Y1187" t="s">
        <v>6138</v>
      </c>
      <c r="Z1187" t="s">
        <v>7780</v>
      </c>
      <c r="AA1187">
        <v>0.3887442667135553</v>
      </c>
      <c r="AB1187">
        <f>HYPERLINK("Melting_Curves/meltCurve_P37440_ucpA.pdf", "Melting_Curves/meltCurve_P37440_ucpA.pdf")</f>
        <v>0</v>
      </c>
    </row>
    <row r="1188" spans="1:28">
      <c r="A1188" t="s">
        <v>1214</v>
      </c>
      <c r="B1188">
        <v>0.999984544473304</v>
      </c>
      <c r="C1188">
        <v>1.02187449004122</v>
      </c>
      <c r="D1188">
        <v>1.0839438553508</v>
      </c>
      <c r="E1188">
        <v>1.04971420802862</v>
      </c>
      <c r="F1188">
        <v>1.12931305925292</v>
      </c>
      <c r="G1188">
        <v>0.992691607501907</v>
      </c>
      <c r="H1188">
        <v>0.83637637390694</v>
      </c>
      <c r="I1188">
        <v>0.818066644676801</v>
      </c>
      <c r="J1188">
        <v>0.582847219318689</v>
      </c>
      <c r="K1188">
        <v>0.72572810594918</v>
      </c>
      <c r="L1188">
        <v>1699.36270605671</v>
      </c>
      <c r="M1188">
        <v>29.0233421072844</v>
      </c>
      <c r="O1188">
        <v>58.2757120787051</v>
      </c>
      <c r="P1188">
        <v>-0.0419877138915421</v>
      </c>
      <c r="Q1188">
        <v>0.662775371869452</v>
      </c>
      <c r="R1188">
        <v>0.823037960143522</v>
      </c>
      <c r="S1188" t="s">
        <v>2856</v>
      </c>
      <c r="T1188" t="s">
        <v>3312</v>
      </c>
      <c r="U1188" t="s">
        <v>3312</v>
      </c>
      <c r="V1188" t="s">
        <v>3312</v>
      </c>
      <c r="W1188" t="s">
        <v>4498</v>
      </c>
      <c r="X1188">
        <v>5</v>
      </c>
      <c r="Y1188" t="s">
        <v>6139</v>
      </c>
      <c r="Z1188" t="s">
        <v>7781</v>
      </c>
      <c r="AA1188">
        <v>0.9068242119829073</v>
      </c>
      <c r="AB1188">
        <f>HYPERLINK("Melting_Curves/meltCurve_P37595_iaaA.pdf", "Melting_Curves/meltCurve_P37595_iaaA.pdf")</f>
        <v>0</v>
      </c>
    </row>
    <row r="1189" spans="1:28">
      <c r="A1189" t="s">
        <v>1215</v>
      </c>
      <c r="B1189">
        <v>0.999984544473304</v>
      </c>
      <c r="C1189">
        <v>0.589914349208957</v>
      </c>
      <c r="D1189">
        <v>0.939547556519212</v>
      </c>
      <c r="E1189">
        <v>0.684648776837248</v>
      </c>
      <c r="F1189">
        <v>0.5792223314621801</v>
      </c>
      <c r="G1189">
        <v>0.1708545186623</v>
      </c>
      <c r="H1189">
        <v>0.0738654812061694</v>
      </c>
      <c r="I1189">
        <v>0.0528897539197166</v>
      </c>
      <c r="J1189">
        <v>0.0240342946992497</v>
      </c>
      <c r="K1189">
        <v>0.0183274668496678</v>
      </c>
      <c r="L1189">
        <v>642.252431534973</v>
      </c>
      <c r="M1189">
        <v>13.0184393259625</v>
      </c>
      <c r="N1189">
        <v>49.3340393841316</v>
      </c>
      <c r="O1189">
        <v>48.2135148979325</v>
      </c>
      <c r="P1189">
        <v>-0.0675159586298254</v>
      </c>
      <c r="Q1189">
        <v>0</v>
      </c>
      <c r="R1189">
        <v>0.875993202930795</v>
      </c>
      <c r="S1189" t="s">
        <v>2857</v>
      </c>
      <c r="T1189" t="s">
        <v>3312</v>
      </c>
      <c r="U1189" t="s">
        <v>3312</v>
      </c>
      <c r="V1189" t="s">
        <v>3312</v>
      </c>
      <c r="W1189" t="s">
        <v>4499</v>
      </c>
      <c r="X1189">
        <v>3</v>
      </c>
      <c r="Y1189" t="s">
        <v>6140</v>
      </c>
      <c r="Z1189" t="s">
        <v>7782</v>
      </c>
      <c r="AA1189">
        <v>0.4373212134620471</v>
      </c>
      <c r="AB1189">
        <f>HYPERLINK("Melting_Curves/meltCurve_P37613_panM.pdf", "Melting_Curves/meltCurve_P37613_panM.pdf")</f>
        <v>0</v>
      </c>
    </row>
    <row r="1190" spans="1:28">
      <c r="A1190" t="s">
        <v>1216</v>
      </c>
      <c r="B1190">
        <v>0.999984544473304</v>
      </c>
      <c r="C1190">
        <v>1.02881068877738</v>
      </c>
      <c r="D1190">
        <v>0.598995595928051</v>
      </c>
      <c r="E1190">
        <v>0.540959657356711</v>
      </c>
      <c r="F1190">
        <v>0.389144605253284</v>
      </c>
      <c r="G1190">
        <v>0.241533269790733</v>
      </c>
      <c r="H1190">
        <v>0.217344279727421</v>
      </c>
      <c r="I1190">
        <v>0.201668786919658</v>
      </c>
      <c r="J1190">
        <v>0.112567060328677</v>
      </c>
      <c r="K1190">
        <v>0.137516231593252</v>
      </c>
      <c r="L1190">
        <v>591.280997516444</v>
      </c>
      <c r="M1190">
        <v>12.9081052555886</v>
      </c>
      <c r="N1190">
        <v>46.9832433516996</v>
      </c>
      <c r="O1190">
        <v>44.7493338911815</v>
      </c>
      <c r="P1190">
        <v>-0.0621676021452527</v>
      </c>
      <c r="Q1190">
        <v>0.138075165812205</v>
      </c>
      <c r="R1190">
        <v>0.955061341584782</v>
      </c>
      <c r="S1190" t="s">
        <v>2858</v>
      </c>
      <c r="T1190" t="s">
        <v>3312</v>
      </c>
      <c r="U1190" t="s">
        <v>3312</v>
      </c>
      <c r="V1190" t="s">
        <v>3312</v>
      </c>
      <c r="W1190" t="s">
        <v>4500</v>
      </c>
      <c r="X1190">
        <v>1</v>
      </c>
      <c r="Y1190" t="s">
        <v>6141</v>
      </c>
      <c r="Z1190" t="s">
        <v>7783</v>
      </c>
      <c r="AA1190">
        <v>0.4175163312397118</v>
      </c>
      <c r="AB1190">
        <f>HYPERLINK("Melting_Curves/meltCurve_P37617_zntA.pdf", "Melting_Curves/meltCurve_P37617_zntA.pdf")</f>
        <v>0</v>
      </c>
    </row>
    <row r="1191" spans="1:28">
      <c r="A1191" t="s">
        <v>1217</v>
      </c>
      <c r="B1191">
        <v>0.999984544473304</v>
      </c>
      <c r="C1191">
        <v>0.865934297188125</v>
      </c>
      <c r="D1191">
        <v>0.658456262366384</v>
      </c>
      <c r="E1191">
        <v>0.370780345750332</v>
      </c>
      <c r="F1191">
        <v>0.212742991088999</v>
      </c>
      <c r="G1191">
        <v>0.14583525143807</v>
      </c>
      <c r="H1191">
        <v>0.1191353797239</v>
      </c>
      <c r="I1191">
        <v>0.0948599968367488</v>
      </c>
      <c r="J1191">
        <v>0.0715544226974847</v>
      </c>
      <c r="K1191">
        <v>0.0774815015245142</v>
      </c>
      <c r="L1191">
        <v>713.615443486204</v>
      </c>
      <c r="M1191">
        <v>16.0602108004977</v>
      </c>
      <c r="N1191">
        <v>44.933834750854</v>
      </c>
      <c r="O1191">
        <v>43.761952700196</v>
      </c>
      <c r="P1191">
        <v>-0.08424562890696741</v>
      </c>
      <c r="Q1191">
        <v>0.0818377936699894</v>
      </c>
      <c r="R1191">
        <v>0.99819099507401</v>
      </c>
      <c r="S1191" t="s">
        <v>2859</v>
      </c>
      <c r="T1191" t="s">
        <v>3312</v>
      </c>
      <c r="U1191" t="s">
        <v>3312</v>
      </c>
      <c r="V1191" t="s">
        <v>3312</v>
      </c>
      <c r="W1191" t="s">
        <v>4501</v>
      </c>
      <c r="X1191">
        <v>14</v>
      </c>
      <c r="Y1191" t="s">
        <v>6142</v>
      </c>
      <c r="Z1191" t="s">
        <v>7784</v>
      </c>
      <c r="AA1191">
        <v>0.3287522065810617</v>
      </c>
      <c r="AB1191">
        <f>HYPERLINK("Melting_Curves/meltCurve_P37626_yhiI.pdf", "Melting_Curves/meltCurve_P37626_yhiI.pdf")</f>
        <v>0</v>
      </c>
    </row>
    <row r="1192" spans="1:28">
      <c r="A1192" t="s">
        <v>1218</v>
      </c>
      <c r="B1192">
        <v>0.999984544473304</v>
      </c>
      <c r="C1192">
        <v>0.85164215114763</v>
      </c>
      <c r="D1192">
        <v>0.948258440121384</v>
      </c>
      <c r="E1192">
        <v>0.744051175559147</v>
      </c>
      <c r="F1192">
        <v>0.806435418961142</v>
      </c>
      <c r="G1192">
        <v>0.281171341769456</v>
      </c>
      <c r="H1192">
        <v>0.0629414165923102</v>
      </c>
      <c r="I1192">
        <v>0.0800641555305914</v>
      </c>
      <c r="J1192">
        <v>0</v>
      </c>
      <c r="K1192">
        <v>0</v>
      </c>
      <c r="L1192">
        <v>1120.56444843566</v>
      </c>
      <c r="M1192">
        <v>21.5602170162393</v>
      </c>
      <c r="N1192">
        <v>51.9737086803547</v>
      </c>
      <c r="O1192">
        <v>51.5327907822157</v>
      </c>
      <c r="P1192">
        <v>-0.104597196973239</v>
      </c>
      <c r="Q1192">
        <v>0</v>
      </c>
      <c r="R1192">
        <v>0.9526978097373771</v>
      </c>
      <c r="S1192" t="s">
        <v>2860</v>
      </c>
      <c r="T1192" t="s">
        <v>3312</v>
      </c>
      <c r="U1192" t="s">
        <v>3312</v>
      </c>
      <c r="V1192" t="s">
        <v>3312</v>
      </c>
      <c r="W1192" t="s">
        <v>4502</v>
      </c>
      <c r="X1192">
        <v>1</v>
      </c>
      <c r="Y1192" t="s">
        <v>6143</v>
      </c>
      <c r="Z1192" t="s">
        <v>7785</v>
      </c>
      <c r="AA1192">
        <v>0.5105698212716197</v>
      </c>
      <c r="AB1192">
        <f>HYPERLINK("Melting_Curves/meltCurve_P37631_yhiN.pdf", "Melting_Curves/meltCurve_P37631_yhiN.pdf")</f>
        <v>0</v>
      </c>
    </row>
    <row r="1193" spans="1:28">
      <c r="A1193" t="s">
        <v>1219</v>
      </c>
      <c r="B1193">
        <v>0.999984544473304</v>
      </c>
      <c r="C1193">
        <v>1.28421434426015</v>
      </c>
      <c r="D1193">
        <v>0.745448814718681</v>
      </c>
      <c r="E1193">
        <v>1.3393684240799</v>
      </c>
      <c r="F1193">
        <v>0.7816682153419821</v>
      </c>
      <c r="G1193">
        <v>0.791376524607406</v>
      </c>
      <c r="H1193">
        <v>0.743854963410557</v>
      </c>
      <c r="I1193">
        <v>0.503543924421209</v>
      </c>
      <c r="J1193">
        <v>0.321457658579122</v>
      </c>
      <c r="K1193">
        <v>0.144514705998981</v>
      </c>
      <c r="L1193">
        <v>862.478244134135</v>
      </c>
      <c r="M1193">
        <v>14.2405743539021</v>
      </c>
      <c r="N1193">
        <v>60.564849632164</v>
      </c>
      <c r="O1193">
        <v>59.4080842820838</v>
      </c>
      <c r="P1193">
        <v>-0.0599343417161955</v>
      </c>
      <c r="Q1193">
        <v>0</v>
      </c>
      <c r="R1193">
        <v>0.763256427692093</v>
      </c>
      <c r="S1193" t="s">
        <v>2861</v>
      </c>
      <c r="T1193" t="s">
        <v>3312</v>
      </c>
      <c r="U1193" t="s">
        <v>3312</v>
      </c>
      <c r="V1193" t="s">
        <v>3312</v>
      </c>
      <c r="W1193" t="s">
        <v>4503</v>
      </c>
      <c r="X1193">
        <v>1</v>
      </c>
      <c r="Y1193" t="s">
        <v>6144</v>
      </c>
      <c r="Z1193" t="s">
        <v>7786</v>
      </c>
      <c r="AA1193">
        <v>0.7727040132931086</v>
      </c>
      <c r="AB1193">
        <f>HYPERLINK("Melting_Curves/meltCurve_P37634_rlmJ.pdf", "Melting_Curves/meltCurve_P37634_rlmJ.pdf")</f>
        <v>0</v>
      </c>
    </row>
    <row r="1194" spans="1:28">
      <c r="A1194" t="s">
        <v>1220</v>
      </c>
      <c r="B1194">
        <v>0.999984544473304</v>
      </c>
      <c r="C1194">
        <v>0.86391929982574</v>
      </c>
      <c r="D1194">
        <v>1.1714322116776</v>
      </c>
      <c r="E1194">
        <v>0.9095887086223799</v>
      </c>
      <c r="F1194">
        <v>0.685915725170996</v>
      </c>
      <c r="G1194">
        <v>0.304591740104397</v>
      </c>
      <c r="H1194">
        <v>0.137327493283983</v>
      </c>
      <c r="I1194">
        <v>0.0592505777512877</v>
      </c>
      <c r="J1194">
        <v>0.0324590197584119</v>
      </c>
      <c r="K1194">
        <v>0.0283422222971286</v>
      </c>
      <c r="L1194">
        <v>1222.23572560701</v>
      </c>
      <c r="M1194">
        <v>23.6144025260562</v>
      </c>
      <c r="N1194">
        <v>51.8973838988197</v>
      </c>
      <c r="O1194">
        <v>51.3911750347051</v>
      </c>
      <c r="P1194">
        <v>-0.111349435862081</v>
      </c>
      <c r="Q1194">
        <v>0.0307132342498624</v>
      </c>
      <c r="R1194">
        <v>0.971920190640314</v>
      </c>
      <c r="S1194" t="s">
        <v>2862</v>
      </c>
      <c r="T1194" t="s">
        <v>3312</v>
      </c>
      <c r="U1194" t="s">
        <v>3312</v>
      </c>
      <c r="V1194" t="s">
        <v>3312</v>
      </c>
      <c r="W1194" t="s">
        <v>4504</v>
      </c>
      <c r="X1194">
        <v>7</v>
      </c>
      <c r="Y1194" t="s">
        <v>6145</v>
      </c>
      <c r="Z1194" t="s">
        <v>7787</v>
      </c>
      <c r="AA1194">
        <v>0.5170449070243818</v>
      </c>
      <c r="AB1194">
        <f>HYPERLINK("Melting_Curves/meltCurve_P37636_mdtE.pdf", "Melting_Curves/meltCurve_P37636_mdtE.pdf")</f>
        <v>0</v>
      </c>
    </row>
    <row r="1195" spans="1:28">
      <c r="A1195" t="s">
        <v>1221</v>
      </c>
      <c r="B1195">
        <v>0.999984544473304</v>
      </c>
      <c r="C1195">
        <v>1.92604024301425</v>
      </c>
      <c r="D1195">
        <v>1.17844642069514</v>
      </c>
      <c r="E1195">
        <v>1.19535210840678</v>
      </c>
      <c r="F1195">
        <v>0.26880835692407</v>
      </c>
      <c r="G1195">
        <v>0.0950452630421456</v>
      </c>
      <c r="H1195">
        <v>0.0683416333772176</v>
      </c>
      <c r="I1195">
        <v>0.0508992319688682</v>
      </c>
      <c r="J1195">
        <v>0.0348564847599157</v>
      </c>
      <c r="K1195">
        <v>0.0318616913577057</v>
      </c>
      <c r="L1195">
        <v>12487.9915694569</v>
      </c>
      <c r="M1195">
        <v>250</v>
      </c>
      <c r="N1195">
        <v>49.9758021057972</v>
      </c>
      <c r="O1195">
        <v>49.9487783919898</v>
      </c>
      <c r="P1195">
        <v>-1.18095895122815</v>
      </c>
      <c r="Q1195">
        <v>0.0562008540934992</v>
      </c>
      <c r="R1195">
        <v>0.778300131513995</v>
      </c>
      <c r="S1195" t="s">
        <v>2863</v>
      </c>
      <c r="T1195" t="s">
        <v>3312</v>
      </c>
      <c r="U1195" t="s">
        <v>3312</v>
      </c>
      <c r="V1195" t="s">
        <v>3312</v>
      </c>
      <c r="W1195" t="s">
        <v>4505</v>
      </c>
      <c r="X1195">
        <v>7</v>
      </c>
      <c r="Y1195" t="s">
        <v>6146</v>
      </c>
      <c r="Z1195" t="s">
        <v>7788</v>
      </c>
      <c r="AA1195">
        <v>0.4637520825341068</v>
      </c>
      <c r="AB1195">
        <f>HYPERLINK("Melting_Curves/meltCurve_P37637_mdtF.pdf", "Melting_Curves/meltCurve_P37637_mdtF.pdf")</f>
        <v>0</v>
      </c>
    </row>
    <row r="1196" spans="1:28">
      <c r="A1196" t="s">
        <v>1222</v>
      </c>
      <c r="B1196">
        <v>0.999984544473304</v>
      </c>
      <c r="C1196">
        <v>0.908964380184809</v>
      </c>
      <c r="D1196">
        <v>0.965858766212675</v>
      </c>
      <c r="E1196">
        <v>0.822403740376447</v>
      </c>
      <c r="F1196">
        <v>0.703610624843118</v>
      </c>
      <c r="G1196">
        <v>0.466599582956566</v>
      </c>
      <c r="H1196">
        <v>0.287562051511256</v>
      </c>
      <c r="I1196">
        <v>0.14486116201967</v>
      </c>
      <c r="J1196">
        <v>0.0684481330485897</v>
      </c>
      <c r="K1196">
        <v>0.0427445226784916</v>
      </c>
      <c r="L1196">
        <v>694.304429724598</v>
      </c>
      <c r="M1196">
        <v>13.0747910032632</v>
      </c>
      <c r="N1196">
        <v>53.1025259861253</v>
      </c>
      <c r="O1196">
        <v>51.9063630359998</v>
      </c>
      <c r="P1196">
        <v>-0.06298382970559969</v>
      </c>
      <c r="Q1196">
        <v>0</v>
      </c>
      <c r="R1196">
        <v>0.992660454572495</v>
      </c>
      <c r="S1196" t="s">
        <v>2864</v>
      </c>
      <c r="T1196" t="s">
        <v>3312</v>
      </c>
      <c r="U1196" t="s">
        <v>3312</v>
      </c>
      <c r="V1196" t="s">
        <v>3312</v>
      </c>
      <c r="W1196" t="s">
        <v>4506</v>
      </c>
      <c r="X1196">
        <v>2</v>
      </c>
      <c r="Y1196" t="s">
        <v>6147</v>
      </c>
      <c r="Z1196" t="s">
        <v>7789</v>
      </c>
      <c r="AA1196">
        <v>0.5565186184826196</v>
      </c>
      <c r="AB1196">
        <f>HYPERLINK("Melting_Curves/meltCurve_P37642_yhjD.pdf", "Melting_Curves/meltCurve_P37642_yhjD.pdf")</f>
        <v>0</v>
      </c>
    </row>
    <row r="1197" spans="1:28">
      <c r="A1197" t="s">
        <v>1223</v>
      </c>
      <c r="B1197">
        <v>0.999984544473304</v>
      </c>
      <c r="C1197">
        <v>1.14986834844971</v>
      </c>
      <c r="D1197">
        <v>0.719486632147044</v>
      </c>
      <c r="E1197">
        <v>0.502679118784906</v>
      </c>
      <c r="F1197">
        <v>0.141825336872015</v>
      </c>
      <c r="G1197">
        <v>0.0487815825247099</v>
      </c>
      <c r="H1197">
        <v>0.0342446876166733</v>
      </c>
      <c r="I1197">
        <v>0.0240470580742117</v>
      </c>
      <c r="J1197">
        <v>0.017395336305854</v>
      </c>
      <c r="K1197">
        <v>0.0189277612019361</v>
      </c>
      <c r="L1197">
        <v>979.857278749749</v>
      </c>
      <c r="M1197">
        <v>21.2474661404482</v>
      </c>
      <c r="N1197">
        <v>46.1796167726878</v>
      </c>
      <c r="O1197">
        <v>45.7137637304607</v>
      </c>
      <c r="P1197">
        <v>-0.114536570591467</v>
      </c>
      <c r="Q1197">
        <v>0.0143270537591505</v>
      </c>
      <c r="R1197">
        <v>0.972740580464483</v>
      </c>
      <c r="S1197" t="s">
        <v>2865</v>
      </c>
      <c r="T1197" t="s">
        <v>3312</v>
      </c>
      <c r="U1197" t="s">
        <v>3312</v>
      </c>
      <c r="V1197" t="s">
        <v>3312</v>
      </c>
      <c r="W1197" t="s">
        <v>4507</v>
      </c>
      <c r="X1197">
        <v>14</v>
      </c>
      <c r="Y1197" t="s">
        <v>6148</v>
      </c>
      <c r="Z1197" t="s">
        <v>7790</v>
      </c>
      <c r="AA1197">
        <v>0.3252527264579657</v>
      </c>
      <c r="AB1197">
        <f>HYPERLINK("Melting_Curves/meltCurve_P37645_yhjG.pdf", "Melting_Curves/meltCurve_P37645_yhjG.pdf")</f>
        <v>0</v>
      </c>
    </row>
    <row r="1198" spans="1:28">
      <c r="A1198" t="s">
        <v>1224</v>
      </c>
      <c r="B1198">
        <v>0.999984544473304</v>
      </c>
      <c r="C1198">
        <v>0.921235819367331</v>
      </c>
      <c r="D1198">
        <v>1.00866093252598</v>
      </c>
      <c r="E1198">
        <v>0.982130916206218</v>
      </c>
      <c r="F1198">
        <v>1.08065134561708</v>
      </c>
      <c r="G1198">
        <v>0.848205454186829</v>
      </c>
      <c r="H1198">
        <v>0.424942585613169</v>
      </c>
      <c r="I1198">
        <v>0.0817971671041538</v>
      </c>
      <c r="J1198">
        <v>0.0379155813688733</v>
      </c>
      <c r="K1198">
        <v>0.0312773552297742</v>
      </c>
      <c r="L1198">
        <v>1985.05122234795</v>
      </c>
      <c r="M1198">
        <v>34.9842505920678</v>
      </c>
      <c r="N1198">
        <v>56.8041110534789</v>
      </c>
      <c r="O1198">
        <v>56.556829608181</v>
      </c>
      <c r="P1198">
        <v>-0.151707734549284</v>
      </c>
      <c r="Q1198">
        <v>0.0189779929298402</v>
      </c>
      <c r="R1198">
        <v>0.991090263215472</v>
      </c>
      <c r="S1198" t="s">
        <v>2866</v>
      </c>
      <c r="T1198" t="s">
        <v>3312</v>
      </c>
      <c r="U1198" t="s">
        <v>3312</v>
      </c>
      <c r="V1198" t="s">
        <v>3312</v>
      </c>
      <c r="W1198" t="s">
        <v>4508</v>
      </c>
      <c r="X1198">
        <v>4</v>
      </c>
      <c r="Y1198" t="s">
        <v>6149</v>
      </c>
      <c r="Z1198" t="s">
        <v>7791</v>
      </c>
      <c r="AA1198">
        <v>0.6692035098503871</v>
      </c>
      <c r="AB1198">
        <f>HYPERLINK("Melting_Curves/meltCurve_P37647_kdgK.pdf", "Melting_Curves/meltCurve_P37647_kdgK.pdf")</f>
        <v>0</v>
      </c>
    </row>
    <row r="1199" spans="1:28">
      <c r="A1199" t="s">
        <v>1225</v>
      </c>
      <c r="B1199">
        <v>0.999984544473304</v>
      </c>
      <c r="C1199">
        <v>1.0673851929605</v>
      </c>
      <c r="D1199">
        <v>1.06223289274688</v>
      </c>
      <c r="E1199">
        <v>1.05412780392428</v>
      </c>
      <c r="F1199">
        <v>1.07937764417979</v>
      </c>
      <c r="G1199">
        <v>0.376164140137703</v>
      </c>
      <c r="H1199">
        <v>0.0906052229510977</v>
      </c>
      <c r="I1199">
        <v>0.0545862347804315</v>
      </c>
      <c r="J1199">
        <v>0.0474905219798441</v>
      </c>
      <c r="K1199">
        <v>0.0346326785952739</v>
      </c>
      <c r="L1199">
        <v>13413.9731039785</v>
      </c>
      <c r="M1199">
        <v>250</v>
      </c>
      <c r="N1199">
        <v>53.6817996112044</v>
      </c>
      <c r="O1199">
        <v>53.6524589667632</v>
      </c>
      <c r="P1199">
        <v>-1.09870472314666</v>
      </c>
      <c r="Q1199">
        <v>0.0568286429268543</v>
      </c>
      <c r="R1199">
        <v>0.991422793092163</v>
      </c>
      <c r="S1199" t="s">
        <v>2867</v>
      </c>
      <c r="T1199" t="s">
        <v>3312</v>
      </c>
      <c r="U1199" t="s">
        <v>3312</v>
      </c>
      <c r="V1199" t="s">
        <v>3312</v>
      </c>
      <c r="W1199" t="s">
        <v>4509</v>
      </c>
      <c r="X1199">
        <v>11</v>
      </c>
      <c r="Y1199" t="s">
        <v>6150</v>
      </c>
      <c r="Z1199" t="s">
        <v>7792</v>
      </c>
      <c r="AA1199">
        <v>0.5805628120053229</v>
      </c>
      <c r="AB1199">
        <f>HYPERLINK("Melting_Curves/meltCurve_P37648_yhjJ.pdf", "Melting_Curves/meltCurve_P37648_yhjJ.pdf")</f>
        <v>0</v>
      </c>
    </row>
    <row r="1200" spans="1:28">
      <c r="A1200" t="s">
        <v>1226</v>
      </c>
      <c r="B1200">
        <v>0.999984544473304</v>
      </c>
      <c r="C1200">
        <v>0.781028334329032</v>
      </c>
      <c r="D1200">
        <v>0.36015472911327</v>
      </c>
      <c r="E1200">
        <v>0.115359519777769</v>
      </c>
      <c r="F1200">
        <v>0.0593669394641231</v>
      </c>
      <c r="G1200">
        <v>0.0618344174061482</v>
      </c>
      <c r="H1200">
        <v>0.0223044589124634</v>
      </c>
      <c r="I1200">
        <v>0</v>
      </c>
      <c r="J1200">
        <v>0</v>
      </c>
      <c r="K1200">
        <v>0</v>
      </c>
      <c r="L1200">
        <v>1023.52175565923</v>
      </c>
      <c r="M1200">
        <v>24.3910139409081</v>
      </c>
      <c r="N1200">
        <v>42.0372050977042</v>
      </c>
      <c r="O1200">
        <v>41.6840467909067</v>
      </c>
      <c r="P1200">
        <v>-0.143207534923339</v>
      </c>
      <c r="Q1200">
        <v>0.0210524143265272</v>
      </c>
      <c r="R1200">
        <v>0.996012376794672</v>
      </c>
      <c r="S1200" t="s">
        <v>2868</v>
      </c>
      <c r="T1200" t="s">
        <v>3312</v>
      </c>
      <c r="U1200" t="s">
        <v>3312</v>
      </c>
      <c r="V1200" t="s">
        <v>3312</v>
      </c>
      <c r="W1200" t="s">
        <v>4510</v>
      </c>
      <c r="X1200">
        <v>1</v>
      </c>
      <c r="Y1200" t="s">
        <v>6151</v>
      </c>
      <c r="Z1200" t="s">
        <v>7793</v>
      </c>
      <c r="AA1200">
        <v>0.1922632085562653</v>
      </c>
      <c r="AB1200">
        <f>HYPERLINK("Melting_Curves/meltCurve_P37649_yhjK.pdf", "Melting_Curves/meltCurve_P37649_yhjK.pdf")</f>
        <v>0</v>
      </c>
    </row>
    <row r="1201" spans="1:28">
      <c r="A1201" t="s">
        <v>1227</v>
      </c>
      <c r="B1201">
        <v>0.999984544473304</v>
      </c>
      <c r="C1201">
        <v>0.99920882403109</v>
      </c>
      <c r="D1201">
        <v>0.787138511273382</v>
      </c>
      <c r="E1201">
        <v>1.24670050067598</v>
      </c>
      <c r="F1201">
        <v>1.29735616582728</v>
      </c>
      <c r="G1201">
        <v>1.03075566113004</v>
      </c>
      <c r="H1201">
        <v>1.04140565856744</v>
      </c>
      <c r="I1201">
        <v>0.900666706808406</v>
      </c>
      <c r="J1201">
        <v>0.587370342798295</v>
      </c>
      <c r="K1201">
        <v>0.839094428438217</v>
      </c>
      <c r="L1201">
        <v>15000</v>
      </c>
      <c r="M1201">
        <v>245.266802964285</v>
      </c>
      <c r="O1201">
        <v>61.1538232580778</v>
      </c>
      <c r="P1201">
        <v>-0.287531190133902</v>
      </c>
      <c r="Q1201">
        <v>0.713232588806628</v>
      </c>
      <c r="R1201">
        <v>0.421829292743646</v>
      </c>
      <c r="S1201" t="s">
        <v>2869</v>
      </c>
      <c r="T1201" t="s">
        <v>3312</v>
      </c>
      <c r="U1201" t="s">
        <v>3312</v>
      </c>
      <c r="V1201" t="s">
        <v>3312</v>
      </c>
      <c r="W1201" t="s">
        <v>4511</v>
      </c>
      <c r="X1201">
        <v>1</v>
      </c>
      <c r="Y1201" t="s">
        <v>6152</v>
      </c>
      <c r="Z1201" t="s">
        <v>7794</v>
      </c>
      <c r="AA1201">
        <v>0.9441877473232626</v>
      </c>
      <c r="AB1201">
        <f>HYPERLINK("Melting_Curves/meltCurve_P37665_yiaD.pdf", "Melting_Curves/meltCurve_P37665_yiaD.pdf")</f>
        <v>0</v>
      </c>
    </row>
    <row r="1202" spans="1:28">
      <c r="A1202" t="s">
        <v>1228</v>
      </c>
      <c r="B1202">
        <v>0.999984544473304</v>
      </c>
      <c r="C1202">
        <v>0.851532003599786</v>
      </c>
      <c r="D1202">
        <v>0.775170368528465</v>
      </c>
      <c r="E1202">
        <v>0.449509406200989</v>
      </c>
      <c r="F1202">
        <v>0.141009531289327</v>
      </c>
      <c r="G1202">
        <v>0.0629084716442677</v>
      </c>
      <c r="H1202">
        <v>0.0414865717144145</v>
      </c>
      <c r="I1202">
        <v>0.0284710419940922</v>
      </c>
      <c r="J1202">
        <v>0.01999720201799</v>
      </c>
      <c r="K1202">
        <v>0.0184626881088938</v>
      </c>
      <c r="L1202">
        <v>796.048217167374</v>
      </c>
      <c r="M1202">
        <v>17.4136260898414</v>
      </c>
      <c r="N1202">
        <v>45.7534908125351</v>
      </c>
      <c r="O1202">
        <v>45.1240050537545</v>
      </c>
      <c r="P1202">
        <v>-0.0957640286008911</v>
      </c>
      <c r="Q1202">
        <v>0.00744073749866079</v>
      </c>
      <c r="R1202">
        <v>0.993485237774651</v>
      </c>
      <c r="S1202" t="s">
        <v>2870</v>
      </c>
      <c r="T1202" t="s">
        <v>3312</v>
      </c>
      <c r="U1202" t="s">
        <v>3312</v>
      </c>
      <c r="V1202" t="s">
        <v>3312</v>
      </c>
      <c r="W1202" t="s">
        <v>4512</v>
      </c>
      <c r="X1202">
        <v>6</v>
      </c>
      <c r="Y1202" t="s">
        <v>6153</v>
      </c>
      <c r="Z1202" t="s">
        <v>7795</v>
      </c>
      <c r="AA1202">
        <v>0.3129495120603982</v>
      </c>
      <c r="AB1202">
        <f>HYPERLINK("Melting_Curves/meltCurve_P37666_ghrB.pdf", "Melting_Curves/meltCurve_P37666_ghrB.pdf")</f>
        <v>0</v>
      </c>
    </row>
    <row r="1203" spans="1:28">
      <c r="A1203" t="s">
        <v>1229</v>
      </c>
      <c r="B1203">
        <v>0.999984544473304</v>
      </c>
      <c r="C1203">
        <v>1.26420789226263</v>
      </c>
      <c r="D1203">
        <v>1.27929865572092</v>
      </c>
      <c r="E1203">
        <v>1.22292749816003</v>
      </c>
      <c r="F1203">
        <v>0.951729182024875</v>
      </c>
      <c r="G1203">
        <v>0.928802432984919</v>
      </c>
      <c r="H1203">
        <v>0.492719362086577</v>
      </c>
      <c r="I1203">
        <v>0.337634114815208</v>
      </c>
      <c r="J1203">
        <v>0.151643089594039</v>
      </c>
      <c r="K1203">
        <v>0.0504009014409898</v>
      </c>
      <c r="L1203">
        <v>1382.716265102</v>
      </c>
      <c r="M1203">
        <v>23.9029829307069</v>
      </c>
      <c r="N1203">
        <v>58.1335630189217</v>
      </c>
      <c r="O1203">
        <v>57.4467041977753</v>
      </c>
      <c r="P1203">
        <v>-0.0982436361461337</v>
      </c>
      <c r="Q1203">
        <v>0.055568630838853</v>
      </c>
      <c r="R1203">
        <v>0.890965625397996</v>
      </c>
      <c r="S1203" t="s">
        <v>2871</v>
      </c>
      <c r="T1203" t="s">
        <v>3312</v>
      </c>
      <c r="U1203" t="s">
        <v>3312</v>
      </c>
      <c r="V1203" t="s">
        <v>3312</v>
      </c>
      <c r="W1203" t="s">
        <v>4513</v>
      </c>
      <c r="X1203">
        <v>8</v>
      </c>
      <c r="Y1203" t="s">
        <v>6154</v>
      </c>
      <c r="Z1203" t="s">
        <v>7796</v>
      </c>
      <c r="AA1203">
        <v>0.718336278800606</v>
      </c>
      <c r="AB1203">
        <f>HYPERLINK("Melting_Curves/meltCurve_P37685_aldB.pdf", "Melting_Curves/meltCurve_P37685_aldB.pdf")</f>
        <v>0</v>
      </c>
    </row>
    <row r="1204" spans="1:28">
      <c r="A1204" t="s">
        <v>1230</v>
      </c>
      <c r="B1204">
        <v>0.999984544473304</v>
      </c>
      <c r="C1204">
        <v>1.23573742209457</v>
      </c>
      <c r="D1204">
        <v>1.13861922821069</v>
      </c>
      <c r="E1204">
        <v>1.07513951398571</v>
      </c>
      <c r="F1204">
        <v>1.22646624176816</v>
      </c>
      <c r="G1204">
        <v>0.947018602176608</v>
      </c>
      <c r="H1204">
        <v>0.327468579824728</v>
      </c>
      <c r="I1204">
        <v>0.117210533815421</v>
      </c>
      <c r="J1204">
        <v>0.0611236386708415</v>
      </c>
      <c r="K1204">
        <v>0.037822349062839</v>
      </c>
      <c r="L1204">
        <v>3193.78203548848</v>
      </c>
      <c r="M1204">
        <v>56.5660674173617</v>
      </c>
      <c r="N1204">
        <v>56.6029567412397</v>
      </c>
      <c r="O1204">
        <v>56.390658007312</v>
      </c>
      <c r="P1204">
        <v>-0.234204194852737</v>
      </c>
      <c r="Q1204">
        <v>0.0660887434712248</v>
      </c>
      <c r="R1204">
        <v>0.943328078751236</v>
      </c>
      <c r="S1204" t="s">
        <v>2872</v>
      </c>
      <c r="T1204" t="s">
        <v>3312</v>
      </c>
      <c r="U1204" t="s">
        <v>3312</v>
      </c>
      <c r="V1204" t="s">
        <v>3312</v>
      </c>
      <c r="W1204" t="s">
        <v>4514</v>
      </c>
      <c r="X1204">
        <v>8</v>
      </c>
      <c r="Y1204" t="s">
        <v>6155</v>
      </c>
      <c r="Z1204" t="s">
        <v>7797</v>
      </c>
      <c r="AA1204">
        <v>0.6737287009261281</v>
      </c>
      <c r="AB1204">
        <f>HYPERLINK("Melting_Curves/meltCurve_P37689_gpmI.pdf", "Melting_Curves/meltCurve_P37689_gpmI.pdf")</f>
        <v>0</v>
      </c>
    </row>
    <row r="1205" spans="1:28">
      <c r="A1205" t="s">
        <v>1231</v>
      </c>
      <c r="B1205">
        <v>0.999984544473304</v>
      </c>
      <c r="C1205">
        <v>0.9833534958211601</v>
      </c>
      <c r="D1205">
        <v>0.920605026122773</v>
      </c>
      <c r="E1205">
        <v>0.83904578146847</v>
      </c>
      <c r="F1205">
        <v>0.384106832329665</v>
      </c>
      <c r="G1205">
        <v>0.140518912676886</v>
      </c>
      <c r="H1205">
        <v>0.102116610876188</v>
      </c>
      <c r="I1205">
        <v>0.074920262790884</v>
      </c>
      <c r="J1205">
        <v>0.0718826761659125</v>
      </c>
      <c r="K1205">
        <v>0.0761838687882722</v>
      </c>
      <c r="L1205">
        <v>1362.45702896383</v>
      </c>
      <c r="M1205">
        <v>27.8015736672462</v>
      </c>
      <c r="N1205">
        <v>49.2914863775559</v>
      </c>
      <c r="O1205">
        <v>48.7550227249996</v>
      </c>
      <c r="P1205">
        <v>-0.131974266877281</v>
      </c>
      <c r="Q1205">
        <v>0.0742464126983587</v>
      </c>
      <c r="R1205">
        <v>0.997232862131001</v>
      </c>
      <c r="S1205" t="s">
        <v>2873</v>
      </c>
      <c r="T1205" t="s">
        <v>3312</v>
      </c>
      <c r="U1205" t="s">
        <v>3312</v>
      </c>
      <c r="V1205" t="s">
        <v>3312</v>
      </c>
      <c r="W1205" t="s">
        <v>4515</v>
      </c>
      <c r="X1205">
        <v>2</v>
      </c>
      <c r="Y1205" t="s">
        <v>6156</v>
      </c>
      <c r="Z1205" t="s">
        <v>7798</v>
      </c>
      <c r="AA1205">
        <v>0.4512430443780969</v>
      </c>
      <c r="AB1205">
        <f>HYPERLINK("Melting_Curves/meltCurve_P37690_envC.pdf", "Melting_Curves/meltCurve_P37690_envC.pdf")</f>
        <v>0</v>
      </c>
    </row>
    <row r="1206" spans="1:28">
      <c r="A1206" t="s">
        <v>1232</v>
      </c>
      <c r="B1206">
        <v>0.999984544473304</v>
      </c>
      <c r="C1206">
        <v>0.658104128402597</v>
      </c>
      <c r="D1206">
        <v>0.270984947720558</v>
      </c>
      <c r="E1206">
        <v>0.0774626515181517</v>
      </c>
      <c r="F1206">
        <v>0.0445372471906115</v>
      </c>
      <c r="G1206">
        <v>0.0423738153414064</v>
      </c>
      <c r="H1206">
        <v>0.0384352195479256</v>
      </c>
      <c r="I1206">
        <v>0.0317739423884026</v>
      </c>
      <c r="J1206">
        <v>0.0246520686825181</v>
      </c>
      <c r="K1206">
        <v>0.0114407382387935</v>
      </c>
      <c r="L1206">
        <v>1065.37540002246</v>
      </c>
      <c r="M1206">
        <v>25.9753693074007</v>
      </c>
      <c r="N1206">
        <v>41.1195140726028</v>
      </c>
      <c r="O1206">
        <v>40.7740555191743</v>
      </c>
      <c r="P1206">
        <v>-0.154171117416002</v>
      </c>
      <c r="Q1206">
        <v>0.0319892672286917</v>
      </c>
      <c r="R1206">
        <v>0.995657736923742</v>
      </c>
      <c r="S1206" t="s">
        <v>2874</v>
      </c>
      <c r="T1206" t="s">
        <v>3312</v>
      </c>
      <c r="U1206" t="s">
        <v>3312</v>
      </c>
      <c r="V1206" t="s">
        <v>3312</v>
      </c>
      <c r="W1206" t="s">
        <v>4516</v>
      </c>
      <c r="X1206">
        <v>1</v>
      </c>
      <c r="Y1206" t="s">
        <v>6157</v>
      </c>
      <c r="Z1206" t="s">
        <v>7799</v>
      </c>
      <c r="AA1206">
        <v>0.1703712503542732</v>
      </c>
      <c r="AB1206">
        <f>HYPERLINK("Melting_Curves/meltCurve_P37692_rfaF.pdf", "Melting_Curves/meltCurve_P37692_rfaF.pdf")</f>
        <v>0</v>
      </c>
    </row>
    <row r="1207" spans="1:28">
      <c r="A1207" t="s">
        <v>1233</v>
      </c>
      <c r="B1207">
        <v>0.999984544473304</v>
      </c>
      <c r="C1207">
        <v>0.380319927381229</v>
      </c>
      <c r="D1207">
        <v>0.417571232159669</v>
      </c>
      <c r="E1207">
        <v>0.125379660869822</v>
      </c>
      <c r="F1207">
        <v>0.10030431594391</v>
      </c>
      <c r="G1207">
        <v>0.0519668356380032</v>
      </c>
      <c r="H1207">
        <v>0.0427045561011375</v>
      </c>
      <c r="I1207">
        <v>0.0176676674566677</v>
      </c>
      <c r="J1207">
        <v>0.014322118000035</v>
      </c>
      <c r="K1207">
        <v>0</v>
      </c>
      <c r="L1207">
        <v>669.310600688432</v>
      </c>
      <c r="M1207">
        <v>16.5201563948058</v>
      </c>
      <c r="N1207">
        <v>40.6671043378624</v>
      </c>
      <c r="O1207">
        <v>39.9350903426948</v>
      </c>
      <c r="P1207">
        <v>-0.100323168554394</v>
      </c>
      <c r="Q1207">
        <v>0.0300001078287691</v>
      </c>
      <c r="R1207">
        <v>0.90651112531443</v>
      </c>
      <c r="S1207" t="s">
        <v>2875</v>
      </c>
      <c r="T1207" t="s">
        <v>3312</v>
      </c>
      <c r="U1207" t="s">
        <v>3312</v>
      </c>
      <c r="V1207" t="s">
        <v>3312</v>
      </c>
      <c r="W1207" t="s">
        <v>4517</v>
      </c>
      <c r="X1207">
        <v>1</v>
      </c>
      <c r="Y1207" t="s">
        <v>6158</v>
      </c>
      <c r="Z1207" t="s">
        <v>7800</v>
      </c>
      <c r="AA1207">
        <v>0.1712026947966361</v>
      </c>
      <c r="AB1207">
        <f>HYPERLINK("Melting_Curves/meltCurve_P37744_rfbA.pdf", "Melting_Curves/meltCurve_P37744_rfbA.pdf")</f>
        <v>0</v>
      </c>
    </row>
    <row r="1208" spans="1:28">
      <c r="A1208" t="s">
        <v>1234</v>
      </c>
      <c r="B1208">
        <v>0.999984544473304</v>
      </c>
      <c r="C1208">
        <v>0.624938621143764</v>
      </c>
      <c r="D1208">
        <v>0.345435224376843</v>
      </c>
      <c r="E1208">
        <v>0.206959747209258</v>
      </c>
      <c r="F1208">
        <v>0.102357877617651</v>
      </c>
      <c r="G1208">
        <v>0.0539059723594175</v>
      </c>
      <c r="H1208">
        <v>0.0395700434308647</v>
      </c>
      <c r="I1208">
        <v>0.0279687526530308</v>
      </c>
      <c r="J1208">
        <v>0.0382130086865349</v>
      </c>
      <c r="K1208">
        <v>0.0456816708361977</v>
      </c>
      <c r="L1208">
        <v>775.208110614249</v>
      </c>
      <c r="M1208">
        <v>18.7570136809607</v>
      </c>
      <c r="N1208">
        <v>41.55168752883</v>
      </c>
      <c r="O1208">
        <v>40.8678119435414</v>
      </c>
      <c r="P1208">
        <v>-0.109259375366985</v>
      </c>
      <c r="Q1208">
        <v>0.0478220447742151</v>
      </c>
      <c r="R1208">
        <v>0.982577148751884</v>
      </c>
      <c r="S1208" t="s">
        <v>2876</v>
      </c>
      <c r="T1208" t="s">
        <v>3312</v>
      </c>
      <c r="U1208" t="s">
        <v>3312</v>
      </c>
      <c r="V1208" t="s">
        <v>3312</v>
      </c>
      <c r="W1208" t="s">
        <v>4518</v>
      </c>
      <c r="X1208">
        <v>1</v>
      </c>
      <c r="Y1208" t="s">
        <v>6159</v>
      </c>
      <c r="Z1208" t="s">
        <v>7801</v>
      </c>
      <c r="AA1208">
        <v>0.2032585680851744</v>
      </c>
      <c r="AB1208">
        <f>HYPERLINK("Melting_Curves/meltCurve_P37747_glf.pdf", "Melting_Curves/meltCurve_P37747_glf.pdf")</f>
        <v>0</v>
      </c>
    </row>
    <row r="1209" spans="1:28">
      <c r="A1209" t="s">
        <v>1235</v>
      </c>
      <c r="B1209">
        <v>0.999984544473304</v>
      </c>
      <c r="C1209">
        <v>0.533985712816371</v>
      </c>
      <c r="D1209">
        <v>0.265777200443391</v>
      </c>
      <c r="E1209">
        <v>0.142489054416838</v>
      </c>
      <c r="F1209">
        <v>0.126556328451947</v>
      </c>
      <c r="G1209">
        <v>0.0837863969744387</v>
      </c>
      <c r="H1209">
        <v>0.0770382709000093</v>
      </c>
      <c r="I1209">
        <v>0.0531417191716096</v>
      </c>
      <c r="J1209">
        <v>0.0483925454696005</v>
      </c>
      <c r="K1209">
        <v>0.0551243071336298</v>
      </c>
      <c r="L1209">
        <v>1050.42648893156</v>
      </c>
      <c r="M1209">
        <v>26.1132181230584</v>
      </c>
      <c r="N1209">
        <v>40.5018868440869</v>
      </c>
      <c r="O1209">
        <v>39.9921715981766</v>
      </c>
      <c r="P1209">
        <v>-0.149934589341664</v>
      </c>
      <c r="Q1209">
        <v>0.0815161933762812</v>
      </c>
      <c r="R1209">
        <v>0.979197997806741</v>
      </c>
      <c r="S1209" t="s">
        <v>2877</v>
      </c>
      <c r="T1209" t="s">
        <v>3312</v>
      </c>
      <c r="U1209" t="s">
        <v>3312</v>
      </c>
      <c r="V1209" t="s">
        <v>3312</v>
      </c>
      <c r="W1209" t="s">
        <v>4519</v>
      </c>
      <c r="X1209">
        <v>2</v>
      </c>
      <c r="Y1209" t="s">
        <v>6160</v>
      </c>
      <c r="Z1209" t="s">
        <v>7802</v>
      </c>
      <c r="AA1209">
        <v>0.1899861876140784</v>
      </c>
      <c r="AB1209">
        <f>HYPERLINK("Melting_Curves/meltCurve_P37759_rfbB.pdf", "Melting_Curves/meltCurve_P37759_rfbB.pdf")</f>
        <v>0</v>
      </c>
    </row>
    <row r="1210" spans="1:28">
      <c r="A1210" t="s">
        <v>1236</v>
      </c>
      <c r="B1210">
        <v>0.999984544473304</v>
      </c>
      <c r="C1210">
        <v>0.689474318162325</v>
      </c>
      <c r="D1210">
        <v>0.5639167919000621</v>
      </c>
      <c r="E1210">
        <v>0.370287012577799</v>
      </c>
      <c r="F1210">
        <v>0.221056360822727</v>
      </c>
      <c r="G1210">
        <v>0.135113583620771</v>
      </c>
      <c r="H1210">
        <v>0.102546588501885</v>
      </c>
      <c r="I1210">
        <v>0.07344378243689891</v>
      </c>
      <c r="J1210">
        <v>0.0642820069491615</v>
      </c>
      <c r="K1210">
        <v>0.0660202155625111</v>
      </c>
      <c r="L1210">
        <v>525.662716719561</v>
      </c>
      <c r="M1210">
        <v>12.0577253609334</v>
      </c>
      <c r="N1210">
        <v>43.9870312340424</v>
      </c>
      <c r="O1210">
        <v>42.448341401225</v>
      </c>
      <c r="P1210">
        <v>-0.06741670086125499</v>
      </c>
      <c r="Q1210">
        <v>0.0508823054218937</v>
      </c>
      <c r="R1210">
        <v>0.982733625296162</v>
      </c>
      <c r="S1210" t="s">
        <v>2878</v>
      </c>
      <c r="T1210" t="s">
        <v>3312</v>
      </c>
      <c r="U1210" t="s">
        <v>3312</v>
      </c>
      <c r="V1210" t="s">
        <v>3312</v>
      </c>
      <c r="W1210" t="s">
        <v>4520</v>
      </c>
      <c r="X1210">
        <v>3</v>
      </c>
      <c r="Y1210" t="s">
        <v>6161</v>
      </c>
      <c r="Z1210" t="s">
        <v>7803</v>
      </c>
      <c r="AA1210">
        <v>0.2969203219712965</v>
      </c>
      <c r="AB1210">
        <f>HYPERLINK("Melting_Curves/meltCurve_P37760_rfbD.pdf", "Melting_Curves/meltCurve_P37760_rfbD.pdf")</f>
        <v>0</v>
      </c>
    </row>
    <row r="1211" spans="1:28">
      <c r="A1211" t="s">
        <v>1237</v>
      </c>
      <c r="B1211">
        <v>0.999984544473304</v>
      </c>
      <c r="C1211">
        <v>0.804245639555366</v>
      </c>
      <c r="D1211">
        <v>0.39437351919293</v>
      </c>
      <c r="E1211">
        <v>0.129645214308663</v>
      </c>
      <c r="F1211">
        <v>0.065007572174375</v>
      </c>
      <c r="G1211">
        <v>0.0471524955550909</v>
      </c>
      <c r="H1211">
        <v>0.0383243831734152</v>
      </c>
      <c r="I1211">
        <v>0.0313578809159725</v>
      </c>
      <c r="J1211">
        <v>0.0213725769501056</v>
      </c>
      <c r="K1211">
        <v>0.0305140398898688</v>
      </c>
      <c r="L1211">
        <v>1044.22851045913</v>
      </c>
      <c r="M1211">
        <v>24.7815028184632</v>
      </c>
      <c r="N1211">
        <v>42.2649375390578</v>
      </c>
      <c r="O1211">
        <v>41.8659020039273</v>
      </c>
      <c r="P1211">
        <v>-0.142653126919545</v>
      </c>
      <c r="Q1211">
        <v>0.0360199028193957</v>
      </c>
      <c r="R1211">
        <v>0.998697359453361</v>
      </c>
      <c r="S1211" t="s">
        <v>2879</v>
      </c>
      <c r="T1211" t="s">
        <v>3312</v>
      </c>
      <c r="U1211" t="s">
        <v>3312</v>
      </c>
      <c r="V1211" t="s">
        <v>3312</v>
      </c>
      <c r="W1211" t="s">
        <v>4521</v>
      </c>
      <c r="X1211">
        <v>5</v>
      </c>
      <c r="Y1211" t="s">
        <v>6162</v>
      </c>
      <c r="Z1211" t="s">
        <v>7804</v>
      </c>
      <c r="AA1211">
        <v>0.2097506859175938</v>
      </c>
      <c r="AB1211">
        <f>HYPERLINK("Melting_Curves/meltCurve_P37765_rluB.pdf", "Melting_Curves/meltCurve_P37765_rluB.pdf")</f>
        <v>0</v>
      </c>
    </row>
    <row r="1212" spans="1:28">
      <c r="A1212" t="s">
        <v>1238</v>
      </c>
      <c r="B1212">
        <v>0.999984544473304</v>
      </c>
      <c r="C1212">
        <v>1.23735498593862</v>
      </c>
      <c r="D1212">
        <v>0.942123000983249</v>
      </c>
      <c r="E1212">
        <v>0.8072664078649739</v>
      </c>
      <c r="F1212">
        <v>0.485137979163932</v>
      </c>
      <c r="G1212">
        <v>0.289290578478168</v>
      </c>
      <c r="H1212">
        <v>0.485406415645177</v>
      </c>
      <c r="I1212">
        <v>0.202386244898285</v>
      </c>
      <c r="J1212">
        <v>0</v>
      </c>
      <c r="K1212">
        <v>0</v>
      </c>
      <c r="L1212">
        <v>611.699511707741</v>
      </c>
      <c r="M1212">
        <v>11.7992044744312</v>
      </c>
      <c r="N1212">
        <v>51.842436731661</v>
      </c>
      <c r="O1212">
        <v>50.4205506071799</v>
      </c>
      <c r="P1212">
        <v>-0.0585190037573653</v>
      </c>
      <c r="Q1212">
        <v>0</v>
      </c>
      <c r="R1212">
        <v>0.899544312494705</v>
      </c>
      <c r="S1212" t="s">
        <v>2880</v>
      </c>
      <c r="T1212" t="s">
        <v>3312</v>
      </c>
      <c r="U1212" t="s">
        <v>3312</v>
      </c>
      <c r="V1212" t="s">
        <v>3312</v>
      </c>
      <c r="W1212" t="s">
        <v>4522</v>
      </c>
      <c r="X1212">
        <v>1</v>
      </c>
      <c r="Y1212" t="s">
        <v>6163</v>
      </c>
      <c r="Z1212" t="s">
        <v>7805</v>
      </c>
      <c r="AA1212">
        <v>0.5192178502002608</v>
      </c>
      <c r="AB1212">
        <f>HYPERLINK("Melting_Curves/meltCurve_P37767_yfhH.pdf", "Melting_Curves/meltCurve_P37767_yfhH.pdf")</f>
        <v>0</v>
      </c>
    </row>
    <row r="1213" spans="1:28">
      <c r="A1213" t="s">
        <v>1239</v>
      </c>
      <c r="B1213">
        <v>0.999984544473304</v>
      </c>
      <c r="C1213">
        <v>0.9359861236550781</v>
      </c>
      <c r="D1213">
        <v>0.718583226928354</v>
      </c>
      <c r="E1213">
        <v>0.555080209917224</v>
      </c>
      <c r="F1213">
        <v>0.393392723853492</v>
      </c>
      <c r="G1213">
        <v>0.260627316978546</v>
      </c>
      <c r="H1213">
        <v>0.100864508970912</v>
      </c>
      <c r="I1213">
        <v>0.0514216685027609</v>
      </c>
      <c r="J1213">
        <v>0.0345282090895003</v>
      </c>
      <c r="K1213">
        <v>0.0421491695004378</v>
      </c>
      <c r="L1213">
        <v>535.242589830149</v>
      </c>
      <c r="M1213">
        <v>11.2203344704554</v>
      </c>
      <c r="N1213">
        <v>47.7029236400303</v>
      </c>
      <c r="O1213">
        <v>46.2629595974864</v>
      </c>
      <c r="P1213">
        <v>-0.0606524437589503</v>
      </c>
      <c r="Q1213">
        <v>0</v>
      </c>
      <c r="R1213">
        <v>0.991691229425511</v>
      </c>
      <c r="S1213" t="s">
        <v>2881</v>
      </c>
      <c r="T1213" t="s">
        <v>3312</v>
      </c>
      <c r="U1213" t="s">
        <v>3312</v>
      </c>
      <c r="V1213" t="s">
        <v>3312</v>
      </c>
      <c r="W1213" t="s">
        <v>4523</v>
      </c>
      <c r="X1213">
        <v>5</v>
      </c>
      <c r="Y1213" t="s">
        <v>6164</v>
      </c>
      <c r="Z1213" t="s">
        <v>7806</v>
      </c>
      <c r="AA1213">
        <v>0.391821544274209</v>
      </c>
      <c r="AB1213">
        <f>HYPERLINK("Melting_Curves/meltCurve_P37773_mpl.pdf", "Melting_Curves/meltCurve_P37773_mpl.pdf")</f>
        <v>0</v>
      </c>
    </row>
    <row r="1214" spans="1:28">
      <c r="A1214" t="s">
        <v>1240</v>
      </c>
      <c r="B1214">
        <v>0.999984544473304</v>
      </c>
      <c r="C1214">
        <v>0.921343454272842</v>
      </c>
      <c r="D1214">
        <v>1.01428208544334</v>
      </c>
      <c r="E1214">
        <v>1.07162038524318</v>
      </c>
      <c r="F1214">
        <v>1.07956539303501</v>
      </c>
      <c r="G1214">
        <v>0.957284866539843</v>
      </c>
      <c r="H1214">
        <v>0.914678790455195</v>
      </c>
      <c r="I1214">
        <v>0.813094872850048</v>
      </c>
      <c r="J1214">
        <v>0.743985944279511</v>
      </c>
      <c r="K1214">
        <v>0.684219161992319</v>
      </c>
      <c r="L1214">
        <v>1299.40991116527</v>
      </c>
      <c r="M1214">
        <v>21.4367831020106</v>
      </c>
      <c r="O1214">
        <v>60.0958267681129</v>
      </c>
      <c r="P1214">
        <v>-0.03112668059417</v>
      </c>
      <c r="Q1214">
        <v>0.650966929399126</v>
      </c>
      <c r="R1214">
        <v>0.8823098394679399</v>
      </c>
      <c r="S1214" t="s">
        <v>2882</v>
      </c>
      <c r="T1214" t="s">
        <v>3312</v>
      </c>
      <c r="U1214" t="s">
        <v>3312</v>
      </c>
      <c r="V1214" t="s">
        <v>3312</v>
      </c>
      <c r="W1214" t="s">
        <v>4524</v>
      </c>
      <c r="X1214">
        <v>12</v>
      </c>
      <c r="Y1214" t="s">
        <v>6165</v>
      </c>
      <c r="Z1214" t="s">
        <v>7807</v>
      </c>
      <c r="AA1214">
        <v>0.9254093539038993</v>
      </c>
      <c r="AB1214">
        <f>HYPERLINK("Melting_Curves/meltCurve_P37902_gltI.pdf", "Melting_Curves/meltCurve_P37902_gltI.pdf")</f>
        <v>0</v>
      </c>
    </row>
    <row r="1215" spans="1:28">
      <c r="A1215" t="s">
        <v>1241</v>
      </c>
      <c r="B1215">
        <v>0.999984544473304</v>
      </c>
      <c r="C1215">
        <v>1.03966145881914</v>
      </c>
      <c r="D1215">
        <v>0.614593456467479</v>
      </c>
      <c r="E1215">
        <v>1.17114883991652</v>
      </c>
      <c r="F1215">
        <v>0.9743782702614771</v>
      </c>
      <c r="G1215">
        <v>0.9257646054727861</v>
      </c>
      <c r="H1215">
        <v>0.755909965730273</v>
      </c>
      <c r="I1215">
        <v>0.662808821748388</v>
      </c>
      <c r="J1215">
        <v>0.416753686973301</v>
      </c>
      <c r="K1215">
        <v>0.470938934216842</v>
      </c>
      <c r="L1215">
        <v>1178.26420709698</v>
      </c>
      <c r="M1215">
        <v>19.9095602177732</v>
      </c>
      <c r="N1215">
        <v>63.7908834307846</v>
      </c>
      <c r="O1215">
        <v>58.5934818582016</v>
      </c>
      <c r="P1215">
        <v>-0.0525506974713066</v>
      </c>
      <c r="Q1215">
        <v>0.381397428421709</v>
      </c>
      <c r="R1215">
        <v>0.676293330980527</v>
      </c>
      <c r="S1215" t="s">
        <v>2883</v>
      </c>
      <c r="T1215" t="s">
        <v>3312</v>
      </c>
      <c r="U1215" t="s">
        <v>3312</v>
      </c>
      <c r="V1215" t="s">
        <v>3312</v>
      </c>
      <c r="W1215" t="s">
        <v>4525</v>
      </c>
      <c r="X1215">
        <v>4</v>
      </c>
      <c r="Y1215" t="s">
        <v>6166</v>
      </c>
      <c r="Z1215" t="s">
        <v>7808</v>
      </c>
      <c r="AA1215">
        <v>0.840891884016276</v>
      </c>
      <c r="AB1215">
        <f>HYPERLINK("Melting_Curves/meltCurve_P37903_uspF.pdf", "Melting_Curves/meltCurve_P37903_uspF.pdf")</f>
        <v>0</v>
      </c>
    </row>
    <row r="1216" spans="1:28">
      <c r="A1216" t="s">
        <v>1242</v>
      </c>
      <c r="B1216">
        <v>0.999984544473304</v>
      </c>
      <c r="C1216">
        <v>1.43551553302159</v>
      </c>
      <c r="D1216">
        <v>1.11888756763576</v>
      </c>
      <c r="E1216">
        <v>1.00744387061936</v>
      </c>
      <c r="F1216">
        <v>0.628906416412836</v>
      </c>
      <c r="G1216">
        <v>0.193813459727203</v>
      </c>
      <c r="H1216">
        <v>0.08119221817085739</v>
      </c>
      <c r="I1216">
        <v>0.0499280506686482</v>
      </c>
      <c r="J1216">
        <v>0.0377459883579799</v>
      </c>
      <c r="K1216">
        <v>0.035370672931598</v>
      </c>
      <c r="L1216">
        <v>1773.91845548061</v>
      </c>
      <c r="M1216">
        <v>34.8138850977625</v>
      </c>
      <c r="N1216">
        <v>51.1012239262043</v>
      </c>
      <c r="O1216">
        <v>50.7870946596104</v>
      </c>
      <c r="P1216">
        <v>-0.163212743720964</v>
      </c>
      <c r="Q1216">
        <v>0.0476132517708612</v>
      </c>
      <c r="R1216">
        <v>0.921823392120964</v>
      </c>
      <c r="S1216" t="s">
        <v>2884</v>
      </c>
      <c r="T1216" t="s">
        <v>3312</v>
      </c>
      <c r="U1216" t="s">
        <v>3312</v>
      </c>
      <c r="V1216" t="s">
        <v>3312</v>
      </c>
      <c r="W1216" t="s">
        <v>4526</v>
      </c>
      <c r="X1216">
        <v>8</v>
      </c>
      <c r="Y1216" t="s">
        <v>6167</v>
      </c>
      <c r="Z1216" t="s">
        <v>7809</v>
      </c>
      <c r="AA1216">
        <v>0.4950322074356359</v>
      </c>
      <c r="AB1216">
        <f>HYPERLINK("Melting_Curves/meltCurve_P38038_cysJ.pdf", "Melting_Curves/meltCurve_P38038_cysJ.pdf")</f>
        <v>0</v>
      </c>
    </row>
    <row r="1217" spans="1:28">
      <c r="A1217" t="s">
        <v>1243</v>
      </c>
      <c r="B1217">
        <v>0.999984544473304</v>
      </c>
      <c r="C1217">
        <v>1.01979174681354</v>
      </c>
      <c r="D1217">
        <v>0.889181306236863</v>
      </c>
      <c r="E1217">
        <v>0.743393182077802</v>
      </c>
      <c r="F1217">
        <v>0.524560960213504</v>
      </c>
      <c r="G1217">
        <v>0.128854217577467</v>
      </c>
      <c r="H1217">
        <v>0.0573167750335355</v>
      </c>
      <c r="I1217">
        <v>0.0399114795334441</v>
      </c>
      <c r="J1217">
        <v>0.0257894494716303</v>
      </c>
      <c r="K1217">
        <v>0.0210108824946392</v>
      </c>
      <c r="L1217">
        <v>914.537529709427</v>
      </c>
      <c r="M1217">
        <v>18.4183137819256</v>
      </c>
      <c r="N1217">
        <v>49.6536935122187</v>
      </c>
      <c r="O1217">
        <v>49.0794776696894</v>
      </c>
      <c r="P1217">
        <v>-0.0938230439742677</v>
      </c>
      <c r="Q1217">
        <v>0</v>
      </c>
      <c r="R1217">
        <v>0.990942914990679</v>
      </c>
      <c r="S1217" t="s">
        <v>2885</v>
      </c>
      <c r="T1217" t="s">
        <v>3312</v>
      </c>
      <c r="U1217" t="s">
        <v>3312</v>
      </c>
      <c r="V1217" t="s">
        <v>3312</v>
      </c>
      <c r="W1217" t="s">
        <v>4527</v>
      </c>
      <c r="X1217">
        <v>1</v>
      </c>
      <c r="Y1217" t="s">
        <v>6168</v>
      </c>
      <c r="Z1217" t="s">
        <v>7810</v>
      </c>
      <c r="AA1217">
        <v>0.4370005980545019</v>
      </c>
      <c r="AB1217">
        <f>HYPERLINK("Melting_Curves/meltCurve_P38051_menF.pdf", "Melting_Curves/meltCurve_P38051_menF.pdf")</f>
        <v>0</v>
      </c>
    </row>
    <row r="1218" spans="1:28">
      <c r="A1218" t="s">
        <v>1244</v>
      </c>
      <c r="B1218">
        <v>0.999984544473304</v>
      </c>
      <c r="C1218">
        <v>0.82130531761799</v>
      </c>
      <c r="D1218">
        <v>0.700839296386652</v>
      </c>
      <c r="E1218">
        <v>0.462075145030856</v>
      </c>
      <c r="F1218">
        <v>0.277398186490096</v>
      </c>
      <c r="G1218">
        <v>0.124208394143094</v>
      </c>
      <c r="H1218">
        <v>0.0835919292263346</v>
      </c>
      <c r="I1218">
        <v>0.0535138679571332</v>
      </c>
      <c r="J1218">
        <v>0.0306415177670591</v>
      </c>
      <c r="K1218">
        <v>0.0321027591244822</v>
      </c>
      <c r="L1218">
        <v>559.188940788822</v>
      </c>
      <c r="M1218">
        <v>12.180700922787</v>
      </c>
      <c r="N1218">
        <v>45.9340772548378</v>
      </c>
      <c r="O1218">
        <v>44.7230024380717</v>
      </c>
      <c r="P1218">
        <v>-0.0678683405095469</v>
      </c>
      <c r="Q1218">
        <v>0.00347750573922165</v>
      </c>
      <c r="R1218">
        <v>0.995764859109206</v>
      </c>
      <c r="S1218" t="s">
        <v>2886</v>
      </c>
      <c r="T1218" t="s">
        <v>3312</v>
      </c>
      <c r="U1218" t="s">
        <v>3312</v>
      </c>
      <c r="V1218" t="s">
        <v>3312</v>
      </c>
      <c r="W1218" t="s">
        <v>4528</v>
      </c>
      <c r="X1218">
        <v>9</v>
      </c>
      <c r="Y1218" t="s">
        <v>6169</v>
      </c>
      <c r="Z1218" t="s">
        <v>7811</v>
      </c>
      <c r="AA1218">
        <v>0.3330312613181906</v>
      </c>
      <c r="AB1218">
        <f>HYPERLINK("Melting_Curves/meltCurve_P38489_nfsB.pdf", "Melting_Curves/meltCurve_P38489_nfsB.pdf")</f>
        <v>0</v>
      </c>
    </row>
    <row r="1219" spans="1:28">
      <c r="A1219" t="s">
        <v>1245</v>
      </c>
      <c r="B1219">
        <v>0.999984544473304</v>
      </c>
      <c r="C1219">
        <v>1.07237619625207</v>
      </c>
      <c r="D1219">
        <v>1.1341391290644</v>
      </c>
      <c r="E1219">
        <v>0.9805624619184869</v>
      </c>
      <c r="F1219">
        <v>0.997560921573542</v>
      </c>
      <c r="G1219">
        <v>0.880395877938544</v>
      </c>
      <c r="H1219">
        <v>1.13386373784364</v>
      </c>
      <c r="I1219">
        <v>1.13897148144779</v>
      </c>
      <c r="J1219">
        <v>0.890998261680814</v>
      </c>
      <c r="K1219">
        <v>0.627788996476501</v>
      </c>
      <c r="L1219">
        <v>15000</v>
      </c>
      <c r="M1219">
        <v>233.127613198787</v>
      </c>
      <c r="O1219">
        <v>64.3377071125235</v>
      </c>
      <c r="P1219">
        <v>-0.337209195439539</v>
      </c>
      <c r="Q1219">
        <v>0.627752951464207</v>
      </c>
      <c r="R1219">
        <v>0.663773799472361</v>
      </c>
      <c r="S1219" t="s">
        <v>2887</v>
      </c>
      <c r="T1219" t="s">
        <v>3312</v>
      </c>
      <c r="U1219" t="s">
        <v>3312</v>
      </c>
      <c r="V1219" t="s">
        <v>3312</v>
      </c>
      <c r="W1219" t="s">
        <v>4529</v>
      </c>
      <c r="X1219">
        <v>16</v>
      </c>
      <c r="Y1219" t="s">
        <v>6170</v>
      </c>
      <c r="Z1219" t="s">
        <v>7812</v>
      </c>
      <c r="AA1219">
        <v>0.9670723787014458</v>
      </c>
      <c r="AB1219">
        <f>HYPERLINK("Melting_Curves/meltCurve_P39099_degQ.pdf", "Melting_Curves/meltCurve_P39099_degQ.pdf")</f>
        <v>0</v>
      </c>
    </row>
    <row r="1220" spans="1:28">
      <c r="A1220" t="s">
        <v>1246</v>
      </c>
      <c r="B1220">
        <v>0.999984544473304</v>
      </c>
      <c r="C1220">
        <v>1.05388669987431</v>
      </c>
      <c r="D1220">
        <v>1.23873507465179</v>
      </c>
      <c r="E1220">
        <v>0.939350817021391</v>
      </c>
      <c r="F1220">
        <v>0.829494241642423</v>
      </c>
      <c r="G1220">
        <v>0.161817644801735</v>
      </c>
      <c r="H1220">
        <v>0.0549524323450436</v>
      </c>
      <c r="I1220">
        <v>0.0301017877103956</v>
      </c>
      <c r="J1220">
        <v>0.0286073091218792</v>
      </c>
      <c r="K1220">
        <v>0.0262878197724468</v>
      </c>
      <c r="L1220">
        <v>2506.6087418451</v>
      </c>
      <c r="M1220">
        <v>48.4192215144431</v>
      </c>
      <c r="N1220">
        <v>51.8394947340868</v>
      </c>
      <c r="O1220">
        <v>51.6807886893126</v>
      </c>
      <c r="P1220">
        <v>-0.22674497246451</v>
      </c>
      <c r="Q1220">
        <v>0.0319257463765271</v>
      </c>
      <c r="R1220">
        <v>0.973266717451808</v>
      </c>
      <c r="S1220" t="s">
        <v>2888</v>
      </c>
      <c r="T1220" t="s">
        <v>3312</v>
      </c>
      <c r="U1220" t="s">
        <v>3312</v>
      </c>
      <c r="V1220" t="s">
        <v>3312</v>
      </c>
      <c r="W1220" t="s">
        <v>4530</v>
      </c>
      <c r="X1220">
        <v>9</v>
      </c>
      <c r="Y1220" t="s">
        <v>6171</v>
      </c>
      <c r="Z1220" t="s">
        <v>7813</v>
      </c>
      <c r="AA1220">
        <v>0.5108619593731717</v>
      </c>
      <c r="AB1220">
        <f>HYPERLINK("Melting_Curves/meltCurve_P39160_uxuB.pdf", "Melting_Curves/meltCurve_P39160_uxuB.pdf")</f>
        <v>0</v>
      </c>
    </row>
    <row r="1221" spans="1:28">
      <c r="A1221" t="s">
        <v>1247</v>
      </c>
      <c r="B1221">
        <v>0.999984544473304</v>
      </c>
      <c r="C1221">
        <v>0.777778063385277</v>
      </c>
      <c r="D1221">
        <v>0.618747029974494</v>
      </c>
      <c r="E1221">
        <v>0.391868003004968</v>
      </c>
      <c r="F1221">
        <v>0.345906869221355</v>
      </c>
      <c r="G1221">
        <v>0.198647006212508</v>
      </c>
      <c r="H1221">
        <v>0.15912084780609</v>
      </c>
      <c r="I1221">
        <v>0.127078201639929</v>
      </c>
      <c r="J1221">
        <v>0.09721710804785599</v>
      </c>
      <c r="K1221">
        <v>0.0998314521033363</v>
      </c>
      <c r="L1221">
        <v>510.228837686156</v>
      </c>
      <c r="M1221">
        <v>11.472789788479</v>
      </c>
      <c r="N1221">
        <v>45.2493319113221</v>
      </c>
      <c r="O1221">
        <v>43.1861399819299</v>
      </c>
      <c r="P1221">
        <v>-0.0604984549513798</v>
      </c>
      <c r="Q1221">
        <v>0.0893424989798734</v>
      </c>
      <c r="R1221">
        <v>0.985128703289544</v>
      </c>
      <c r="S1221" t="s">
        <v>2889</v>
      </c>
      <c r="T1221" t="s">
        <v>3312</v>
      </c>
      <c r="U1221" t="s">
        <v>3312</v>
      </c>
      <c r="V1221" t="s">
        <v>3312</v>
      </c>
      <c r="W1221" t="s">
        <v>4531</v>
      </c>
      <c r="X1221">
        <v>1</v>
      </c>
      <c r="Y1221" t="s">
        <v>6172</v>
      </c>
      <c r="Z1221" t="s">
        <v>7814</v>
      </c>
      <c r="AA1221">
        <v>0.3532458661442889</v>
      </c>
      <c r="AB1221">
        <f>HYPERLINK("Melting_Curves/meltCurve_P39161_uxuR.pdf", "Melting_Curves/meltCurve_P39161_uxuR.pdf")</f>
        <v>0</v>
      </c>
    </row>
    <row r="1222" spans="1:28">
      <c r="A1222" t="s">
        <v>1248</v>
      </c>
      <c r="B1222">
        <v>0.999984544473304</v>
      </c>
      <c r="C1222">
        <v>1.06163599423037</v>
      </c>
      <c r="D1222">
        <v>0.823887378628574</v>
      </c>
      <c r="E1222">
        <v>1.06171683980044</v>
      </c>
      <c r="F1222">
        <v>0.982891673658994</v>
      </c>
      <c r="G1222">
        <v>0.874327168113527</v>
      </c>
      <c r="H1222">
        <v>0.922515929913921</v>
      </c>
      <c r="I1222">
        <v>0.72797290222514</v>
      </c>
      <c r="J1222">
        <v>0.464580936925961</v>
      </c>
      <c r="K1222">
        <v>0.363366143712517</v>
      </c>
      <c r="L1222">
        <v>1188.5920276218</v>
      </c>
      <c r="M1222">
        <v>18.8129706842734</v>
      </c>
      <c r="N1222">
        <v>64.1481325326227</v>
      </c>
      <c r="O1222">
        <v>62.4785183368917</v>
      </c>
      <c r="P1222">
        <v>-0.06597188571513631</v>
      </c>
      <c r="Q1222">
        <v>0.123656778478552</v>
      </c>
      <c r="R1222">
        <v>0.90346026435608</v>
      </c>
      <c r="S1222" t="s">
        <v>2890</v>
      </c>
      <c r="T1222" t="s">
        <v>3312</v>
      </c>
      <c r="U1222" t="s">
        <v>3312</v>
      </c>
      <c r="V1222" t="s">
        <v>3312</v>
      </c>
      <c r="W1222" t="s">
        <v>4532</v>
      </c>
      <c r="X1222">
        <v>5</v>
      </c>
      <c r="Y1222" t="s">
        <v>6173</v>
      </c>
      <c r="Z1222" t="s">
        <v>7815</v>
      </c>
      <c r="AA1222">
        <v>0.8689740212680143</v>
      </c>
      <c r="AB1222">
        <f>HYPERLINK("Melting_Curves/meltCurve_P39172_znuA.pdf", "Melting_Curves/meltCurve_P39172_znuA.pdf")</f>
        <v>0</v>
      </c>
    </row>
    <row r="1223" spans="1:28">
      <c r="A1223" t="s">
        <v>1249</v>
      </c>
      <c r="B1223">
        <v>0.999984544473304</v>
      </c>
      <c r="C1223">
        <v>0.789703817332057</v>
      </c>
      <c r="D1223">
        <v>1.10480613952772</v>
      </c>
      <c r="E1223">
        <v>0.804549339076398</v>
      </c>
      <c r="F1223">
        <v>1.49030736409271</v>
      </c>
      <c r="G1223">
        <v>1.12582711333069</v>
      </c>
      <c r="H1223">
        <v>1.13724937369908</v>
      </c>
      <c r="I1223">
        <v>0.362501191408571</v>
      </c>
      <c r="J1223">
        <v>0.15745746939814</v>
      </c>
      <c r="K1223">
        <v>0.036214487316149</v>
      </c>
      <c r="L1223">
        <v>12023.5378961255</v>
      </c>
      <c r="M1223">
        <v>197.982338150635</v>
      </c>
      <c r="N1223">
        <v>60.7964449604798</v>
      </c>
      <c r="O1223">
        <v>60.7241607434018</v>
      </c>
      <c r="P1223">
        <v>-0.736174699226086</v>
      </c>
      <c r="Q1223">
        <v>0.0968166097089083</v>
      </c>
      <c r="R1223">
        <v>0.813676063536134</v>
      </c>
      <c r="S1223" t="s">
        <v>2891</v>
      </c>
      <c r="T1223" t="s">
        <v>3312</v>
      </c>
      <c r="U1223" t="s">
        <v>3312</v>
      </c>
      <c r="V1223" t="s">
        <v>3312</v>
      </c>
      <c r="W1223" t="s">
        <v>4533</v>
      </c>
      <c r="X1223">
        <v>4</v>
      </c>
      <c r="Y1223" t="s">
        <v>6174</v>
      </c>
      <c r="Z1223" t="s">
        <v>7816</v>
      </c>
      <c r="AA1223">
        <v>0.8113989028482635</v>
      </c>
      <c r="AB1223">
        <f>HYPERLINK("Melting_Curves/meltCurve_P39173_yeaD.pdf", "Melting_Curves/meltCurve_P39173_yeaD.pdf")</f>
        <v>0</v>
      </c>
    </row>
    <row r="1224" spans="1:28">
      <c r="A1224" t="s">
        <v>1250</v>
      </c>
      <c r="B1224">
        <v>0.999984544473304</v>
      </c>
      <c r="C1224">
        <v>0.927797087348681</v>
      </c>
      <c r="D1224">
        <v>0.8760817844252951</v>
      </c>
      <c r="E1224">
        <v>0.24262301148978</v>
      </c>
      <c r="F1224">
        <v>0.0754564063740409</v>
      </c>
      <c r="G1224">
        <v>0.0444636976081236</v>
      </c>
      <c r="H1224">
        <v>0.0338278706539234</v>
      </c>
      <c r="I1224">
        <v>0.0251917635379351</v>
      </c>
      <c r="J1224">
        <v>0.0164168226341546</v>
      </c>
      <c r="K1224">
        <v>0.0184299056496691</v>
      </c>
      <c r="L1224">
        <v>1689.81577327377</v>
      </c>
      <c r="M1224">
        <v>37.4853921432425</v>
      </c>
      <c r="N1224">
        <v>45.1557952962105</v>
      </c>
      <c r="O1224">
        <v>44.951594260459</v>
      </c>
      <c r="P1224">
        <v>-0.202064646892221</v>
      </c>
      <c r="Q1224">
        <v>0.0307580495001898</v>
      </c>
      <c r="R1224">
        <v>0.996621996496624</v>
      </c>
      <c r="S1224" t="s">
        <v>2892</v>
      </c>
      <c r="T1224" t="s">
        <v>3312</v>
      </c>
      <c r="U1224" t="s">
        <v>3312</v>
      </c>
      <c r="V1224" t="s">
        <v>3312</v>
      </c>
      <c r="W1224" t="s">
        <v>4534</v>
      </c>
      <c r="X1224">
        <v>5</v>
      </c>
      <c r="Y1224" t="s">
        <v>6175</v>
      </c>
      <c r="Z1224" t="s">
        <v>7817</v>
      </c>
      <c r="AA1224">
        <v>0.2952358289096326</v>
      </c>
      <c r="AB1224">
        <f>HYPERLINK("Melting_Curves/meltCurve_P39176_erfK.pdf", "Melting_Curves/meltCurve_P39176_erfK.pdf")</f>
        <v>0</v>
      </c>
    </row>
    <row r="1225" spans="1:28">
      <c r="A1225" t="s">
        <v>1251</v>
      </c>
      <c r="B1225">
        <v>0.999984544473304</v>
      </c>
      <c r="C1225">
        <v>1.19029781733327</v>
      </c>
      <c r="D1225">
        <v>0.205001170976358</v>
      </c>
      <c r="E1225">
        <v>0.8123815267053071</v>
      </c>
      <c r="F1225">
        <v>0.676137077801954</v>
      </c>
      <c r="G1225">
        <v>0.391970490365578</v>
      </c>
      <c r="H1225">
        <v>0.4377132689069</v>
      </c>
      <c r="I1225">
        <v>0.274323052566556</v>
      </c>
      <c r="J1225">
        <v>0.200535358446486</v>
      </c>
      <c r="K1225">
        <v>0.22243225450302</v>
      </c>
      <c r="L1225">
        <v>306.173936706609</v>
      </c>
      <c r="M1225">
        <v>5.88108258018411</v>
      </c>
      <c r="N1225">
        <v>52.0608123338115</v>
      </c>
      <c r="O1225">
        <v>46.9919268183763</v>
      </c>
      <c r="P1225">
        <v>-0.0313965370973637</v>
      </c>
      <c r="Q1225">
        <v>0</v>
      </c>
      <c r="R1225">
        <v>0.575854307366611</v>
      </c>
      <c r="S1225" t="s">
        <v>2893</v>
      </c>
      <c r="T1225" t="s">
        <v>3312</v>
      </c>
      <c r="U1225" t="s">
        <v>3312</v>
      </c>
      <c r="V1225" t="s">
        <v>3312</v>
      </c>
      <c r="W1225" t="s">
        <v>4535</v>
      </c>
      <c r="X1225">
        <v>1</v>
      </c>
      <c r="Y1225" t="s">
        <v>6176</v>
      </c>
      <c r="Z1225" t="s">
        <v>7818</v>
      </c>
      <c r="AA1225">
        <v>0.5293429770295227</v>
      </c>
      <c r="AB1225">
        <f>HYPERLINK("Melting_Curves/meltCurve_P39177_uspG.pdf", "Melting_Curves/meltCurve_P39177_uspG.pdf")</f>
        <v>0</v>
      </c>
    </row>
    <row r="1226" spans="1:28">
      <c r="A1226" t="s">
        <v>1252</v>
      </c>
      <c r="B1226">
        <v>0.999984544473304</v>
      </c>
      <c r="C1226">
        <v>0.99162530539247</v>
      </c>
      <c r="D1226">
        <v>0.942019850600594</v>
      </c>
      <c r="E1226">
        <v>0.908157063206127</v>
      </c>
      <c r="F1226">
        <v>1.00153113642696</v>
      </c>
      <c r="G1226">
        <v>0.718606865185355</v>
      </c>
      <c r="H1226">
        <v>0.592869312257098</v>
      </c>
      <c r="I1226">
        <v>0.460524971806806</v>
      </c>
      <c r="J1226">
        <v>0.340144191801487</v>
      </c>
      <c r="K1226">
        <v>0.314885513540711</v>
      </c>
      <c r="L1226">
        <v>864.569885276659</v>
      </c>
      <c r="M1226">
        <v>15.2494670019094</v>
      </c>
      <c r="N1226">
        <v>59.3406183586696</v>
      </c>
      <c r="O1226">
        <v>55.7469471354898</v>
      </c>
      <c r="P1226">
        <v>-0.0515238665632733</v>
      </c>
      <c r="Q1226">
        <v>0.246655281139926</v>
      </c>
      <c r="R1226">
        <v>0.97288446238211</v>
      </c>
      <c r="S1226" t="s">
        <v>2894</v>
      </c>
      <c r="T1226" t="s">
        <v>3312</v>
      </c>
      <c r="U1226" t="s">
        <v>3312</v>
      </c>
      <c r="V1226" t="s">
        <v>3312</v>
      </c>
      <c r="W1226" t="s">
        <v>4536</v>
      </c>
      <c r="X1226">
        <v>7</v>
      </c>
      <c r="Y1226" t="s">
        <v>6177</v>
      </c>
      <c r="Z1226" t="s">
        <v>7819</v>
      </c>
      <c r="AA1226">
        <v>0.7482844023061249</v>
      </c>
      <c r="AB1226">
        <f>HYPERLINK("Melting_Curves/meltCurve_P39187_ytfJ.pdf", "Melting_Curves/meltCurve_P39187_ytfJ.pdf")</f>
        <v>0</v>
      </c>
    </row>
    <row r="1227" spans="1:28">
      <c r="A1227" t="s">
        <v>1253</v>
      </c>
      <c r="B1227">
        <v>0.999984544473304</v>
      </c>
      <c r="C1227">
        <v>0.979858872706953</v>
      </c>
      <c r="D1227">
        <v>1.09848305416759</v>
      </c>
      <c r="E1227">
        <v>0.888781991335289</v>
      </c>
      <c r="F1227">
        <v>0.717358723507759</v>
      </c>
      <c r="G1227">
        <v>0.0622325991105747</v>
      </c>
      <c r="H1227">
        <v>0.0228973226447326</v>
      </c>
      <c r="I1227">
        <v>0.0114895654267268</v>
      </c>
      <c r="J1227">
        <v>0.0113973957589078</v>
      </c>
      <c r="K1227">
        <v>0.0107995317049729</v>
      </c>
      <c r="L1227">
        <v>2636.0077459997</v>
      </c>
      <c r="M1227">
        <v>51.630978420474</v>
      </c>
      <c r="N1227">
        <v>51.0753535427455</v>
      </c>
      <c r="O1227">
        <v>50.9783533941771</v>
      </c>
      <c r="P1227">
        <v>-0.250593722748716</v>
      </c>
      <c r="Q1227">
        <v>0.0102960567082785</v>
      </c>
      <c r="R1227">
        <v>0.990170553706459</v>
      </c>
      <c r="S1227" t="s">
        <v>2895</v>
      </c>
      <c r="T1227" t="s">
        <v>3312</v>
      </c>
      <c r="U1227" t="s">
        <v>3312</v>
      </c>
      <c r="V1227" t="s">
        <v>3312</v>
      </c>
      <c r="W1227" t="s">
        <v>4537</v>
      </c>
      <c r="X1227">
        <v>3</v>
      </c>
      <c r="Y1227" t="s">
        <v>6178</v>
      </c>
      <c r="Z1227" t="s">
        <v>7820</v>
      </c>
      <c r="AA1227">
        <v>0.4760540424475275</v>
      </c>
      <c r="AB1227">
        <f>HYPERLINK("Melting_Curves/meltCurve_P39199_prmB.pdf", "Melting_Curves/meltCurve_P39199_prmB.pdf")</f>
        <v>0</v>
      </c>
    </row>
    <row r="1228" spans="1:28">
      <c r="A1228" t="s">
        <v>1254</v>
      </c>
      <c r="B1228">
        <v>0.999984544473304</v>
      </c>
      <c r="C1228">
        <v>1.02975054461942</v>
      </c>
      <c r="D1228">
        <v>0.857362328970438</v>
      </c>
      <c r="E1228">
        <v>1.03708710519632</v>
      </c>
      <c r="F1228">
        <v>1.00574875376189</v>
      </c>
      <c r="G1228">
        <v>0.793397992264004</v>
      </c>
      <c r="H1228">
        <v>0.787470692439167</v>
      </c>
      <c r="I1228">
        <v>0.672224479083433</v>
      </c>
      <c r="J1228">
        <v>0.600163538507945</v>
      </c>
      <c r="K1228">
        <v>0.588780827453977</v>
      </c>
      <c r="L1228">
        <v>883.832262552867</v>
      </c>
      <c r="M1228">
        <v>15.5811061029065</v>
      </c>
      <c r="O1228">
        <v>55.8148739390569</v>
      </c>
      <c r="P1228">
        <v>-0.0314123114286332</v>
      </c>
      <c r="Q1228">
        <v>0.5499365269530549</v>
      </c>
      <c r="R1228">
        <v>0.883030169880503</v>
      </c>
      <c r="S1228" t="s">
        <v>2896</v>
      </c>
      <c r="T1228" t="s">
        <v>3312</v>
      </c>
      <c r="U1228" t="s">
        <v>3312</v>
      </c>
      <c r="V1228" t="s">
        <v>3312</v>
      </c>
      <c r="W1228" t="s">
        <v>4538</v>
      </c>
      <c r="X1228">
        <v>7</v>
      </c>
      <c r="Y1228" t="s">
        <v>6179</v>
      </c>
      <c r="Z1228" t="s">
        <v>7821</v>
      </c>
      <c r="AA1228">
        <v>0.8500710078403156</v>
      </c>
      <c r="AB1228">
        <f>HYPERLINK("Melting_Curves/meltCurve_P39265_alsB.pdf", "Melting_Curves/meltCurve_P39265_alsB.pdf")</f>
        <v>0</v>
      </c>
    </row>
    <row r="1229" spans="1:28">
      <c r="A1229" t="s">
        <v>1255</v>
      </c>
      <c r="B1229">
        <v>0.999984544473304</v>
      </c>
      <c r="C1229">
        <v>1.17395416774511</v>
      </c>
      <c r="D1229">
        <v>0.9886822504260649</v>
      </c>
      <c r="E1229">
        <v>1.27208936742658</v>
      </c>
      <c r="F1229">
        <v>0.722118489213332</v>
      </c>
      <c r="G1229">
        <v>0.788364163386052</v>
      </c>
      <c r="H1229">
        <v>0.55037481956292</v>
      </c>
      <c r="I1229">
        <v>0.282715994723298</v>
      </c>
      <c r="J1229">
        <v>0.173770847588132</v>
      </c>
      <c r="K1229">
        <v>0.348776874530971</v>
      </c>
      <c r="L1229">
        <v>1104.20587975503</v>
      </c>
      <c r="M1229">
        <v>19.8109209030261</v>
      </c>
      <c r="N1229">
        <v>57.3771743114326</v>
      </c>
      <c r="O1229">
        <v>55.1786364702211</v>
      </c>
      <c r="P1229">
        <v>-0.07035750217253239</v>
      </c>
      <c r="Q1229">
        <v>0.216169783943241</v>
      </c>
      <c r="R1229">
        <v>0.862951684459663</v>
      </c>
      <c r="S1229" t="s">
        <v>2897</v>
      </c>
      <c r="T1229" t="s">
        <v>3312</v>
      </c>
      <c r="U1229" t="s">
        <v>3312</v>
      </c>
      <c r="V1229" t="s">
        <v>3312</v>
      </c>
      <c r="W1229" t="s">
        <v>4539</v>
      </c>
      <c r="X1229">
        <v>2</v>
      </c>
      <c r="Y1229" t="s">
        <v>6180</v>
      </c>
      <c r="Z1229" t="s">
        <v>7822</v>
      </c>
      <c r="AA1229">
        <v>0.7141030493152111</v>
      </c>
      <c r="AB1229">
        <f>HYPERLINK("Melting_Curves/meltCurve_P39274_yjdJ.pdf", "Melting_Curves/meltCurve_P39274_yjdJ.pdf")</f>
        <v>0</v>
      </c>
    </row>
    <row r="1230" spans="1:28">
      <c r="A1230" t="s">
        <v>1256</v>
      </c>
      <c r="B1230">
        <v>0.999984544473304</v>
      </c>
      <c r="C1230">
        <v>1.18845082257547</v>
      </c>
      <c r="D1230">
        <v>0.85891236928793</v>
      </c>
      <c r="E1230">
        <v>1.15301533835042</v>
      </c>
      <c r="F1230">
        <v>0.8535315426603159</v>
      </c>
      <c r="G1230">
        <v>0.922468703785439</v>
      </c>
      <c r="H1230">
        <v>0.715702361846357</v>
      </c>
      <c r="I1230">
        <v>0.958368811189273</v>
      </c>
      <c r="J1230">
        <v>0.499433120627322</v>
      </c>
      <c r="K1230">
        <v>0.7315731643483691</v>
      </c>
      <c r="L1230">
        <v>707.975204292675</v>
      </c>
      <c r="M1230">
        <v>12.1945419964928</v>
      </c>
      <c r="O1230">
        <v>56.5616684410837</v>
      </c>
      <c r="P1230">
        <v>-0.0214994119353613</v>
      </c>
      <c r="Q1230">
        <v>0.6012093811979921</v>
      </c>
      <c r="R1230">
        <v>0.499627683042372</v>
      </c>
      <c r="S1230" t="s">
        <v>2898</v>
      </c>
      <c r="T1230" t="s">
        <v>3312</v>
      </c>
      <c r="U1230" t="s">
        <v>3312</v>
      </c>
      <c r="V1230" t="s">
        <v>3312</v>
      </c>
      <c r="W1230" t="s">
        <v>4540</v>
      </c>
      <c r="X1230">
        <v>1</v>
      </c>
      <c r="Y1230" t="s">
        <v>6181</v>
      </c>
      <c r="Z1230" t="s">
        <v>7823</v>
      </c>
      <c r="AA1230">
        <v>0.8806431726097882</v>
      </c>
      <c r="AB1230">
        <f>HYPERLINK("Melting_Curves/meltCurve_P39285_mscM.pdf", "Melting_Curves/meltCurve_P39285_mscM.pdf")</f>
        <v>0</v>
      </c>
    </row>
    <row r="1231" spans="1:28">
      <c r="A1231" t="s">
        <v>1257</v>
      </c>
      <c r="B1231">
        <v>0.999984544473304</v>
      </c>
      <c r="C1231">
        <v>0.926617668826465</v>
      </c>
      <c r="D1231">
        <v>0.922758935593756</v>
      </c>
      <c r="E1231">
        <v>0.751864684771918</v>
      </c>
      <c r="F1231">
        <v>0.190829614985224</v>
      </c>
      <c r="G1231">
        <v>0.07378859612959909</v>
      </c>
      <c r="H1231">
        <v>0.0651644961086562</v>
      </c>
      <c r="I1231">
        <v>0.0569175670557336</v>
      </c>
      <c r="J1231">
        <v>0.0392216965976871</v>
      </c>
      <c r="K1231">
        <v>0.0335131710977674</v>
      </c>
      <c r="L1231">
        <v>1689.59496310787</v>
      </c>
      <c r="M1231">
        <v>35.2865623974646</v>
      </c>
      <c r="N1231">
        <v>48.0180262465664</v>
      </c>
      <c r="O1231">
        <v>47.7291057389568</v>
      </c>
      <c r="P1231">
        <v>-0.176043455609758</v>
      </c>
      <c r="Q1231">
        <v>0.0475277451521034</v>
      </c>
      <c r="R1231">
        <v>0.99412655308947</v>
      </c>
      <c r="S1231" t="s">
        <v>2899</v>
      </c>
      <c r="T1231" t="s">
        <v>3312</v>
      </c>
      <c r="U1231" t="s">
        <v>3312</v>
      </c>
      <c r="V1231" t="s">
        <v>3312</v>
      </c>
      <c r="W1231" t="s">
        <v>4541</v>
      </c>
      <c r="X1231">
        <v>3</v>
      </c>
      <c r="Y1231" t="s">
        <v>6182</v>
      </c>
      <c r="Z1231" t="s">
        <v>7824</v>
      </c>
      <c r="AA1231">
        <v>0.3970838491775738</v>
      </c>
      <c r="AB1231">
        <f>HYPERLINK("Melting_Curves/meltCurve_P39286_rsgA.pdf", "Melting_Curves/meltCurve_P39286_rsgA.pdf")</f>
        <v>0</v>
      </c>
    </row>
    <row r="1232" spans="1:28">
      <c r="A1232" t="s">
        <v>1258</v>
      </c>
      <c r="B1232">
        <v>0.999984544473304</v>
      </c>
      <c r="C1232">
        <v>0.967205825152804</v>
      </c>
      <c r="D1232">
        <v>0.910942690498232</v>
      </c>
      <c r="E1232">
        <v>0.871929288260354</v>
      </c>
      <c r="F1232">
        <v>0.530663220602084</v>
      </c>
      <c r="G1232">
        <v>0.25360338697078</v>
      </c>
      <c r="H1232">
        <v>0.143993517875234</v>
      </c>
      <c r="I1232">
        <v>0.0993949912070908</v>
      </c>
      <c r="J1232">
        <v>0.0913187930921901</v>
      </c>
      <c r="K1232">
        <v>0.0729684907325361</v>
      </c>
      <c r="L1232">
        <v>1033.42010867481</v>
      </c>
      <c r="M1232">
        <v>20.5894825164925</v>
      </c>
      <c r="N1232">
        <v>50.587820762645</v>
      </c>
      <c r="O1232">
        <v>49.72537502871</v>
      </c>
      <c r="P1232">
        <v>-0.0958113847058203</v>
      </c>
      <c r="Q1232">
        <v>0.0744557960835633</v>
      </c>
      <c r="R1232">
        <v>0.996279022050596</v>
      </c>
      <c r="S1232" t="s">
        <v>2900</v>
      </c>
      <c r="T1232" t="s">
        <v>3312</v>
      </c>
      <c r="U1232" t="s">
        <v>3312</v>
      </c>
      <c r="V1232" t="s">
        <v>3312</v>
      </c>
      <c r="W1232" t="s">
        <v>4542</v>
      </c>
      <c r="X1232">
        <v>1</v>
      </c>
      <c r="Y1232" t="s">
        <v>6183</v>
      </c>
      <c r="Z1232" t="s">
        <v>7825</v>
      </c>
      <c r="AA1232">
        <v>0.493015509974784</v>
      </c>
      <c r="AB1232">
        <f>HYPERLINK("Melting_Curves/meltCurve_P39297_bsmA.pdf", "Melting_Curves/meltCurve_P39297_bsmA.pdf")</f>
        <v>0</v>
      </c>
    </row>
    <row r="1233" spans="1:28">
      <c r="A1233" t="s">
        <v>1259</v>
      </c>
      <c r="B1233">
        <v>0.999984544473304</v>
      </c>
      <c r="C1233">
        <v>0.718116500203313</v>
      </c>
      <c r="D1233">
        <v>1.04164724959837</v>
      </c>
      <c r="E1233">
        <v>0.717724742812918</v>
      </c>
      <c r="F1233">
        <v>0.816528291334967</v>
      </c>
      <c r="G1233">
        <v>0.634132466252494</v>
      </c>
      <c r="H1233">
        <v>0.292867635448125</v>
      </c>
      <c r="I1233">
        <v>0.142115690360838</v>
      </c>
      <c r="J1233">
        <v>0.0707325273200209</v>
      </c>
      <c r="K1233">
        <v>0.0696514385268175</v>
      </c>
      <c r="L1233">
        <v>745.329273726393</v>
      </c>
      <c r="M1233">
        <v>13.7011013032162</v>
      </c>
      <c r="N1233">
        <v>54.3992236756223</v>
      </c>
      <c r="O1233">
        <v>53.2796203413214</v>
      </c>
      <c r="P1233">
        <v>-0.0642979138670253</v>
      </c>
      <c r="Q1233">
        <v>0</v>
      </c>
      <c r="R1233">
        <v>0.894740838624471</v>
      </c>
      <c r="S1233" t="s">
        <v>2901</v>
      </c>
      <c r="T1233" t="s">
        <v>3312</v>
      </c>
      <c r="U1233" t="s">
        <v>3312</v>
      </c>
      <c r="V1233" t="s">
        <v>3312</v>
      </c>
      <c r="W1233" t="s">
        <v>4543</v>
      </c>
      <c r="X1233">
        <v>3</v>
      </c>
      <c r="Y1233" t="s">
        <v>6184</v>
      </c>
      <c r="Z1233" t="s">
        <v>7826</v>
      </c>
      <c r="AA1233">
        <v>0.5960865611330607</v>
      </c>
      <c r="AB1233">
        <f>HYPERLINK("Melting_Curves/meltCurve_P39298_yjfP.pdf", "Melting_Curves/meltCurve_P39298_yjfP.pdf")</f>
        <v>0</v>
      </c>
    </row>
    <row r="1234" spans="1:28">
      <c r="A1234" t="s">
        <v>1260</v>
      </c>
      <c r="B1234">
        <v>0.999984544473304</v>
      </c>
      <c r="C1234">
        <v>0.797128132205107</v>
      </c>
      <c r="D1234">
        <v>0.742524089354239</v>
      </c>
      <c r="E1234">
        <v>0.509258470534106</v>
      </c>
      <c r="F1234">
        <v>0.491062622370644</v>
      </c>
      <c r="G1234">
        <v>0.321922895562917</v>
      </c>
      <c r="H1234">
        <v>0.172979142769649</v>
      </c>
      <c r="I1234">
        <v>0.119681651147988</v>
      </c>
      <c r="J1234">
        <v>0.0908986330363879</v>
      </c>
      <c r="K1234">
        <v>0.106354502162919</v>
      </c>
      <c r="L1234">
        <v>405.037263173592</v>
      </c>
      <c r="M1234">
        <v>8.407139135979399</v>
      </c>
      <c r="N1234">
        <v>48.1777593367123</v>
      </c>
      <c r="O1234">
        <v>45.6833708901803</v>
      </c>
      <c r="P1234">
        <v>-0.0460508593514555</v>
      </c>
      <c r="Q1234">
        <v>0</v>
      </c>
      <c r="R1234">
        <v>0.978049097173208</v>
      </c>
      <c r="S1234" t="s">
        <v>2902</v>
      </c>
      <c r="T1234" t="s">
        <v>3312</v>
      </c>
      <c r="U1234" t="s">
        <v>3312</v>
      </c>
      <c r="V1234" t="s">
        <v>3312</v>
      </c>
      <c r="W1234" t="s">
        <v>4544</v>
      </c>
      <c r="X1234">
        <v>2</v>
      </c>
      <c r="Y1234" t="s">
        <v>6185</v>
      </c>
      <c r="Z1234" t="s">
        <v>7827</v>
      </c>
      <c r="AA1234">
        <v>0.4209762621857566</v>
      </c>
      <c r="AB1234">
        <f>HYPERLINK("Melting_Curves/meltCurve_P39310_ytfB.pdf", "Melting_Curves/meltCurve_P39310_ytfB.pdf")</f>
        <v>0</v>
      </c>
    </row>
    <row r="1235" spans="1:28">
      <c r="A1235" t="s">
        <v>1261</v>
      </c>
      <c r="B1235">
        <v>0.999984544473304</v>
      </c>
      <c r="C1235">
        <v>0.887011611418439</v>
      </c>
      <c r="D1235">
        <v>0.945529830320426</v>
      </c>
      <c r="E1235">
        <v>0.885523140521436</v>
      </c>
      <c r="F1235">
        <v>1.00889101137767</v>
      </c>
      <c r="G1235">
        <v>0.85242694648068</v>
      </c>
      <c r="H1235">
        <v>0.790106860717509</v>
      </c>
      <c r="I1235">
        <v>0.598956565927149</v>
      </c>
      <c r="J1235">
        <v>0.394203406410422</v>
      </c>
      <c r="K1235">
        <v>0.323823278567289</v>
      </c>
      <c r="L1235">
        <v>780.82584809935</v>
      </c>
      <c r="M1235">
        <v>12.4562715990333</v>
      </c>
      <c r="N1235">
        <v>62.6853583039209</v>
      </c>
      <c r="O1235">
        <v>61.1354975115327</v>
      </c>
      <c r="P1235">
        <v>-0.0509477730832514</v>
      </c>
      <c r="Q1235">
        <v>0</v>
      </c>
      <c r="R1235">
        <v>0.941103593277087</v>
      </c>
      <c r="S1235" t="s">
        <v>2903</v>
      </c>
      <c r="T1235" t="s">
        <v>3312</v>
      </c>
      <c r="U1235" t="s">
        <v>3312</v>
      </c>
      <c r="V1235" t="s">
        <v>3312</v>
      </c>
      <c r="W1235" t="s">
        <v>4545</v>
      </c>
      <c r="X1235">
        <v>6</v>
      </c>
      <c r="Y1235" t="s">
        <v>6186</v>
      </c>
      <c r="Z1235" t="s">
        <v>7828</v>
      </c>
      <c r="AA1235">
        <v>0.8151915050069584</v>
      </c>
      <c r="AB1235">
        <f>HYPERLINK("Melting_Curves/meltCurve_P39315_qorB.pdf", "Melting_Curves/meltCurve_P39315_qorB.pdf")</f>
        <v>0</v>
      </c>
    </row>
    <row r="1236" spans="1:28">
      <c r="A1236" t="s">
        <v>1262</v>
      </c>
      <c r="B1236">
        <v>0.999984544473304</v>
      </c>
      <c r="C1236">
        <v>1.52796645906408</v>
      </c>
      <c r="D1236">
        <v>0.879469156009121</v>
      </c>
      <c r="E1236">
        <v>0.957918022828693</v>
      </c>
      <c r="F1236">
        <v>0.698934052117288</v>
      </c>
      <c r="G1236">
        <v>0.585909475491964</v>
      </c>
      <c r="H1236">
        <v>0.507508937236602</v>
      </c>
      <c r="I1236">
        <v>0.337473240433312</v>
      </c>
      <c r="J1236">
        <v>0.270202193306953</v>
      </c>
      <c r="K1236">
        <v>0.138955649933364</v>
      </c>
      <c r="L1236">
        <v>644.187103810818</v>
      </c>
      <c r="M1236">
        <v>11.6416856387259</v>
      </c>
      <c r="N1236">
        <v>56.2545817038094</v>
      </c>
      <c r="O1236">
        <v>53.7774290264402</v>
      </c>
      <c r="P1236">
        <v>-0.0494416378192901</v>
      </c>
      <c r="Q1236">
        <v>0.086687888261771</v>
      </c>
      <c r="R1236">
        <v>0.796488034737945</v>
      </c>
      <c r="S1236" t="s">
        <v>2904</v>
      </c>
      <c r="T1236" t="s">
        <v>3312</v>
      </c>
      <c r="U1236" t="s">
        <v>3312</v>
      </c>
      <c r="V1236" t="s">
        <v>3312</v>
      </c>
      <c r="W1236" t="s">
        <v>4546</v>
      </c>
      <c r="X1236">
        <v>7</v>
      </c>
      <c r="Y1236" t="s">
        <v>6187</v>
      </c>
      <c r="Z1236" t="s">
        <v>7829</v>
      </c>
      <c r="AA1236">
        <v>0.656285809736564</v>
      </c>
      <c r="AB1236">
        <f>HYPERLINK("Melting_Curves/meltCurve_P39321_tamB.pdf", "Melting_Curves/meltCurve_P39321_tamB.pdf")</f>
        <v>0</v>
      </c>
    </row>
    <row r="1237" spans="1:28">
      <c r="A1237" t="s">
        <v>1263</v>
      </c>
      <c r="B1237">
        <v>0.999984544473304</v>
      </c>
      <c r="C1237">
        <v>0.903484583046418</v>
      </c>
      <c r="D1237">
        <v>0.91258566216739</v>
      </c>
      <c r="E1237">
        <v>0.977278074625048</v>
      </c>
      <c r="F1237">
        <v>1.07361071870537</v>
      </c>
      <c r="G1237">
        <v>0.913839439837711</v>
      </c>
      <c r="H1237">
        <v>0.9976257730592279</v>
      </c>
      <c r="I1237">
        <v>0.893665681828577</v>
      </c>
      <c r="J1237">
        <v>0.7965186356117639</v>
      </c>
      <c r="K1237">
        <v>0.746038343633065</v>
      </c>
      <c r="L1237">
        <v>1815.9124180097</v>
      </c>
      <c r="M1237">
        <v>29.2060102529756</v>
      </c>
      <c r="O1237">
        <v>61.8866664128278</v>
      </c>
      <c r="P1237">
        <v>-0.0337692142652764</v>
      </c>
      <c r="Q1237">
        <v>0.713778194006643</v>
      </c>
      <c r="R1237">
        <v>0.647206378151602</v>
      </c>
      <c r="S1237" t="s">
        <v>2905</v>
      </c>
      <c r="T1237" t="s">
        <v>3312</v>
      </c>
      <c r="U1237" t="s">
        <v>3312</v>
      </c>
      <c r="V1237" t="s">
        <v>3312</v>
      </c>
      <c r="W1237" t="s">
        <v>4547</v>
      </c>
      <c r="X1237">
        <v>12</v>
      </c>
      <c r="Y1237" t="s">
        <v>6188</v>
      </c>
      <c r="Z1237" t="s">
        <v>7830</v>
      </c>
      <c r="AA1237">
        <v>0.9533507570062596</v>
      </c>
      <c r="AB1237">
        <f>HYPERLINK("Melting_Curves/meltCurve_P39325_ytfQ.pdf", "Melting_Curves/meltCurve_P39325_ytfQ.pdf")</f>
        <v>0</v>
      </c>
    </row>
    <row r="1238" spans="1:28">
      <c r="A1238" t="s">
        <v>1264</v>
      </c>
      <c r="B1238">
        <v>0.999984544473304</v>
      </c>
      <c r="C1238">
        <v>1.23491290403355</v>
      </c>
      <c r="D1238">
        <v>1.09207492254414</v>
      </c>
      <c r="E1238">
        <v>1.19588216061959</v>
      </c>
      <c r="F1238">
        <v>1.08902651517319</v>
      </c>
      <c r="G1238">
        <v>0.923548257394639</v>
      </c>
      <c r="H1238">
        <v>0.993319906041731</v>
      </c>
      <c r="I1238">
        <v>0.906298266013401</v>
      </c>
      <c r="J1238">
        <v>0.7631336869679261</v>
      </c>
      <c r="K1238">
        <v>0.8789827290916991</v>
      </c>
      <c r="L1238">
        <v>15000</v>
      </c>
      <c r="M1238">
        <v>245.996317098123</v>
      </c>
      <c r="O1238">
        <v>60.9725057644107</v>
      </c>
      <c r="P1238">
        <v>-0.180487213848368</v>
      </c>
      <c r="Q1238">
        <v>0.821058210636288</v>
      </c>
      <c r="R1238">
        <v>0.370797467571172</v>
      </c>
      <c r="S1238" t="s">
        <v>2906</v>
      </c>
      <c r="T1238" t="s">
        <v>3312</v>
      </c>
      <c r="U1238" t="s">
        <v>3312</v>
      </c>
      <c r="V1238" t="s">
        <v>3312</v>
      </c>
      <c r="W1238" t="s">
        <v>4548</v>
      </c>
      <c r="X1238">
        <v>1</v>
      </c>
      <c r="Y1238" t="s">
        <v>6189</v>
      </c>
      <c r="Z1238" t="s">
        <v>7831</v>
      </c>
      <c r="AA1238">
        <v>0.9640913837299885</v>
      </c>
      <c r="AB1238">
        <f>HYPERLINK("Melting_Curves/meltCurve_P39332_yjgH.pdf", "Melting_Curves/meltCurve_P39332_yjgH.pdf")</f>
        <v>0</v>
      </c>
    </row>
    <row r="1239" spans="1:28">
      <c r="A1239" t="s">
        <v>1265</v>
      </c>
      <c r="B1239">
        <v>0.999984544473304</v>
      </c>
      <c r="C1239">
        <v>0.920759516083013</v>
      </c>
      <c r="D1239">
        <v>1.00649597333027</v>
      </c>
      <c r="E1239">
        <v>0.817170112906194</v>
      </c>
      <c r="F1239">
        <v>0.537147100295334</v>
      </c>
      <c r="G1239">
        <v>0.222245109272067</v>
      </c>
      <c r="H1239">
        <v>0.115431277620523</v>
      </c>
      <c r="I1239">
        <v>0.07296998410823639</v>
      </c>
      <c r="J1239">
        <v>0.0613395541659121</v>
      </c>
      <c r="K1239">
        <v>0.0405107435665716</v>
      </c>
      <c r="L1239">
        <v>1023.21294317493</v>
      </c>
      <c r="M1239">
        <v>20.3837594674182</v>
      </c>
      <c r="N1239">
        <v>50.4198605201517</v>
      </c>
      <c r="O1239">
        <v>49.7218216368658</v>
      </c>
      <c r="P1239">
        <v>-0.09808551730691691</v>
      </c>
      <c r="Q1239">
        <v>0.0429943347373392</v>
      </c>
      <c r="R1239">
        <v>0.9950517156203</v>
      </c>
      <c r="S1239" t="s">
        <v>2907</v>
      </c>
      <c r="T1239" t="s">
        <v>3312</v>
      </c>
      <c r="U1239" t="s">
        <v>3312</v>
      </c>
      <c r="V1239" t="s">
        <v>3312</v>
      </c>
      <c r="W1239" t="s">
        <v>4549</v>
      </c>
      <c r="X1239">
        <v>3</v>
      </c>
      <c r="Y1239" t="s">
        <v>6190</v>
      </c>
      <c r="Z1239" t="s">
        <v>7832</v>
      </c>
      <c r="AA1239">
        <v>0.4761800496189483</v>
      </c>
      <c r="AB1239">
        <f>HYPERLINK("Melting_Curves/meltCurve_P39337_yjgM.pdf", "Melting_Curves/meltCurve_P39337_yjgM.pdf")</f>
        <v>0</v>
      </c>
    </row>
    <row r="1240" spans="1:28">
      <c r="A1240" t="s">
        <v>1266</v>
      </c>
      <c r="B1240">
        <v>0.999984544473304</v>
      </c>
      <c r="C1240">
        <v>0.941854228980308</v>
      </c>
      <c r="D1240">
        <v>0.988119985677661</v>
      </c>
      <c r="E1240">
        <v>0.790710975481953</v>
      </c>
      <c r="F1240">
        <v>0.161535784839238</v>
      </c>
      <c r="G1240">
        <v>0.0930843330306165</v>
      </c>
      <c r="H1240">
        <v>0.0685317676590582</v>
      </c>
      <c r="I1240">
        <v>0.047104039687851</v>
      </c>
      <c r="J1240">
        <v>0.0378740400306549</v>
      </c>
      <c r="K1240">
        <v>0.0349577857001901</v>
      </c>
      <c r="L1240">
        <v>2107.39190881596</v>
      </c>
      <c r="M1240">
        <v>43.9762314870575</v>
      </c>
      <c r="N1240">
        <v>48.0453105510888</v>
      </c>
      <c r="O1240">
        <v>47.8223801428301</v>
      </c>
      <c r="P1240">
        <v>-0.217546746778244</v>
      </c>
      <c r="Q1240">
        <v>0.0537080534874915</v>
      </c>
      <c r="R1240">
        <v>0.997063875145529</v>
      </c>
      <c r="S1240" t="s">
        <v>2908</v>
      </c>
      <c r="T1240" t="s">
        <v>3312</v>
      </c>
      <c r="U1240" t="s">
        <v>3312</v>
      </c>
      <c r="V1240" t="s">
        <v>3312</v>
      </c>
      <c r="W1240" t="s">
        <v>4550</v>
      </c>
      <c r="X1240">
        <v>12</v>
      </c>
      <c r="Y1240" t="s">
        <v>6191</v>
      </c>
      <c r="Z1240" t="s">
        <v>7833</v>
      </c>
      <c r="AA1240">
        <v>0.4007847139059921</v>
      </c>
      <c r="AB1240">
        <f>HYPERLINK("Melting_Curves/meltCurve_P39342_yjgR.pdf", "Melting_Curves/meltCurve_P39342_yjgR.pdf")</f>
        <v>0</v>
      </c>
    </row>
    <row r="1241" spans="1:28">
      <c r="A1241" t="s">
        <v>1267</v>
      </c>
      <c r="B1241">
        <v>0.999984544473304</v>
      </c>
      <c r="C1241">
        <v>1.11370111719144</v>
      </c>
      <c r="D1241">
        <v>1.02735648299966</v>
      </c>
      <c r="E1241">
        <v>1.01365465949515</v>
      </c>
      <c r="F1241">
        <v>0.928303214720026</v>
      </c>
      <c r="G1241">
        <v>0.8246512302478251</v>
      </c>
      <c r="H1241">
        <v>0.383881614875833</v>
      </c>
      <c r="I1241">
        <v>0.104697537383583</v>
      </c>
      <c r="J1241">
        <v>0.0675478167103265</v>
      </c>
      <c r="K1241">
        <v>0.0602585431998121</v>
      </c>
      <c r="L1241">
        <v>1755.08107241965</v>
      </c>
      <c r="M1241">
        <v>31.1886329017749</v>
      </c>
      <c r="N1241">
        <v>56.439033872843</v>
      </c>
      <c r="O1241">
        <v>56.043276915965</v>
      </c>
      <c r="P1241">
        <v>-0.133033202866319</v>
      </c>
      <c r="Q1241">
        <v>0.0438087740744651</v>
      </c>
      <c r="R1241">
        <v>0.9904602761114361</v>
      </c>
      <c r="S1241" t="s">
        <v>2909</v>
      </c>
      <c r="T1241" t="s">
        <v>3312</v>
      </c>
      <c r="U1241" t="s">
        <v>3312</v>
      </c>
      <c r="V1241" t="s">
        <v>3312</v>
      </c>
      <c r="W1241" t="s">
        <v>4551</v>
      </c>
      <c r="X1241">
        <v>6</v>
      </c>
      <c r="Y1241" t="s">
        <v>6192</v>
      </c>
      <c r="Z1241" t="s">
        <v>7834</v>
      </c>
      <c r="AA1241">
        <v>0.6636573484146918</v>
      </c>
      <c r="AB1241">
        <f>HYPERLINK("Melting_Curves/meltCurve_P39356_yjhU.pdf", "Melting_Curves/meltCurve_P39356_yjhU.pdf")</f>
        <v>0</v>
      </c>
    </row>
    <row r="1242" spans="1:28">
      <c r="A1242" t="s">
        <v>1268</v>
      </c>
      <c r="B1242">
        <v>0.999984544473304</v>
      </c>
      <c r="C1242">
        <v>1.1176784867689</v>
      </c>
      <c r="D1242">
        <v>0.862026116614015</v>
      </c>
      <c r="E1242">
        <v>1.06866755278533</v>
      </c>
      <c r="F1242">
        <v>0.837383418667634</v>
      </c>
      <c r="G1242">
        <v>0.8638629841727929</v>
      </c>
      <c r="H1242">
        <v>0.609679859858905</v>
      </c>
      <c r="I1242">
        <v>0.561120058661427</v>
      </c>
      <c r="J1242">
        <v>0.489244825659398</v>
      </c>
      <c r="K1242">
        <v>0.457808049265545</v>
      </c>
      <c r="L1242">
        <v>871.786977969169</v>
      </c>
      <c r="M1242">
        <v>15.5692102851754</v>
      </c>
      <c r="N1242">
        <v>63.3203843462012</v>
      </c>
      <c r="O1242">
        <v>55.0949334226876</v>
      </c>
      <c r="P1242">
        <v>-0.0411583433718495</v>
      </c>
      <c r="Q1242">
        <v>0.417460955109232</v>
      </c>
      <c r="R1242">
        <v>0.899057674878465</v>
      </c>
      <c r="S1242" t="s">
        <v>2910</v>
      </c>
      <c r="T1242" t="s">
        <v>3312</v>
      </c>
      <c r="U1242" t="s">
        <v>3312</v>
      </c>
      <c r="V1242" t="s">
        <v>3312</v>
      </c>
      <c r="W1242" t="s">
        <v>4552</v>
      </c>
      <c r="X1242">
        <v>2</v>
      </c>
      <c r="Y1242" t="s">
        <v>6193</v>
      </c>
      <c r="Z1242" t="s">
        <v>7835</v>
      </c>
      <c r="AA1242">
        <v>0.7929924386913849</v>
      </c>
      <c r="AB1242">
        <f>HYPERLINK("Melting_Curves/meltCurve_P39358_yjhG.pdf", "Melting_Curves/meltCurve_P39358_yjhG.pdf")</f>
        <v>0</v>
      </c>
    </row>
    <row r="1243" spans="1:28">
      <c r="A1243" t="s">
        <v>1269</v>
      </c>
      <c r="B1243">
        <v>0.999984544473304</v>
      </c>
      <c r="C1243">
        <v>0.748251401773401</v>
      </c>
      <c r="D1243">
        <v>0.893932466306117</v>
      </c>
      <c r="E1243">
        <v>0.869848662727923</v>
      </c>
      <c r="F1243">
        <v>0.580051808168437</v>
      </c>
      <c r="G1243">
        <v>0.338778797685886</v>
      </c>
      <c r="H1243">
        <v>0.181355645961383</v>
      </c>
      <c r="I1243">
        <v>0.103427892969006</v>
      </c>
      <c r="J1243">
        <v>0.078378682962177</v>
      </c>
      <c r="K1243">
        <v>0.0834504362209898</v>
      </c>
      <c r="L1243">
        <v>666.596099824038</v>
      </c>
      <c r="M1243">
        <v>12.9997238202513</v>
      </c>
      <c r="N1243">
        <v>51.3369289420729</v>
      </c>
      <c r="O1243">
        <v>50.10978505529</v>
      </c>
      <c r="P1243">
        <v>-0.06438494860279401</v>
      </c>
      <c r="Q1243">
        <v>0.00744153095733282</v>
      </c>
      <c r="R1243">
        <v>0.950328219956973</v>
      </c>
      <c r="S1243" t="s">
        <v>2911</v>
      </c>
      <c r="T1243" t="s">
        <v>3312</v>
      </c>
      <c r="U1243" t="s">
        <v>3312</v>
      </c>
      <c r="V1243" t="s">
        <v>3312</v>
      </c>
      <c r="W1243" t="s">
        <v>4553</v>
      </c>
      <c r="X1243">
        <v>1</v>
      </c>
      <c r="Y1243" t="s">
        <v>6194</v>
      </c>
      <c r="Z1243" t="s">
        <v>7836</v>
      </c>
      <c r="AA1243">
        <v>0.5031319654672876</v>
      </c>
      <c r="AB1243">
        <f>HYPERLINK("Melting_Curves/meltCurve_P39363_sgcA.pdf", "Melting_Curves/meltCurve_P39363_sgcA.pdf")</f>
        <v>0</v>
      </c>
    </row>
    <row r="1244" spans="1:28">
      <c r="A1244" t="s">
        <v>1270</v>
      </c>
      <c r="B1244">
        <v>0.999984544473304</v>
      </c>
      <c r="C1244">
        <v>1.75586120107682</v>
      </c>
      <c r="D1244">
        <v>1.48014072480396</v>
      </c>
      <c r="E1244">
        <v>1.53911789641092</v>
      </c>
      <c r="F1244">
        <v>1.05049943936646</v>
      </c>
      <c r="G1244">
        <v>1.49707284143856</v>
      </c>
      <c r="H1244">
        <v>0.642891444171013</v>
      </c>
      <c r="I1244">
        <v>0.543121074280302</v>
      </c>
      <c r="J1244">
        <v>0.39800586367252</v>
      </c>
      <c r="K1244">
        <v>0.415087160066893</v>
      </c>
      <c r="L1244">
        <v>14314.027146017</v>
      </c>
      <c r="M1244">
        <v>250</v>
      </c>
      <c r="N1244">
        <v>57.7982390743479</v>
      </c>
      <c r="O1244">
        <v>57.2524445824376</v>
      </c>
      <c r="P1244">
        <v>-0.598149931939803</v>
      </c>
      <c r="Q1244">
        <v>0.452071267447662</v>
      </c>
      <c r="R1244">
        <v>0.429006878635662</v>
      </c>
      <c r="S1244" t="s">
        <v>2912</v>
      </c>
      <c r="T1244" t="s">
        <v>3312</v>
      </c>
      <c r="U1244" t="s">
        <v>3312</v>
      </c>
      <c r="V1244" t="s">
        <v>3312</v>
      </c>
      <c r="W1244" t="s">
        <v>4554</v>
      </c>
      <c r="X1244">
        <v>2</v>
      </c>
      <c r="Y1244" t="s">
        <v>6195</v>
      </c>
      <c r="Z1244" t="s">
        <v>7837</v>
      </c>
      <c r="AA1244">
        <v>0.8220897887183644</v>
      </c>
      <c r="AB1244">
        <f>HYPERLINK("Melting_Curves/meltCurve_P39366_sgcX.pdf", "Melting_Curves/meltCurve_P39366_sgcX.pdf")</f>
        <v>0</v>
      </c>
    </row>
    <row r="1245" spans="1:28">
      <c r="A1245" t="s">
        <v>1271</v>
      </c>
      <c r="B1245">
        <v>0.999984544473304</v>
      </c>
      <c r="C1245">
        <v>0.612311533696655</v>
      </c>
      <c r="D1245">
        <v>1.23025064931272</v>
      </c>
      <c r="E1245">
        <v>0.603376593766537</v>
      </c>
      <c r="F1245">
        <v>1.43031207637112</v>
      </c>
      <c r="G1245">
        <v>0.388689156332918</v>
      </c>
      <c r="H1245">
        <v>0.208051252649798</v>
      </c>
      <c r="I1245">
        <v>0.140050182391874</v>
      </c>
      <c r="J1245">
        <v>0.181782438913583</v>
      </c>
      <c r="K1245">
        <v>0.0599118492492989</v>
      </c>
      <c r="L1245">
        <v>13399.9761392285</v>
      </c>
      <c r="M1245">
        <v>250</v>
      </c>
      <c r="N1245">
        <v>53.6749199189437</v>
      </c>
      <c r="O1245">
        <v>53.5964745018653</v>
      </c>
      <c r="P1245">
        <v>-0.99417814848535</v>
      </c>
      <c r="Q1245">
        <v>0.14744890016431</v>
      </c>
      <c r="R1245">
        <v>0.736757381034733</v>
      </c>
      <c r="S1245" t="s">
        <v>2913</v>
      </c>
      <c r="T1245" t="s">
        <v>3312</v>
      </c>
      <c r="U1245" t="s">
        <v>3312</v>
      </c>
      <c r="V1245" t="s">
        <v>3312</v>
      </c>
      <c r="W1245" t="s">
        <v>4555</v>
      </c>
      <c r="X1245">
        <v>2</v>
      </c>
      <c r="Y1245" t="s">
        <v>6196</v>
      </c>
      <c r="Z1245" t="s">
        <v>7838</v>
      </c>
      <c r="AA1245">
        <v>0.6192713266593182</v>
      </c>
      <c r="AB1245">
        <f>HYPERLINK("Melting_Curves/meltCurve_P39371_nanM.pdf", "Melting_Curves/meltCurve_P39371_nanM.pdf")</f>
        <v>0</v>
      </c>
    </row>
    <row r="1246" spans="1:28">
      <c r="A1246" t="s">
        <v>1272</v>
      </c>
      <c r="B1246">
        <v>0.999984544473304</v>
      </c>
      <c r="C1246">
        <v>1.10015162317417</v>
      </c>
      <c r="D1246">
        <v>1.06912010798994</v>
      </c>
      <c r="E1246">
        <v>1.08811889386703</v>
      </c>
      <c r="F1246">
        <v>0.872423827242794</v>
      </c>
      <c r="G1246">
        <v>1.03499636838545</v>
      </c>
      <c r="H1246">
        <v>0.561375048175567</v>
      </c>
      <c r="I1246">
        <v>0.478777493404121</v>
      </c>
      <c r="J1246">
        <v>0.397669380231915</v>
      </c>
      <c r="K1246">
        <v>0.395169208159363</v>
      </c>
      <c r="L1246">
        <v>14283.4161269452</v>
      </c>
      <c r="M1246">
        <v>250</v>
      </c>
      <c r="N1246">
        <v>57.567073419944</v>
      </c>
      <c r="O1246">
        <v>57.1300097416648</v>
      </c>
      <c r="P1246">
        <v>-0.6302817411949621</v>
      </c>
      <c r="Q1246">
        <v>0.423871982652164</v>
      </c>
      <c r="R1246">
        <v>0.946388144207574</v>
      </c>
      <c r="S1246" t="s">
        <v>2914</v>
      </c>
      <c r="T1246" t="s">
        <v>3312</v>
      </c>
      <c r="U1246" t="s">
        <v>3312</v>
      </c>
      <c r="V1246" t="s">
        <v>3312</v>
      </c>
      <c r="W1246" t="s">
        <v>4556</v>
      </c>
      <c r="X1246">
        <v>9</v>
      </c>
      <c r="Y1246" t="s">
        <v>6197</v>
      </c>
      <c r="Z1246" t="s">
        <v>7839</v>
      </c>
      <c r="AA1246">
        <v>0.8105820240820382</v>
      </c>
      <c r="AB1246">
        <f>HYPERLINK("Melting_Curves/meltCurve_P39377_iadA.pdf", "Melting_Curves/meltCurve_P39377_iadA.pdf")</f>
        <v>0</v>
      </c>
    </row>
    <row r="1247" spans="1:28">
      <c r="A1247" t="s">
        <v>1273</v>
      </c>
      <c r="B1247">
        <v>0.999984544473304</v>
      </c>
      <c r="C1247">
        <v>0.83148749689302</v>
      </c>
      <c r="D1247">
        <v>1.04234732366968</v>
      </c>
      <c r="E1247">
        <v>0.85984081133712</v>
      </c>
      <c r="F1247">
        <v>1.03486525366311</v>
      </c>
      <c r="G1247">
        <v>0.472817561299982</v>
      </c>
      <c r="H1247">
        <v>0.293847143093658</v>
      </c>
      <c r="I1247">
        <v>0.184416220059329</v>
      </c>
      <c r="J1247">
        <v>0.132661236271247</v>
      </c>
      <c r="K1247">
        <v>0.0687523888832388</v>
      </c>
      <c r="L1247">
        <v>2410.15232959854</v>
      </c>
      <c r="M1247">
        <v>45.1419883244941</v>
      </c>
      <c r="N1247">
        <v>53.8346859500069</v>
      </c>
      <c r="O1247">
        <v>53.2860194085146</v>
      </c>
      <c r="P1247">
        <v>-0.178859343369845</v>
      </c>
      <c r="Q1247">
        <v>0.155492208278814</v>
      </c>
      <c r="R1247">
        <v>0.947147004493573</v>
      </c>
      <c r="S1247" t="s">
        <v>2915</v>
      </c>
      <c r="T1247" t="s">
        <v>3312</v>
      </c>
      <c r="U1247" t="s">
        <v>3312</v>
      </c>
      <c r="V1247" t="s">
        <v>3312</v>
      </c>
      <c r="W1247" t="s">
        <v>4557</v>
      </c>
      <c r="X1247">
        <v>2</v>
      </c>
      <c r="Y1247" t="s">
        <v>6198</v>
      </c>
      <c r="Z1247" t="s">
        <v>7840</v>
      </c>
      <c r="AA1247">
        <v>0.6193257417534225</v>
      </c>
      <c r="AB1247">
        <f>HYPERLINK("Melting_Curves/meltCurve_P39385_yjiN.pdf", "Melting_Curves/meltCurve_P39385_yjiN.pdf")</f>
        <v>0</v>
      </c>
    </row>
    <row r="1248" spans="1:28">
      <c r="A1248" t="s">
        <v>1274</v>
      </c>
      <c r="B1248">
        <v>0.999984544473304</v>
      </c>
      <c r="C1248">
        <v>1.34003985223469</v>
      </c>
      <c r="D1248">
        <v>0.742385626180091</v>
      </c>
      <c r="E1248">
        <v>0.974461552912703</v>
      </c>
      <c r="F1248">
        <v>0.947854602282917</v>
      </c>
      <c r="G1248">
        <v>0.78655482186429</v>
      </c>
      <c r="H1248">
        <v>0.711632705077539</v>
      </c>
      <c r="I1248">
        <v>0.421581020968057</v>
      </c>
      <c r="J1248">
        <v>0.135247596498942</v>
      </c>
      <c r="K1248">
        <v>0.0870297503268163</v>
      </c>
      <c r="L1248">
        <v>1102.80580225365</v>
      </c>
      <c r="M1248">
        <v>18.5761678248547</v>
      </c>
      <c r="N1248">
        <v>59.3667046315242</v>
      </c>
      <c r="O1248">
        <v>58.6915455016037</v>
      </c>
      <c r="P1248">
        <v>-0.0791296994505436</v>
      </c>
      <c r="Q1248">
        <v>0</v>
      </c>
      <c r="R1248">
        <v>0.858818990987915</v>
      </c>
      <c r="S1248" t="s">
        <v>2916</v>
      </c>
      <c r="T1248" t="s">
        <v>3312</v>
      </c>
      <c r="U1248" t="s">
        <v>3312</v>
      </c>
      <c r="V1248" t="s">
        <v>3312</v>
      </c>
      <c r="W1248" t="s">
        <v>4558</v>
      </c>
      <c r="X1248">
        <v>1</v>
      </c>
      <c r="Y1248" t="s">
        <v>6199</v>
      </c>
      <c r="Z1248" t="s">
        <v>7841</v>
      </c>
      <c r="AA1248">
        <v>0.7474112121327895</v>
      </c>
      <c r="AB1248">
        <f>HYPERLINK("Melting_Curves/meltCurve_P39396_yjiY.pdf", "Melting_Curves/meltCurve_P39396_yjiY.pdf")</f>
        <v>0</v>
      </c>
    </row>
    <row r="1249" spans="1:28">
      <c r="A1249" t="s">
        <v>1275</v>
      </c>
      <c r="B1249">
        <v>0.999984544473304</v>
      </c>
      <c r="C1249">
        <v>0.93050643635426</v>
      </c>
      <c r="D1249">
        <v>0.863412779629698</v>
      </c>
      <c r="E1249">
        <v>0.585548600357235</v>
      </c>
      <c r="F1249">
        <v>0.224269560396405</v>
      </c>
      <c r="G1249">
        <v>0.0609325437654065</v>
      </c>
      <c r="H1249">
        <v>0.0436778037760267</v>
      </c>
      <c r="I1249">
        <v>0.0295035989469355</v>
      </c>
      <c r="J1249">
        <v>0.0200827897885507</v>
      </c>
      <c r="K1249">
        <v>0.0252032067539474</v>
      </c>
      <c r="L1249">
        <v>957.847847955043</v>
      </c>
      <c r="M1249">
        <v>20.3272924085297</v>
      </c>
      <c r="N1249">
        <v>47.1836957953215</v>
      </c>
      <c r="O1249">
        <v>46.6723353656485</v>
      </c>
      <c r="P1249">
        <v>-0.107441655401147</v>
      </c>
      <c r="Q1249">
        <v>0.0132675177018988</v>
      </c>
      <c r="R1249">
        <v>0.997672203820968</v>
      </c>
      <c r="S1249" t="s">
        <v>2917</v>
      </c>
      <c r="T1249" t="s">
        <v>3312</v>
      </c>
      <c r="U1249" t="s">
        <v>3312</v>
      </c>
      <c r="V1249" t="s">
        <v>3312</v>
      </c>
      <c r="W1249" t="s">
        <v>4559</v>
      </c>
      <c r="X1249">
        <v>7</v>
      </c>
      <c r="Y1249" t="s">
        <v>6200</v>
      </c>
      <c r="Z1249" t="s">
        <v>7842</v>
      </c>
      <c r="AA1249">
        <v>0.3586868565048649</v>
      </c>
      <c r="AB1249">
        <f>HYPERLINK("Melting_Curves/meltCurve_P39406_rsmC.pdf", "Melting_Curves/meltCurve_P39406_rsmC.pdf")</f>
        <v>0</v>
      </c>
    </row>
    <row r="1250" spans="1:28">
      <c r="A1250" t="s">
        <v>1276</v>
      </c>
      <c r="B1250">
        <v>0.999984544473304</v>
      </c>
      <c r="C1250">
        <v>1.82321594973791</v>
      </c>
      <c r="D1250">
        <v>1.9023807978304</v>
      </c>
      <c r="E1250">
        <v>1.89088387972007</v>
      </c>
      <c r="F1250">
        <v>1.06712187527771</v>
      </c>
      <c r="G1250">
        <v>1.59635243461673</v>
      </c>
      <c r="H1250">
        <v>0.699024313697412</v>
      </c>
      <c r="I1250">
        <v>0.77082559344165</v>
      </c>
      <c r="J1250">
        <v>0.492814883218182</v>
      </c>
      <c r="K1250">
        <v>0.359839255659004</v>
      </c>
      <c r="L1250">
        <v>1714.73280733784</v>
      </c>
      <c r="M1250">
        <v>27.6793850605315</v>
      </c>
      <c r="N1250">
        <v>63.9518265809056</v>
      </c>
      <c r="O1250">
        <v>61.6291680099982</v>
      </c>
      <c r="P1250">
        <v>-0.0797444788678256</v>
      </c>
      <c r="Q1250">
        <v>0.289790331345272</v>
      </c>
      <c r="R1250">
        <v>0.151585312481985</v>
      </c>
      <c r="S1250" t="s">
        <v>2918</v>
      </c>
      <c r="T1250" t="s">
        <v>3312</v>
      </c>
      <c r="U1250" t="s">
        <v>3312</v>
      </c>
      <c r="V1250" t="s">
        <v>3312</v>
      </c>
      <c r="W1250" t="s">
        <v>4560</v>
      </c>
      <c r="X1250">
        <v>2</v>
      </c>
      <c r="Y1250" t="s">
        <v>6201</v>
      </c>
      <c r="Z1250" t="s">
        <v>7843</v>
      </c>
      <c r="AA1250">
        <v>0.8789409331688591</v>
      </c>
      <c r="AB1250">
        <f>HYPERLINK("Melting_Curves/meltCurve_P39407_yjjU.pdf", "Melting_Curves/meltCurve_P39407_yjjU.pdf")</f>
        <v>0</v>
      </c>
    </row>
    <row r="1251" spans="1:28">
      <c r="A1251" t="s">
        <v>1277</v>
      </c>
      <c r="B1251">
        <v>0.999984544473304</v>
      </c>
      <c r="C1251">
        <v>0.889456590839441</v>
      </c>
      <c r="D1251">
        <v>1.01275034306591</v>
      </c>
      <c r="E1251">
        <v>1.01068103857028</v>
      </c>
      <c r="F1251">
        <v>1.04596834420305</v>
      </c>
      <c r="G1251">
        <v>0.939439179679226</v>
      </c>
      <c r="H1251">
        <v>0.797925299249607</v>
      </c>
      <c r="I1251">
        <v>0.5992177273535469</v>
      </c>
      <c r="J1251">
        <v>0.345551731533812</v>
      </c>
      <c r="K1251">
        <v>0.222652797625688</v>
      </c>
      <c r="L1251">
        <v>1185.14476192566</v>
      </c>
      <c r="M1251">
        <v>19.19853944304</v>
      </c>
      <c r="N1251">
        <v>62.0385629381523</v>
      </c>
      <c r="O1251">
        <v>61.0729067312947</v>
      </c>
      <c r="P1251">
        <v>-0.07502378627857929</v>
      </c>
      <c r="Q1251">
        <v>0.0453967301034147</v>
      </c>
      <c r="R1251">
        <v>0.978611452065432</v>
      </c>
      <c r="S1251" t="s">
        <v>2919</v>
      </c>
      <c r="T1251" t="s">
        <v>3312</v>
      </c>
      <c r="U1251" t="s">
        <v>3312</v>
      </c>
      <c r="V1251" t="s">
        <v>3312</v>
      </c>
      <c r="W1251" t="s">
        <v>4561</v>
      </c>
      <c r="X1251">
        <v>5</v>
      </c>
      <c r="Y1251" t="s">
        <v>6202</v>
      </c>
      <c r="Z1251" t="s">
        <v>7844</v>
      </c>
      <c r="AA1251">
        <v>0.8230134165699077</v>
      </c>
      <c r="AB1251">
        <f>HYPERLINK("Melting_Curves/meltCurve_P39408_yjjV.pdf", "Melting_Curves/meltCurve_P39408_yjjV.pdf")</f>
        <v>0</v>
      </c>
    </row>
    <row r="1252" spans="1:28">
      <c r="A1252" t="s">
        <v>1278</v>
      </c>
      <c r="B1252">
        <v>0.999984544473304</v>
      </c>
      <c r="C1252">
        <v>0.7782023963158901</v>
      </c>
      <c r="D1252">
        <v>0.554582068883449</v>
      </c>
      <c r="E1252">
        <v>0.206410110703545</v>
      </c>
      <c r="F1252">
        <v>0.08185263825613499</v>
      </c>
      <c r="G1252">
        <v>0.0477373351994106</v>
      </c>
      <c r="H1252">
        <v>0.025837395834667</v>
      </c>
      <c r="I1252">
        <v>0.0194304487908142</v>
      </c>
      <c r="J1252">
        <v>0.0232120977698175</v>
      </c>
      <c r="K1252">
        <v>0.0179910745320301</v>
      </c>
      <c r="L1252">
        <v>790.370352559505</v>
      </c>
      <c r="M1252">
        <v>18.3041957370402</v>
      </c>
      <c r="N1252">
        <v>43.2578881144668</v>
      </c>
      <c r="O1252">
        <v>42.6742524195841</v>
      </c>
      <c r="P1252">
        <v>-0.105492911506977</v>
      </c>
      <c r="Q1252">
        <v>0.0162641742697445</v>
      </c>
      <c r="R1252">
        <v>0.99600431424878</v>
      </c>
      <c r="S1252" t="s">
        <v>2920</v>
      </c>
      <c r="T1252" t="s">
        <v>3312</v>
      </c>
      <c r="U1252" t="s">
        <v>3312</v>
      </c>
      <c r="V1252" t="s">
        <v>3312</v>
      </c>
      <c r="W1252" t="s">
        <v>4562</v>
      </c>
      <c r="X1252">
        <v>1</v>
      </c>
      <c r="Y1252" t="s">
        <v>6203</v>
      </c>
      <c r="Z1252" t="s">
        <v>7845</v>
      </c>
      <c r="AA1252">
        <v>0.2354958178485173</v>
      </c>
      <c r="AB1252">
        <f>HYPERLINK("Melting_Curves/meltCurve_P39411_yjjX.pdf", "Melting_Curves/meltCurve_P39411_yjjX.pdf")</f>
        <v>0</v>
      </c>
    </row>
    <row r="1253" spans="1:28">
      <c r="A1253" t="s">
        <v>1279</v>
      </c>
      <c r="B1253">
        <v>0.999984544473304</v>
      </c>
      <c r="C1253">
        <v>0.989330400746105</v>
      </c>
      <c r="D1253">
        <v>1.06222894140617</v>
      </c>
      <c r="E1253">
        <v>1.04204377401493</v>
      </c>
      <c r="F1253">
        <v>0.973168428041525</v>
      </c>
      <c r="G1253">
        <v>0.911404599661011</v>
      </c>
      <c r="H1253">
        <v>0.566538061155246</v>
      </c>
      <c r="I1253">
        <v>0.142122974607318</v>
      </c>
      <c r="J1253">
        <v>0.0176172059023299</v>
      </c>
      <c r="K1253">
        <v>0.0241654826480783</v>
      </c>
      <c r="L1253">
        <v>1943.57773796861</v>
      </c>
      <c r="M1253">
        <v>33.6255077617266</v>
      </c>
      <c r="N1253">
        <v>57.8007013822956</v>
      </c>
      <c r="O1253">
        <v>57.5974120766459</v>
      </c>
      <c r="P1253">
        <v>-0.145951208052898</v>
      </c>
      <c r="Q1253">
        <v>0</v>
      </c>
      <c r="R1253">
        <v>0.996089753985291</v>
      </c>
      <c r="S1253" t="s">
        <v>2921</v>
      </c>
      <c r="T1253" t="s">
        <v>3312</v>
      </c>
      <c r="U1253" t="s">
        <v>3312</v>
      </c>
      <c r="V1253" t="s">
        <v>3312</v>
      </c>
      <c r="W1253" t="s">
        <v>4563</v>
      </c>
      <c r="X1253">
        <v>6</v>
      </c>
      <c r="Y1253" t="s">
        <v>6204</v>
      </c>
      <c r="Z1253" t="s">
        <v>7846</v>
      </c>
      <c r="AA1253">
        <v>0.6982171687293385</v>
      </c>
      <c r="AB1253">
        <f>HYPERLINK("Melting_Curves/meltCurve_P39451_adhP.pdf", "Melting_Curves/meltCurve_P39451_adhP.pdf")</f>
        <v>0</v>
      </c>
    </row>
    <row r="1254" spans="1:28">
      <c r="A1254" t="s">
        <v>1280</v>
      </c>
      <c r="B1254">
        <v>0.999984544473304</v>
      </c>
      <c r="C1254">
        <v>0.9028576055655601</v>
      </c>
      <c r="D1254">
        <v>0.486530279274805</v>
      </c>
      <c r="E1254">
        <v>0.243196365169716</v>
      </c>
      <c r="F1254">
        <v>0.154303317264195</v>
      </c>
      <c r="G1254">
        <v>0.0804349073883871</v>
      </c>
      <c r="H1254">
        <v>0.0624141198058149</v>
      </c>
      <c r="I1254">
        <v>0.0473172316174686</v>
      </c>
      <c r="J1254">
        <v>0.0375041373835423</v>
      </c>
      <c r="K1254">
        <v>0.028339167151491</v>
      </c>
      <c r="L1254">
        <v>912.124587305216</v>
      </c>
      <c r="M1254">
        <v>21.1648786841359</v>
      </c>
      <c r="N1254">
        <v>43.3464588069842</v>
      </c>
      <c r="O1254">
        <v>42.7169378102266</v>
      </c>
      <c r="P1254">
        <v>-0.116744873664223</v>
      </c>
      <c r="Q1254">
        <v>0.0575227085748622</v>
      </c>
      <c r="R1254">
        <v>0.991043956153702</v>
      </c>
      <c r="S1254" t="s">
        <v>2922</v>
      </c>
      <c r="T1254" t="s">
        <v>3312</v>
      </c>
      <c r="U1254" t="s">
        <v>3312</v>
      </c>
      <c r="V1254" t="s">
        <v>3312</v>
      </c>
      <c r="W1254" t="s">
        <v>4564</v>
      </c>
      <c r="X1254">
        <v>2</v>
      </c>
      <c r="Y1254" t="s">
        <v>6205</v>
      </c>
      <c r="Z1254" t="s">
        <v>7847</v>
      </c>
      <c r="AA1254">
        <v>0.260533191147037</v>
      </c>
      <c r="AB1254">
        <f>HYPERLINK("Melting_Curves/meltCurve_P39829_garD.pdf", "Melting_Curves/meltCurve_P39829_garD.pdf")</f>
        <v>0</v>
      </c>
    </row>
    <row r="1255" spans="1:28">
      <c r="A1255" t="s">
        <v>1281</v>
      </c>
      <c r="B1255">
        <v>0.999984544473304</v>
      </c>
      <c r="C1255">
        <v>1.30583224447032</v>
      </c>
      <c r="D1255">
        <v>0.74846347620082</v>
      </c>
      <c r="E1255">
        <v>0.607386742262738</v>
      </c>
      <c r="F1255">
        <v>0.302997229150121</v>
      </c>
      <c r="G1255">
        <v>0.156487486240331</v>
      </c>
      <c r="H1255">
        <v>0.0756490810289021</v>
      </c>
      <c r="I1255">
        <v>0.0588504127351609</v>
      </c>
      <c r="J1255">
        <v>0.038956610205494</v>
      </c>
      <c r="K1255">
        <v>0.0317911023145369</v>
      </c>
      <c r="L1255">
        <v>887.587840316594</v>
      </c>
      <c r="M1255">
        <v>18.71036713738</v>
      </c>
      <c r="N1255">
        <v>47.6573533774504</v>
      </c>
      <c r="O1255">
        <v>46.9063602583339</v>
      </c>
      <c r="P1255">
        <v>-0.09561702789615779</v>
      </c>
      <c r="Q1255">
        <v>0.0412038868231016</v>
      </c>
      <c r="R1255">
        <v>0.931925559299878</v>
      </c>
      <c r="S1255" t="s">
        <v>2923</v>
      </c>
      <c r="T1255" t="s">
        <v>3312</v>
      </c>
      <c r="U1255" t="s">
        <v>3312</v>
      </c>
      <c r="V1255" t="s">
        <v>3312</v>
      </c>
      <c r="W1255" t="s">
        <v>4565</v>
      </c>
      <c r="X1255">
        <v>4</v>
      </c>
      <c r="Y1255" t="s">
        <v>6206</v>
      </c>
      <c r="Z1255" t="s">
        <v>7848</v>
      </c>
      <c r="AA1255">
        <v>0.3890907604881569</v>
      </c>
      <c r="AB1255">
        <f>HYPERLINK("Melting_Curves/meltCurve_P39830_ybaL.pdf", "Melting_Curves/meltCurve_P39830_ybaL.pdf")</f>
        <v>0</v>
      </c>
    </row>
    <row r="1256" spans="1:28">
      <c r="A1256" t="s">
        <v>1282</v>
      </c>
      <c r="B1256">
        <v>0.999984544473304</v>
      </c>
      <c r="C1256">
        <v>0.900978605254021</v>
      </c>
      <c r="D1256">
        <v>0.905904688843688</v>
      </c>
      <c r="E1256">
        <v>0.861532346283863</v>
      </c>
      <c r="F1256">
        <v>0.38927229314905</v>
      </c>
      <c r="G1256">
        <v>0.0831540954794376</v>
      </c>
      <c r="H1256">
        <v>0.062622692011857</v>
      </c>
      <c r="I1256">
        <v>0.0434275559770903</v>
      </c>
      <c r="J1256">
        <v>0.0298312748713668</v>
      </c>
      <c r="K1256">
        <v>0.0244577089700383</v>
      </c>
      <c r="L1256">
        <v>1449.25029429102</v>
      </c>
      <c r="M1256">
        <v>29.4160296092741</v>
      </c>
      <c r="N1256">
        <v>49.3735128601788</v>
      </c>
      <c r="O1256">
        <v>49.0413593075639</v>
      </c>
      <c r="P1256">
        <v>-0.145361409431234</v>
      </c>
      <c r="Q1256">
        <v>0.0306413308178963</v>
      </c>
      <c r="R1256">
        <v>0.989769085085798</v>
      </c>
      <c r="S1256" t="s">
        <v>2924</v>
      </c>
      <c r="T1256" t="s">
        <v>3312</v>
      </c>
      <c r="U1256" t="s">
        <v>3312</v>
      </c>
      <c r="V1256" t="s">
        <v>3312</v>
      </c>
      <c r="W1256" t="s">
        <v>4566</v>
      </c>
      <c r="X1256">
        <v>2</v>
      </c>
      <c r="Y1256" t="s">
        <v>6207</v>
      </c>
      <c r="Z1256" t="s">
        <v>7849</v>
      </c>
      <c r="AA1256">
        <v>0.4331323563939176</v>
      </c>
      <c r="AB1256">
        <f>HYPERLINK("Melting_Curves/meltCurve_P39831_ydfG.pdf", "Melting_Curves/meltCurve_P39831_ydfG.pdf")</f>
        <v>0</v>
      </c>
    </row>
    <row r="1257" spans="1:28">
      <c r="A1257" t="s">
        <v>1283</v>
      </c>
      <c r="B1257">
        <v>0.999984544473304</v>
      </c>
      <c r="C1257">
        <v>0.9782621966362</v>
      </c>
      <c r="D1257">
        <v>0.6612501988612089</v>
      </c>
      <c r="E1257">
        <v>0.408468657768239</v>
      </c>
      <c r="F1257">
        <v>0.250263589932279</v>
      </c>
      <c r="G1257">
        <v>0.162969140712266</v>
      </c>
      <c r="H1257">
        <v>0.118407070954947</v>
      </c>
      <c r="I1257">
        <v>0.0889868714411403</v>
      </c>
      <c r="J1257">
        <v>0.0653979857164554</v>
      </c>
      <c r="K1257">
        <v>0.0428829821397696</v>
      </c>
      <c r="L1257">
        <v>733.459324754273</v>
      </c>
      <c r="M1257">
        <v>16.2587123212348</v>
      </c>
      <c r="N1257">
        <v>45.5604571155286</v>
      </c>
      <c r="O1257">
        <v>44.4458798908888</v>
      </c>
      <c r="P1257">
        <v>-0.08469272063368941</v>
      </c>
      <c r="Q1257">
        <v>0.0739818464496432</v>
      </c>
      <c r="R1257">
        <v>0.989938639737324</v>
      </c>
      <c r="S1257" t="s">
        <v>2925</v>
      </c>
      <c r="T1257" t="s">
        <v>3312</v>
      </c>
      <c r="U1257" t="s">
        <v>3312</v>
      </c>
      <c r="V1257" t="s">
        <v>3312</v>
      </c>
      <c r="W1257" t="s">
        <v>4567</v>
      </c>
      <c r="X1257">
        <v>3</v>
      </c>
      <c r="Y1257" t="s">
        <v>6208</v>
      </c>
      <c r="Z1257" t="s">
        <v>7850</v>
      </c>
      <c r="AA1257">
        <v>0.3430334141670837</v>
      </c>
      <c r="AB1257">
        <f>HYPERLINK("Melting_Curves/meltCurve_P39838_rcsD.pdf", "Melting_Curves/meltCurve_P39838_rcsD.pdf")</f>
        <v>0</v>
      </c>
    </row>
    <row r="1258" spans="1:28">
      <c r="A1258" t="s">
        <v>1284</v>
      </c>
      <c r="B1258">
        <v>0.999984544473304</v>
      </c>
      <c r="C1258">
        <v>1.26427192059729</v>
      </c>
      <c r="D1258">
        <v>1.15355919230526</v>
      </c>
      <c r="E1258">
        <v>1.16195833966939</v>
      </c>
      <c r="F1258">
        <v>0.869360324487464</v>
      </c>
      <c r="G1258">
        <v>0.114925058722352</v>
      </c>
      <c r="H1258">
        <v>0.0891840415864808</v>
      </c>
      <c r="I1258">
        <v>0.0509818842505182</v>
      </c>
      <c r="J1258">
        <v>0.0404841596901038</v>
      </c>
      <c r="K1258">
        <v>0.0448306851134783</v>
      </c>
      <c r="L1258">
        <v>3442.37617915851</v>
      </c>
      <c r="M1258">
        <v>66.7263138349302</v>
      </c>
      <c r="N1258">
        <v>51.6821359216412</v>
      </c>
      <c r="O1258">
        <v>51.5432074944476</v>
      </c>
      <c r="P1258">
        <v>-0.305399075408659</v>
      </c>
      <c r="Q1258">
        <v>0.0563696628632612</v>
      </c>
      <c r="R1258">
        <v>0.955241093202769</v>
      </c>
      <c r="S1258" t="s">
        <v>2926</v>
      </c>
      <c r="T1258" t="s">
        <v>3312</v>
      </c>
      <c r="U1258" t="s">
        <v>3312</v>
      </c>
      <c r="V1258" t="s">
        <v>3312</v>
      </c>
      <c r="W1258" t="s">
        <v>4568</v>
      </c>
      <c r="X1258">
        <v>9</v>
      </c>
      <c r="Y1258" t="s">
        <v>6209</v>
      </c>
      <c r="Z1258" t="s">
        <v>7851</v>
      </c>
      <c r="AA1258">
        <v>0.5164751142235799</v>
      </c>
      <c r="AB1258">
        <f>HYPERLINK("Melting_Curves/meltCurve_P40120_mdoD.pdf", "Melting_Curves/meltCurve_P40120_mdoD.pdf")</f>
        <v>0</v>
      </c>
    </row>
    <row r="1259" spans="1:28">
      <c r="A1259" t="s">
        <v>1285</v>
      </c>
      <c r="B1259">
        <v>0.999984544473304</v>
      </c>
      <c r="C1259">
        <v>0.771014791383593</v>
      </c>
      <c r="D1259">
        <v>1.10614425465178</v>
      </c>
      <c r="E1259">
        <v>0.8528540324237061</v>
      </c>
      <c r="F1259">
        <v>1.21247374255428</v>
      </c>
      <c r="G1259">
        <v>1.08068927977419</v>
      </c>
      <c r="H1259">
        <v>1.13342760440846</v>
      </c>
      <c r="I1259">
        <v>1.01211703598662</v>
      </c>
      <c r="J1259">
        <v>0.780104768182514</v>
      </c>
      <c r="K1259">
        <v>0.302205889798859</v>
      </c>
      <c r="L1259">
        <v>15000</v>
      </c>
      <c r="M1259">
        <v>233.232984549327</v>
      </c>
      <c r="N1259">
        <v>64.5700274874952</v>
      </c>
      <c r="O1259">
        <v>64.3086447536818</v>
      </c>
      <c r="P1259">
        <v>-0.6327404647042409</v>
      </c>
      <c r="Q1259">
        <v>0.302145333092651</v>
      </c>
      <c r="R1259">
        <v>0.755636655782016</v>
      </c>
      <c r="S1259" t="s">
        <v>2927</v>
      </c>
      <c r="T1259" t="s">
        <v>3312</v>
      </c>
      <c r="U1259" t="s">
        <v>3312</v>
      </c>
      <c r="V1259" t="s">
        <v>3312</v>
      </c>
      <c r="W1259" t="s">
        <v>4569</v>
      </c>
      <c r="X1259">
        <v>5</v>
      </c>
      <c r="Y1259" t="s">
        <v>6210</v>
      </c>
      <c r="Z1259" t="s">
        <v>7852</v>
      </c>
      <c r="AA1259">
        <v>0.9375940588951777</v>
      </c>
      <c r="AB1259">
        <f>HYPERLINK("Melting_Curves/meltCurve_P40191_pdxK.pdf", "Melting_Curves/meltCurve_P40191_pdxK.pdf")</f>
        <v>0</v>
      </c>
    </row>
    <row r="1260" spans="1:28">
      <c r="A1260" t="s">
        <v>1286</v>
      </c>
      <c r="B1260">
        <v>0.999984544473304</v>
      </c>
      <c r="C1260">
        <v>1.08131400383037</v>
      </c>
      <c r="D1260">
        <v>0.727431536842285</v>
      </c>
      <c r="E1260">
        <v>0.765599149716984</v>
      </c>
      <c r="F1260">
        <v>0.91327509440113</v>
      </c>
      <c r="G1260">
        <v>0.685338018040233</v>
      </c>
      <c r="H1260">
        <v>0.7368998168325051</v>
      </c>
      <c r="I1260">
        <v>0.673921638576278</v>
      </c>
      <c r="J1260">
        <v>0.576150783089598</v>
      </c>
      <c r="K1260">
        <v>0.487810282061389</v>
      </c>
      <c r="L1260">
        <v>249.014582839437</v>
      </c>
      <c r="M1260">
        <v>3.56549873333422</v>
      </c>
      <c r="O1260">
        <v>55.1298313186189</v>
      </c>
      <c r="P1260">
        <v>-0.0164670722086693</v>
      </c>
      <c r="Q1260">
        <v>0</v>
      </c>
      <c r="R1260">
        <v>0.722638346870809</v>
      </c>
      <c r="S1260" t="s">
        <v>2928</v>
      </c>
      <c r="T1260" t="s">
        <v>3312</v>
      </c>
      <c r="U1260" t="s">
        <v>3312</v>
      </c>
      <c r="V1260" t="s">
        <v>3312</v>
      </c>
      <c r="W1260" t="s">
        <v>4570</v>
      </c>
      <c r="X1260">
        <v>4</v>
      </c>
      <c r="Y1260" t="s">
        <v>6211</v>
      </c>
      <c r="Z1260" t="s">
        <v>7853</v>
      </c>
      <c r="AA1260">
        <v>0.7648805840329351</v>
      </c>
      <c r="AB1260">
        <f>HYPERLINK("Melting_Curves/meltCurve_P40710_nlpE.pdf", "Melting_Curves/meltCurve_P40710_nlpE.pdf")</f>
        <v>0</v>
      </c>
    </row>
    <row r="1261" spans="1:28">
      <c r="A1261" t="s">
        <v>1287</v>
      </c>
      <c r="B1261">
        <v>0.999984544473304</v>
      </c>
      <c r="C1261">
        <v>0.980821341864527</v>
      </c>
      <c r="D1261">
        <v>1.10189097582663</v>
      </c>
      <c r="E1261">
        <v>0.894657176798622</v>
      </c>
      <c r="F1261">
        <v>1.12986336737973</v>
      </c>
      <c r="G1261">
        <v>0.754552071471018</v>
      </c>
      <c r="H1261">
        <v>0.11391713188775</v>
      </c>
      <c r="I1261">
        <v>0.0600937114900867</v>
      </c>
      <c r="J1261">
        <v>0.0365838508202442</v>
      </c>
      <c r="K1261">
        <v>0.0320562341003318</v>
      </c>
      <c r="L1261">
        <v>3276.66096847366</v>
      </c>
      <c r="M1261">
        <v>59.8083228895203</v>
      </c>
      <c r="N1261">
        <v>54.8724841657141</v>
      </c>
      <c r="O1261">
        <v>54.7248927018088</v>
      </c>
      <c r="P1261">
        <v>-0.26093860448335</v>
      </c>
      <c r="Q1261">
        <v>0.0449603762496792</v>
      </c>
      <c r="R1261">
        <v>0.980937299682497</v>
      </c>
      <c r="S1261" t="s">
        <v>2929</v>
      </c>
      <c r="T1261" t="s">
        <v>3312</v>
      </c>
      <c r="U1261" t="s">
        <v>3312</v>
      </c>
      <c r="V1261" t="s">
        <v>3312</v>
      </c>
      <c r="W1261" t="s">
        <v>4571</v>
      </c>
      <c r="X1261">
        <v>5</v>
      </c>
      <c r="Y1261" t="s">
        <v>6212</v>
      </c>
      <c r="Z1261" t="s">
        <v>7854</v>
      </c>
      <c r="AA1261">
        <v>0.6127821912761889</v>
      </c>
      <c r="AB1261">
        <f>HYPERLINK("Melting_Curves/meltCurve_P40874_solA.pdf", "Melting_Curves/meltCurve_P40874_solA.pdf")</f>
        <v>0</v>
      </c>
    </row>
    <row r="1262" spans="1:28">
      <c r="A1262" t="s">
        <v>1288</v>
      </c>
      <c r="B1262">
        <v>0.999984544473304</v>
      </c>
      <c r="C1262">
        <v>0.795238690409344</v>
      </c>
      <c r="D1262">
        <v>1.11221506912826</v>
      </c>
      <c r="E1262">
        <v>0.992003222881197</v>
      </c>
      <c r="F1262">
        <v>1.13231246656419</v>
      </c>
      <c r="G1262">
        <v>0.9487142278602</v>
      </c>
      <c r="H1262">
        <v>0.729167565034906</v>
      </c>
      <c r="I1262">
        <v>0.390686979208151</v>
      </c>
      <c r="J1262">
        <v>0.135609638684966</v>
      </c>
      <c r="K1262">
        <v>0.0519761635838292</v>
      </c>
      <c r="L1262">
        <v>1580.49293158935</v>
      </c>
      <c r="M1262">
        <v>26.4342733949432</v>
      </c>
      <c r="N1262">
        <v>59.7895401432519</v>
      </c>
      <c r="O1262">
        <v>59.4505102563318</v>
      </c>
      <c r="P1262">
        <v>-0.111162032965002</v>
      </c>
      <c r="Q1262">
        <v>0</v>
      </c>
      <c r="R1262">
        <v>0.947743856130743</v>
      </c>
      <c r="S1262" t="s">
        <v>2930</v>
      </c>
      <c r="T1262" t="s">
        <v>3312</v>
      </c>
      <c r="U1262" t="s">
        <v>3312</v>
      </c>
      <c r="V1262" t="s">
        <v>3312</v>
      </c>
      <c r="W1262" t="s">
        <v>4572</v>
      </c>
      <c r="X1262">
        <v>2</v>
      </c>
      <c r="Y1262" t="s">
        <v>6213</v>
      </c>
      <c r="Z1262" t="s">
        <v>7855</v>
      </c>
      <c r="AA1262">
        <v>0.7633462118055</v>
      </c>
      <c r="AB1262">
        <f>HYPERLINK("Melting_Curves/meltCurve_P41407_azoR.pdf", "Melting_Curves/meltCurve_P41407_azoR.pdf")</f>
        <v>0</v>
      </c>
    </row>
    <row r="1263" spans="1:28">
      <c r="A1263" t="s">
        <v>1289</v>
      </c>
      <c r="B1263">
        <v>0.999984544473304</v>
      </c>
      <c r="C1263">
        <v>0.850218583194393</v>
      </c>
      <c r="D1263">
        <v>0.728315419789666</v>
      </c>
      <c r="E1263">
        <v>0.533031338034252</v>
      </c>
      <c r="F1263">
        <v>0.372721574691139</v>
      </c>
      <c r="G1263">
        <v>0.235412789732709</v>
      </c>
      <c r="H1263">
        <v>0.139305257657099</v>
      </c>
      <c r="I1263">
        <v>0.0986329543701091</v>
      </c>
      <c r="J1263">
        <v>0.050727611600322</v>
      </c>
      <c r="K1263">
        <v>0.0579597986330194</v>
      </c>
      <c r="L1263">
        <v>483.772608047709</v>
      </c>
      <c r="M1263">
        <v>10.2206273305797</v>
      </c>
      <c r="N1263">
        <v>47.3557130576059</v>
      </c>
      <c r="O1263">
        <v>45.6282914537628</v>
      </c>
      <c r="P1263">
        <v>-0.0558872690399919</v>
      </c>
      <c r="Q1263">
        <v>0.00244867379585728</v>
      </c>
      <c r="R1263">
        <v>0.9963004306553011</v>
      </c>
      <c r="S1263" t="s">
        <v>2931</v>
      </c>
      <c r="T1263" t="s">
        <v>3312</v>
      </c>
      <c r="U1263" t="s">
        <v>3312</v>
      </c>
      <c r="V1263" t="s">
        <v>3312</v>
      </c>
      <c r="W1263" t="s">
        <v>4573</v>
      </c>
      <c r="X1263">
        <v>3</v>
      </c>
      <c r="Y1263" t="s">
        <v>6214</v>
      </c>
      <c r="Z1263" t="s">
        <v>7856</v>
      </c>
      <c r="AA1263">
        <v>0.3868522977475244</v>
      </c>
      <c r="AB1263">
        <f>HYPERLINK("Melting_Curves/meltCurve_P41409_rihA.pdf", "Melting_Curves/meltCurve_P41409_rihA.pdf")</f>
        <v>0</v>
      </c>
    </row>
    <row r="1264" spans="1:28">
      <c r="A1264" t="s">
        <v>1290</v>
      </c>
      <c r="B1264">
        <v>0.999984544473304</v>
      </c>
      <c r="C1264">
        <v>1.53518677672538</v>
      </c>
      <c r="D1264">
        <v>0.645063650892411</v>
      </c>
      <c r="E1264">
        <v>0.9108691962872399</v>
      </c>
      <c r="F1264">
        <v>0.98465203428447</v>
      </c>
      <c r="G1264">
        <v>0.601149314957156</v>
      </c>
      <c r="H1264">
        <v>0.6008764298814609</v>
      </c>
      <c r="I1264">
        <v>0.492397562958528</v>
      </c>
      <c r="J1264">
        <v>0.489423753918972</v>
      </c>
      <c r="K1264">
        <v>0.435580515457119</v>
      </c>
      <c r="L1264">
        <v>3057.72068486662</v>
      </c>
      <c r="M1264">
        <v>58.1239161610183</v>
      </c>
      <c r="O1264">
        <v>52.5447645962847</v>
      </c>
      <c r="P1264">
        <v>-0.137741416929587</v>
      </c>
      <c r="Q1264">
        <v>0.5019202137066749</v>
      </c>
      <c r="R1264">
        <v>0.58431826498011</v>
      </c>
      <c r="S1264" t="s">
        <v>2932</v>
      </c>
      <c r="T1264" t="s">
        <v>3312</v>
      </c>
      <c r="U1264" t="s">
        <v>3312</v>
      </c>
      <c r="V1264" t="s">
        <v>3312</v>
      </c>
      <c r="W1264" t="s">
        <v>4574</v>
      </c>
      <c r="X1264">
        <v>1</v>
      </c>
      <c r="Y1264" t="s">
        <v>6215</v>
      </c>
      <c r="Z1264" t="s">
        <v>7857</v>
      </c>
      <c r="AA1264">
        <v>0.7618906736890296</v>
      </c>
      <c r="AB1264">
        <f>HYPERLINK("Melting_Curves/meltCurve_P42592_ygjK.pdf", "Melting_Curves/meltCurve_P42592_ygjK.pdf")</f>
        <v>0</v>
      </c>
    </row>
    <row r="1265" spans="1:28">
      <c r="A1265" t="s">
        <v>1291</v>
      </c>
      <c r="B1265">
        <v>0.999984544473304</v>
      </c>
      <c r="C1265">
        <v>1.26200347398581</v>
      </c>
      <c r="D1265">
        <v>0.958147502783865</v>
      </c>
      <c r="E1265">
        <v>0.769780037425504</v>
      </c>
      <c r="F1265">
        <v>0.172155661960143</v>
      </c>
      <c r="G1265">
        <v>0.08802622845026301</v>
      </c>
      <c r="H1265">
        <v>0.0683624579608143</v>
      </c>
      <c r="I1265">
        <v>0.0436819922188012</v>
      </c>
      <c r="J1265">
        <v>0.0259771447830928</v>
      </c>
      <c r="K1265">
        <v>0.0288198841871437</v>
      </c>
      <c r="L1265">
        <v>1911.43917838004</v>
      </c>
      <c r="M1265">
        <v>39.8976983267463</v>
      </c>
      <c r="N1265">
        <v>48.0274493937763</v>
      </c>
      <c r="O1265">
        <v>47.7886272528097</v>
      </c>
      <c r="P1265">
        <v>-0.198900013183445</v>
      </c>
      <c r="Q1265">
        <v>0.0470490027223504</v>
      </c>
      <c r="R1265">
        <v>0.9672652928691911</v>
      </c>
      <c r="S1265" t="s">
        <v>2933</v>
      </c>
      <c r="T1265" t="s">
        <v>3312</v>
      </c>
      <c r="U1265" t="s">
        <v>3312</v>
      </c>
      <c r="V1265" t="s">
        <v>3312</v>
      </c>
      <c r="W1265" t="s">
        <v>4575</v>
      </c>
      <c r="X1265">
        <v>6</v>
      </c>
      <c r="Y1265" t="s">
        <v>6216</v>
      </c>
      <c r="Z1265" t="s">
        <v>7858</v>
      </c>
      <c r="AA1265">
        <v>0.3967303775297878</v>
      </c>
      <c r="AB1265">
        <f>HYPERLINK("Melting_Curves/meltCurve_P42593_fadH.pdf", "Melting_Curves/meltCurve_P42593_fadH.pdf")</f>
        <v>0</v>
      </c>
    </row>
    <row r="1266" spans="1:28">
      <c r="A1266" t="s">
        <v>1292</v>
      </c>
      <c r="B1266">
        <v>0.999984544473304</v>
      </c>
      <c r="C1266">
        <v>0.749173412485496</v>
      </c>
      <c r="D1266">
        <v>0.656545725138063</v>
      </c>
      <c r="E1266">
        <v>0.16439248927322</v>
      </c>
      <c r="F1266">
        <v>0.0428974020770301</v>
      </c>
      <c r="G1266">
        <v>0.0347925377944096</v>
      </c>
      <c r="H1266">
        <v>0.0232865233130806</v>
      </c>
      <c r="I1266">
        <v>0.0126781901091801</v>
      </c>
      <c r="J1266">
        <v>0.0111595856974815</v>
      </c>
      <c r="K1266">
        <v>0.014232681028335</v>
      </c>
      <c r="L1266">
        <v>855.577908910566</v>
      </c>
      <c r="M1266">
        <v>19.6494091061367</v>
      </c>
      <c r="N1266">
        <v>43.5556867529712</v>
      </c>
      <c r="O1266">
        <v>43.0987109057137</v>
      </c>
      <c r="P1266">
        <v>-0.113636610807987</v>
      </c>
      <c r="Q1266">
        <v>0.00303968778335389</v>
      </c>
      <c r="R1266">
        <v>0.9801598733039411</v>
      </c>
      <c r="S1266" t="s">
        <v>2934</v>
      </c>
      <c r="T1266" t="s">
        <v>3312</v>
      </c>
      <c r="U1266" t="s">
        <v>3312</v>
      </c>
      <c r="V1266" t="s">
        <v>3312</v>
      </c>
      <c r="W1266" t="s">
        <v>4576</v>
      </c>
      <c r="X1266">
        <v>2</v>
      </c>
      <c r="Y1266" t="s">
        <v>6217</v>
      </c>
      <c r="Z1266" t="s">
        <v>7859</v>
      </c>
      <c r="AA1266">
        <v>0.2345419461491741</v>
      </c>
      <c r="AB1266">
        <f>HYPERLINK("Melting_Curves/meltCurve_P42599_ygjR.pdf", "Melting_Curves/meltCurve_P42599_ygjR.pdf")</f>
        <v>0</v>
      </c>
    </row>
    <row r="1267" spans="1:28">
      <c r="A1267" t="s">
        <v>1293</v>
      </c>
      <c r="B1267">
        <v>0.999984544473304</v>
      </c>
      <c r="C1267">
        <v>1.06468637140201</v>
      </c>
      <c r="D1267">
        <v>0.768249508721508</v>
      </c>
      <c r="E1267">
        <v>0.373926774161784</v>
      </c>
      <c r="F1267">
        <v>0.217056737431517</v>
      </c>
      <c r="G1267">
        <v>0.08370422062683699</v>
      </c>
      <c r="H1267">
        <v>0.0621878939530472</v>
      </c>
      <c r="I1267">
        <v>0.0425447827416218</v>
      </c>
      <c r="J1267">
        <v>0.0378362860844209</v>
      </c>
      <c r="K1267">
        <v>0.0313100102197026</v>
      </c>
      <c r="L1267">
        <v>998.5031571272</v>
      </c>
      <c r="M1267">
        <v>21.9517697066203</v>
      </c>
      <c r="N1267">
        <v>45.7018572927441</v>
      </c>
      <c r="O1267">
        <v>45.113774187179</v>
      </c>
      <c r="P1267">
        <v>-0.115664858951565</v>
      </c>
      <c r="Q1267">
        <v>0.0491949795317428</v>
      </c>
      <c r="R1267">
        <v>0.989113561640972</v>
      </c>
      <c r="S1267" t="s">
        <v>2935</v>
      </c>
      <c r="T1267" t="s">
        <v>3312</v>
      </c>
      <c r="U1267" t="s">
        <v>3312</v>
      </c>
      <c r="V1267" t="s">
        <v>3312</v>
      </c>
      <c r="W1267" t="s">
        <v>4577</v>
      </c>
      <c r="X1267">
        <v>2</v>
      </c>
      <c r="Y1267" t="s">
        <v>6218</v>
      </c>
      <c r="Z1267" t="s">
        <v>7860</v>
      </c>
      <c r="AA1267">
        <v>0.3284164357323527</v>
      </c>
      <c r="AB1267">
        <f>HYPERLINK("Melting_Curves/meltCurve_P42604_uxaA.pdf", "Melting_Curves/meltCurve_P42604_uxaA.pdf")</f>
        <v>0</v>
      </c>
    </row>
    <row r="1268" spans="1:28">
      <c r="A1268" t="s">
        <v>1294</v>
      </c>
      <c r="B1268">
        <v>0.999984544473304</v>
      </c>
      <c r="C1268">
        <v>0.959580974188076</v>
      </c>
      <c r="D1268">
        <v>0.789359142173318</v>
      </c>
      <c r="E1268">
        <v>0.880976670855402</v>
      </c>
      <c r="F1268">
        <v>1.38751471283873</v>
      </c>
      <c r="G1268">
        <v>1.05894630080503</v>
      </c>
      <c r="H1268">
        <v>0.987245350117403</v>
      </c>
      <c r="I1268">
        <v>1.03114315860661</v>
      </c>
      <c r="J1268">
        <v>0.941534614510076</v>
      </c>
      <c r="K1268">
        <v>1.04565762782791</v>
      </c>
      <c r="L1268">
        <v>15000</v>
      </c>
      <c r="M1268">
        <v>221.582848539803</v>
      </c>
      <c r="Q1268">
        <v>1.5</v>
      </c>
      <c r="R1268">
        <v>0.00642889537589275</v>
      </c>
      <c r="S1268" t="s">
        <v>2936</v>
      </c>
      <c r="T1268" t="s">
        <v>3312</v>
      </c>
      <c r="U1268" t="s">
        <v>3312</v>
      </c>
      <c r="V1268" t="s">
        <v>3312</v>
      </c>
      <c r="W1268" t="s">
        <v>4578</v>
      </c>
      <c r="X1268">
        <v>4</v>
      </c>
      <c r="Y1268" t="s">
        <v>6219</v>
      </c>
      <c r="Z1268" t="s">
        <v>7861</v>
      </c>
      <c r="AA1268">
        <v>1.000473272504646</v>
      </c>
      <c r="AB1268">
        <f>HYPERLINK("Melting_Curves/meltCurve_P42616_yqjC.pdf", "Melting_Curves/meltCurve_P42616_yqjC.pdf")</f>
        <v>0</v>
      </c>
    </row>
    <row r="1269" spans="1:28">
      <c r="A1269" t="s">
        <v>1295</v>
      </c>
      <c r="B1269">
        <v>0.999984544473304</v>
      </c>
      <c r="C1269">
        <v>0.743202135574464</v>
      </c>
      <c r="D1269">
        <v>0.776759127145374</v>
      </c>
      <c r="E1269">
        <v>0.591804165157208</v>
      </c>
      <c r="F1269">
        <v>0.595217040119863</v>
      </c>
      <c r="G1269">
        <v>0.478040489983739</v>
      </c>
      <c r="H1269">
        <v>0.481289897537417</v>
      </c>
      <c r="I1269">
        <v>0.405183441399209</v>
      </c>
      <c r="J1269">
        <v>0.338442536557132</v>
      </c>
      <c r="K1269">
        <v>0.215392979138952</v>
      </c>
      <c r="L1269">
        <v>245.418347586998</v>
      </c>
      <c r="M1269">
        <v>4.57967050196459</v>
      </c>
      <c r="N1269">
        <v>53.5886473634879</v>
      </c>
      <c r="O1269">
        <v>45.7591554646997</v>
      </c>
      <c r="P1269">
        <v>-0.0252269048268534</v>
      </c>
      <c r="Q1269">
        <v>0</v>
      </c>
      <c r="R1269">
        <v>0.923611528794885</v>
      </c>
      <c r="S1269" t="s">
        <v>2937</v>
      </c>
      <c r="T1269" t="s">
        <v>3312</v>
      </c>
      <c r="U1269" t="s">
        <v>3312</v>
      </c>
      <c r="V1269" t="s">
        <v>3312</v>
      </c>
      <c r="W1269" t="s">
        <v>4579</v>
      </c>
      <c r="X1269">
        <v>10</v>
      </c>
      <c r="Y1269" t="s">
        <v>6220</v>
      </c>
      <c r="Z1269" t="s">
        <v>7862</v>
      </c>
      <c r="AA1269">
        <v>0.5557020960699292</v>
      </c>
      <c r="AB1269">
        <f>HYPERLINK("Melting_Curves/meltCurve_P42620_yqjG.pdf", "Melting_Curves/meltCurve_P42620_yqjG.pdf")</f>
        <v>0</v>
      </c>
    </row>
    <row r="1270" spans="1:28">
      <c r="A1270" t="s">
        <v>1296</v>
      </c>
      <c r="B1270">
        <v>0.999984544473304</v>
      </c>
      <c r="C1270">
        <v>1.14365734452041</v>
      </c>
      <c r="D1270">
        <v>0.864591910456574</v>
      </c>
      <c r="E1270">
        <v>0.917970436883044</v>
      </c>
      <c r="F1270">
        <v>0.325673251831192</v>
      </c>
      <c r="G1270">
        <v>0.15800158321802</v>
      </c>
      <c r="H1270">
        <v>0.10770831825005</v>
      </c>
      <c r="I1270">
        <v>0.0649447522024808</v>
      </c>
      <c r="J1270">
        <v>0.0926515914774637</v>
      </c>
      <c r="K1270">
        <v>0.06916656883109901</v>
      </c>
      <c r="L1270">
        <v>1985.90623241566</v>
      </c>
      <c r="M1270">
        <v>40.5432914796272</v>
      </c>
      <c r="N1270">
        <v>49.2276571652009</v>
      </c>
      <c r="O1270">
        <v>48.8636475164094</v>
      </c>
      <c r="P1270">
        <v>-0.188459249997154</v>
      </c>
      <c r="Q1270">
        <v>0.0914611878480263</v>
      </c>
      <c r="R1270">
        <v>0.976785637990391</v>
      </c>
      <c r="S1270" t="s">
        <v>2938</v>
      </c>
      <c r="T1270" t="s">
        <v>3312</v>
      </c>
      <c r="U1270" t="s">
        <v>3312</v>
      </c>
      <c r="V1270" t="s">
        <v>3312</v>
      </c>
      <c r="W1270" t="s">
        <v>4580</v>
      </c>
      <c r="X1270">
        <v>5</v>
      </c>
      <c r="Y1270" t="s">
        <v>6221</v>
      </c>
      <c r="Z1270" t="s">
        <v>7863</v>
      </c>
      <c r="AA1270">
        <v>0.4573356720333723</v>
      </c>
      <c r="AB1270">
        <f>HYPERLINK("Melting_Curves/meltCurve_P42632_tdcE.pdf", "Melting_Curves/meltCurve_P42632_tdcE.pdf")</f>
        <v>0</v>
      </c>
    </row>
    <row r="1271" spans="1:28">
      <c r="A1271" t="s">
        <v>1297</v>
      </c>
      <c r="B1271">
        <v>0.999984544473304</v>
      </c>
      <c r="C1271">
        <v>0.812412396465622</v>
      </c>
      <c r="D1271">
        <v>0.558337682035405</v>
      </c>
      <c r="E1271">
        <v>0.172617115108138</v>
      </c>
      <c r="F1271">
        <v>0.0558810785140284</v>
      </c>
      <c r="G1271">
        <v>0.0305952496337969</v>
      </c>
      <c r="H1271">
        <v>0.0165797479376309</v>
      </c>
      <c r="I1271">
        <v>0.0172312622073394</v>
      </c>
      <c r="J1271">
        <v>0.0134253653774156</v>
      </c>
      <c r="K1271">
        <v>0.0152509233462767</v>
      </c>
      <c r="L1271">
        <v>896.048643649607</v>
      </c>
      <c r="M1271">
        <v>20.7355774145957</v>
      </c>
      <c r="N1271">
        <v>43.2584299640687</v>
      </c>
      <c r="O1271">
        <v>42.8172095906366</v>
      </c>
      <c r="P1271">
        <v>-0.119772677876072</v>
      </c>
      <c r="Q1271">
        <v>0.0107461699873456</v>
      </c>
      <c r="R1271">
        <v>0.997310256607579</v>
      </c>
      <c r="S1271" t="s">
        <v>2939</v>
      </c>
      <c r="T1271" t="s">
        <v>3312</v>
      </c>
      <c r="U1271" t="s">
        <v>3312</v>
      </c>
      <c r="V1271" t="s">
        <v>3312</v>
      </c>
      <c r="W1271" t="s">
        <v>4581</v>
      </c>
      <c r="X1271">
        <v>3</v>
      </c>
      <c r="Y1271" t="s">
        <v>6222</v>
      </c>
      <c r="Z1271" t="s">
        <v>7864</v>
      </c>
      <c r="AA1271">
        <v>0.2281937698036041</v>
      </c>
      <c r="AB1271">
        <f>HYPERLINK("Melting_Curves/meltCurve_P42641_obgE.pdf", "Melting_Curves/meltCurve_P42641_obgE.pdf")</f>
        <v>0</v>
      </c>
    </row>
    <row r="1272" spans="1:28">
      <c r="A1272" t="s">
        <v>1298</v>
      </c>
      <c r="B1272">
        <v>0.999984544473304</v>
      </c>
      <c r="C1272">
        <v>0.6803128426195451</v>
      </c>
      <c r="D1272">
        <v>0.841656941031089</v>
      </c>
      <c r="E1272">
        <v>0.6922822558947</v>
      </c>
      <c r="F1272">
        <v>0.40032975113325</v>
      </c>
      <c r="G1272">
        <v>0.08806898831210649</v>
      </c>
      <c r="H1272">
        <v>0</v>
      </c>
      <c r="I1272">
        <v>0</v>
      </c>
      <c r="J1272">
        <v>0</v>
      </c>
      <c r="K1272">
        <v>0</v>
      </c>
      <c r="L1272">
        <v>729.4629137062479</v>
      </c>
      <c r="M1272">
        <v>15.1831970761907</v>
      </c>
      <c r="N1272">
        <v>48.0440919259928</v>
      </c>
      <c r="O1272">
        <v>47.2337995312702</v>
      </c>
      <c r="P1272">
        <v>-0.0803696813667952</v>
      </c>
      <c r="Q1272">
        <v>0</v>
      </c>
      <c r="R1272">
        <v>0.930894898887152</v>
      </c>
      <c r="S1272" t="s">
        <v>2940</v>
      </c>
      <c r="T1272" t="s">
        <v>3312</v>
      </c>
      <c r="U1272" t="s">
        <v>3312</v>
      </c>
      <c r="V1272" t="s">
        <v>3312</v>
      </c>
      <c r="W1272" t="s">
        <v>4582</v>
      </c>
      <c r="X1272">
        <v>1</v>
      </c>
      <c r="Y1272" t="s">
        <v>6223</v>
      </c>
      <c r="Z1272" t="s">
        <v>7865</v>
      </c>
      <c r="AA1272">
        <v>0.3896945259978116</v>
      </c>
      <c r="AB1272">
        <f>HYPERLINK("Melting_Curves/meltCurve_P42904_agaV.pdf", "Melting_Curves/meltCurve_P42904_agaV.pdf")</f>
        <v>0</v>
      </c>
    </row>
    <row r="1273" spans="1:28">
      <c r="A1273" t="s">
        <v>1299</v>
      </c>
      <c r="B1273">
        <v>0.999984544473304</v>
      </c>
      <c r="C1273">
        <v>0.9448231886078829</v>
      </c>
      <c r="D1273">
        <v>0.967607187055061</v>
      </c>
      <c r="E1273">
        <v>0.924453498709887</v>
      </c>
      <c r="F1273">
        <v>0.91471468343089</v>
      </c>
      <c r="G1273">
        <v>0.776874475964912</v>
      </c>
      <c r="H1273">
        <v>0.447076194511507</v>
      </c>
      <c r="I1273">
        <v>0.402486972290143</v>
      </c>
      <c r="J1273">
        <v>0.258554104274544</v>
      </c>
      <c r="K1273">
        <v>0.21911862206652</v>
      </c>
      <c r="L1273">
        <v>958.1142662769309</v>
      </c>
      <c r="M1273">
        <v>17.068844950596</v>
      </c>
      <c r="N1273">
        <v>57.6418722723693</v>
      </c>
      <c r="O1273">
        <v>55.3788621215217</v>
      </c>
      <c r="P1273">
        <v>-0.06317127956360211</v>
      </c>
      <c r="Q1273">
        <v>0.18022787765607</v>
      </c>
      <c r="R1273">
        <v>0.982351706731884</v>
      </c>
      <c r="S1273" t="s">
        <v>2941</v>
      </c>
      <c r="T1273" t="s">
        <v>3312</v>
      </c>
      <c r="U1273" t="s">
        <v>3312</v>
      </c>
      <c r="V1273" t="s">
        <v>3312</v>
      </c>
      <c r="W1273" t="s">
        <v>4583</v>
      </c>
      <c r="X1273">
        <v>2</v>
      </c>
      <c r="Y1273" t="s">
        <v>6224</v>
      </c>
      <c r="Z1273" t="s">
        <v>7866</v>
      </c>
      <c r="AA1273">
        <v>0.7120527950135705</v>
      </c>
      <c r="AB1273">
        <f>HYPERLINK("Melting_Curves/meltCurve_P43341_lpxH.pdf", "Melting_Curves/meltCurve_P43341_lpxH.pdf")</f>
        <v>0</v>
      </c>
    </row>
    <row r="1274" spans="1:28">
      <c r="A1274" t="s">
        <v>1300</v>
      </c>
      <c r="B1274">
        <v>0.999984544473304</v>
      </c>
      <c r="C1274">
        <v>1.61973150844321</v>
      </c>
      <c r="D1274">
        <v>0.897431200078436</v>
      </c>
      <c r="E1274">
        <v>1.23087426879109</v>
      </c>
      <c r="F1274">
        <v>0.836215359402232</v>
      </c>
      <c r="G1274">
        <v>0.919901358731415</v>
      </c>
      <c r="H1274">
        <v>0.57767856641816</v>
      </c>
      <c r="I1274">
        <v>0.458508041077763</v>
      </c>
      <c r="J1274">
        <v>0.386130554836665</v>
      </c>
      <c r="K1274">
        <v>0.282608622224304</v>
      </c>
      <c r="L1274">
        <v>1221.01993029911</v>
      </c>
      <c r="M1274">
        <v>21.3656314388266</v>
      </c>
      <c r="N1274">
        <v>59.5423757909217</v>
      </c>
      <c r="O1274">
        <v>56.65518820297</v>
      </c>
      <c r="P1274">
        <v>-0.0671110678212653</v>
      </c>
      <c r="Q1274">
        <v>0.288184567938282</v>
      </c>
      <c r="R1274">
        <v>0.686778566282348</v>
      </c>
      <c r="S1274" t="s">
        <v>2942</v>
      </c>
      <c r="T1274" t="s">
        <v>3312</v>
      </c>
      <c r="U1274" t="s">
        <v>3312</v>
      </c>
      <c r="V1274" t="s">
        <v>3312</v>
      </c>
      <c r="W1274" t="s">
        <v>4584</v>
      </c>
      <c r="X1274">
        <v>2</v>
      </c>
      <c r="Y1274" t="s">
        <v>6225</v>
      </c>
      <c r="Z1274" t="s">
        <v>7867</v>
      </c>
      <c r="AA1274">
        <v>0.7721609467492467</v>
      </c>
      <c r="AB1274">
        <f>HYPERLINK("Melting_Curves/meltCurve_P43671_pqiB.pdf", "Melting_Curves/meltCurve_P43671_pqiB.pdf")</f>
        <v>0</v>
      </c>
    </row>
    <row r="1275" spans="1:28">
      <c r="A1275" t="s">
        <v>1301</v>
      </c>
      <c r="B1275">
        <v>0.999984544473304</v>
      </c>
      <c r="C1275">
        <v>1.16335387385188</v>
      </c>
      <c r="D1275">
        <v>0.976648176333873</v>
      </c>
      <c r="E1275">
        <v>0.346527235047123</v>
      </c>
      <c r="F1275">
        <v>0.249730956837561</v>
      </c>
      <c r="G1275">
        <v>0.183623310947875</v>
      </c>
      <c r="H1275">
        <v>0.134467019813687</v>
      </c>
      <c r="I1275">
        <v>0.104141675924053</v>
      </c>
      <c r="J1275">
        <v>0.08383438696783881</v>
      </c>
      <c r="K1275">
        <v>0.077151764520993</v>
      </c>
      <c r="L1275">
        <v>2296.85146196558</v>
      </c>
      <c r="M1275">
        <v>50.3617241346613</v>
      </c>
      <c r="N1275">
        <v>45.8966096831113</v>
      </c>
      <c r="O1275">
        <v>45.5353587776018</v>
      </c>
      <c r="P1275">
        <v>-0.238870586351376</v>
      </c>
      <c r="Q1275">
        <v>0.136086280851968</v>
      </c>
      <c r="R1275">
        <v>0.97191588195726</v>
      </c>
      <c r="S1275" t="s">
        <v>2943</v>
      </c>
      <c r="T1275" t="s">
        <v>3312</v>
      </c>
      <c r="U1275" t="s">
        <v>3312</v>
      </c>
      <c r="V1275" t="s">
        <v>3312</v>
      </c>
      <c r="W1275" t="s">
        <v>4585</v>
      </c>
      <c r="X1275">
        <v>3</v>
      </c>
      <c r="Y1275" t="s">
        <v>6226</v>
      </c>
      <c r="Z1275" t="s">
        <v>7868</v>
      </c>
      <c r="AA1275">
        <v>0.3856586834831334</v>
      </c>
      <c r="AB1275">
        <f>HYPERLINK("Melting_Curves/meltCurve_P43672_uup.pdf", "Melting_Curves/meltCurve_P43672_uup.pdf")</f>
        <v>0</v>
      </c>
    </row>
    <row r="1276" spans="1:28">
      <c r="A1276" t="s">
        <v>1302</v>
      </c>
      <c r="B1276">
        <v>0.999984544473304</v>
      </c>
      <c r="C1276">
        <v>0.8739055431075889</v>
      </c>
      <c r="D1276">
        <v>0.8999463790236371</v>
      </c>
      <c r="E1276">
        <v>0.827130173655148</v>
      </c>
      <c r="F1276">
        <v>0.8025596279956581</v>
      </c>
      <c r="G1276">
        <v>0.381117019497258</v>
      </c>
      <c r="H1276">
        <v>0.07956696246894621</v>
      </c>
      <c r="I1276">
        <v>0.0573429762490264</v>
      </c>
      <c r="J1276">
        <v>0.0536861967893053</v>
      </c>
      <c r="K1276">
        <v>0.0433239729669812</v>
      </c>
      <c r="L1276">
        <v>1211.20590545417</v>
      </c>
      <c r="M1276">
        <v>23.0764492820377</v>
      </c>
      <c r="N1276">
        <v>52.5724387046127</v>
      </c>
      <c r="O1276">
        <v>52.0973009954769</v>
      </c>
      <c r="P1276">
        <v>-0.108693655964479</v>
      </c>
      <c r="Q1276">
        <v>0.0184729935623995</v>
      </c>
      <c r="R1276">
        <v>0.9695380666872579</v>
      </c>
      <c r="S1276" t="s">
        <v>2944</v>
      </c>
      <c r="T1276" t="s">
        <v>3312</v>
      </c>
      <c r="U1276" t="s">
        <v>3312</v>
      </c>
      <c r="V1276" t="s">
        <v>3312</v>
      </c>
      <c r="W1276" t="s">
        <v>4586</v>
      </c>
      <c r="X1276">
        <v>5</v>
      </c>
      <c r="Y1276" t="s">
        <v>6227</v>
      </c>
      <c r="Z1276" t="s">
        <v>7869</v>
      </c>
      <c r="AA1276">
        <v>0.5351382673734607</v>
      </c>
      <c r="AB1276">
        <f>HYPERLINK("Melting_Curves/meltCurve_P45395_kdsD.pdf", "Melting_Curves/meltCurve_P45395_kdsD.pdf")</f>
        <v>0</v>
      </c>
    </row>
    <row r="1277" spans="1:28">
      <c r="A1277" t="s">
        <v>1303</v>
      </c>
      <c r="B1277">
        <v>0.999984544473304</v>
      </c>
      <c r="C1277">
        <v>0.982234234782703</v>
      </c>
      <c r="D1277">
        <v>0.807352321146235</v>
      </c>
      <c r="E1277">
        <v>1.01259367770905</v>
      </c>
      <c r="F1277">
        <v>0.892523996805458</v>
      </c>
      <c r="G1277">
        <v>0.837651564792267</v>
      </c>
      <c r="H1277">
        <v>0.814311414257688</v>
      </c>
      <c r="I1277">
        <v>0.603977661869775</v>
      </c>
      <c r="J1277">
        <v>0.444972160624828</v>
      </c>
      <c r="K1277">
        <v>0.508818724968598</v>
      </c>
      <c r="L1277">
        <v>489.822628514031</v>
      </c>
      <c r="M1277">
        <v>7.50360774897326</v>
      </c>
      <c r="N1277">
        <v>65.2782827701937</v>
      </c>
      <c r="O1277">
        <v>61.1244303978418</v>
      </c>
      <c r="P1277">
        <v>-0.0307339354064188</v>
      </c>
      <c r="Q1277">
        <v>0</v>
      </c>
      <c r="R1277">
        <v>0.863490231562821</v>
      </c>
      <c r="S1277" t="s">
        <v>2945</v>
      </c>
      <c r="T1277" t="s">
        <v>3312</v>
      </c>
      <c r="U1277" t="s">
        <v>3312</v>
      </c>
      <c r="V1277" t="s">
        <v>3312</v>
      </c>
      <c r="W1277" t="s">
        <v>4587</v>
      </c>
      <c r="X1277">
        <v>1</v>
      </c>
      <c r="Y1277" t="s">
        <v>6228</v>
      </c>
      <c r="Z1277" t="s">
        <v>7870</v>
      </c>
      <c r="AA1277">
        <v>0.8144117768423695</v>
      </c>
      <c r="AB1277">
        <f>HYPERLINK("Melting_Curves/meltCurve_P45424_yhcH.pdf", "Melting_Curves/meltCurve_P45424_yhcH.pdf")</f>
        <v>0</v>
      </c>
    </row>
    <row r="1278" spans="1:28">
      <c r="A1278" t="s">
        <v>1304</v>
      </c>
      <c r="B1278">
        <v>0.999984544473304</v>
      </c>
      <c r="C1278">
        <v>0.9095465055048469</v>
      </c>
      <c r="D1278">
        <v>0.906900212605424</v>
      </c>
      <c r="E1278">
        <v>0.871532225981719</v>
      </c>
      <c r="F1278">
        <v>0.885749721464809</v>
      </c>
      <c r="G1278">
        <v>0.769172893397727</v>
      </c>
      <c r="H1278">
        <v>0.743603178257439</v>
      </c>
      <c r="I1278">
        <v>0.587345390069311</v>
      </c>
      <c r="J1278">
        <v>0.426118416974796</v>
      </c>
      <c r="K1278">
        <v>0.259147072973844</v>
      </c>
      <c r="L1278">
        <v>548.697979225773</v>
      </c>
      <c r="M1278">
        <v>8.84985433167647</v>
      </c>
      <c r="N1278">
        <v>62.0007858312167</v>
      </c>
      <c r="O1278">
        <v>59.0798550041897</v>
      </c>
      <c r="P1278">
        <v>-0.0374776769466375</v>
      </c>
      <c r="Q1278">
        <v>0</v>
      </c>
      <c r="R1278">
        <v>0.934980499086594</v>
      </c>
      <c r="S1278" t="s">
        <v>2946</v>
      </c>
      <c r="T1278" t="s">
        <v>3312</v>
      </c>
      <c r="U1278" t="s">
        <v>3312</v>
      </c>
      <c r="V1278" t="s">
        <v>3312</v>
      </c>
      <c r="W1278" t="s">
        <v>4588</v>
      </c>
      <c r="X1278">
        <v>5</v>
      </c>
      <c r="Y1278" t="s">
        <v>6229</v>
      </c>
      <c r="Z1278" t="s">
        <v>7871</v>
      </c>
      <c r="AA1278">
        <v>0.7733780495033039</v>
      </c>
      <c r="AB1278">
        <f>HYPERLINK("Melting_Curves/meltCurve_P45425_nanK.pdf", "Melting_Curves/meltCurve_P45425_nanK.pdf")</f>
        <v>0</v>
      </c>
    </row>
    <row r="1279" spans="1:28">
      <c r="A1279" t="s">
        <v>1305</v>
      </c>
      <c r="B1279">
        <v>0.999984544473304</v>
      </c>
      <c r="C1279">
        <v>1.09356551280521</v>
      </c>
      <c r="D1279">
        <v>1.00024187805209</v>
      </c>
      <c r="E1279">
        <v>1.18248565199513</v>
      </c>
      <c r="F1279">
        <v>1.03856272870699</v>
      </c>
      <c r="G1279">
        <v>0.886118295919754</v>
      </c>
      <c r="H1279">
        <v>0.806728607206682</v>
      </c>
      <c r="I1279">
        <v>0.647159717128159</v>
      </c>
      <c r="J1279">
        <v>0.532720143860987</v>
      </c>
      <c r="K1279">
        <v>0.448649273697983</v>
      </c>
      <c r="L1279">
        <v>1108.65647702981</v>
      </c>
      <c r="M1279">
        <v>18.5146720755755</v>
      </c>
      <c r="N1279">
        <v>64.9657819216216</v>
      </c>
      <c r="O1279">
        <v>59.1944269603784</v>
      </c>
      <c r="P1279">
        <v>-0.0482754885413636</v>
      </c>
      <c r="Q1279">
        <v>0.38264857013851</v>
      </c>
      <c r="R1279">
        <v>0.912268101755779</v>
      </c>
      <c r="S1279" t="s">
        <v>2947</v>
      </c>
      <c r="T1279" t="s">
        <v>3312</v>
      </c>
      <c r="U1279" t="s">
        <v>3312</v>
      </c>
      <c r="V1279" t="s">
        <v>3312</v>
      </c>
      <c r="W1279" t="s">
        <v>4589</v>
      </c>
      <c r="X1279">
        <v>16</v>
      </c>
      <c r="Y1279" t="s">
        <v>6230</v>
      </c>
      <c r="Z1279" t="s">
        <v>7872</v>
      </c>
      <c r="AA1279">
        <v>0.8532282440441779</v>
      </c>
      <c r="AB1279">
        <f>HYPERLINK("Melting_Curves/meltCurve_P45464_lpoA.pdf", "Melting_Curves/meltCurve_P45464_lpoA.pdf")</f>
        <v>0</v>
      </c>
    </row>
    <row r="1280" spans="1:28">
      <c r="A1280" t="s">
        <v>1306</v>
      </c>
      <c r="B1280">
        <v>0.999984544473304</v>
      </c>
      <c r="C1280">
        <v>1.02325590287199</v>
      </c>
      <c r="D1280">
        <v>0.943437904825672</v>
      </c>
      <c r="E1280">
        <v>1.11946781248594</v>
      </c>
      <c r="F1280">
        <v>1.34414628912846</v>
      </c>
      <c r="G1280">
        <v>1.07639999437224</v>
      </c>
      <c r="H1280">
        <v>1.18693843777011</v>
      </c>
      <c r="I1280">
        <v>1.1149087495917</v>
      </c>
      <c r="J1280">
        <v>0.869553006518809</v>
      </c>
      <c r="K1280">
        <v>0.95462335052716</v>
      </c>
      <c r="L1280">
        <v>2617.71044370392</v>
      </c>
      <c r="M1280">
        <v>41.0524910355616</v>
      </c>
      <c r="O1280">
        <v>63.6142134517079</v>
      </c>
      <c r="P1280">
        <v>-0.0137863082773919</v>
      </c>
      <c r="Q1280">
        <v>0.914548083588487</v>
      </c>
      <c r="R1280">
        <v>-0.188066784084941</v>
      </c>
      <c r="S1280" t="s">
        <v>2948</v>
      </c>
      <c r="T1280" t="s">
        <v>3312</v>
      </c>
      <c r="U1280" t="s">
        <v>3312</v>
      </c>
      <c r="V1280" t="s">
        <v>3312</v>
      </c>
      <c r="W1280" t="s">
        <v>4590</v>
      </c>
      <c r="X1280">
        <v>6</v>
      </c>
      <c r="Y1280" t="s">
        <v>6231</v>
      </c>
      <c r="Z1280" t="s">
        <v>7873</v>
      </c>
      <c r="AA1280">
        <v>0.990476151633797</v>
      </c>
      <c r="AB1280">
        <f>HYPERLINK("Melting_Curves/meltCurve_P45470_yhbO.pdf", "Melting_Curves/meltCurve_P45470_yhbO.pdf")</f>
        <v>0</v>
      </c>
    </row>
    <row r="1281" spans="1:28">
      <c r="A1281" t="s">
        <v>1307</v>
      </c>
      <c r="B1281">
        <v>0.999984544473304</v>
      </c>
      <c r="C1281">
        <v>0.816760019084946</v>
      </c>
      <c r="D1281">
        <v>1.08830624721467</v>
      </c>
      <c r="E1281">
        <v>0.9111448597127489</v>
      </c>
      <c r="F1281">
        <v>1.28235247199339</v>
      </c>
      <c r="G1281">
        <v>1.04437836974932</v>
      </c>
      <c r="H1281">
        <v>1.097683189432</v>
      </c>
      <c r="I1281">
        <v>1.01856757948096</v>
      </c>
      <c r="J1281">
        <v>0.893285772282448</v>
      </c>
      <c r="K1281">
        <v>0.712918659197461</v>
      </c>
      <c r="L1281">
        <v>15000</v>
      </c>
      <c r="M1281">
        <v>233.484408144533</v>
      </c>
      <c r="O1281">
        <v>64.2393991852865</v>
      </c>
      <c r="P1281">
        <v>-0.260873951334069</v>
      </c>
      <c r="Q1281">
        <v>0.712899245140069</v>
      </c>
      <c r="R1281">
        <v>0.395082945946698</v>
      </c>
      <c r="S1281" t="s">
        <v>2949</v>
      </c>
      <c r="T1281" t="s">
        <v>3312</v>
      </c>
      <c r="U1281" t="s">
        <v>3312</v>
      </c>
      <c r="V1281" t="s">
        <v>3312</v>
      </c>
      <c r="W1281" t="s">
        <v>4591</v>
      </c>
      <c r="X1281">
        <v>12</v>
      </c>
      <c r="Y1281" t="s">
        <v>6232</v>
      </c>
      <c r="Z1281" t="s">
        <v>7874</v>
      </c>
      <c r="AA1281">
        <v>0.9736630627696597</v>
      </c>
      <c r="AB1281">
        <f>HYPERLINK("Melting_Curves/meltCurve_P45523_fkpA.pdf", "Melting_Curves/meltCurve_P45523_fkpA.pdf")</f>
        <v>0</v>
      </c>
    </row>
    <row r="1282" spans="1:28">
      <c r="A1282" t="s">
        <v>1308</v>
      </c>
      <c r="B1282">
        <v>0.999984544473304</v>
      </c>
      <c r="C1282">
        <v>1.16296650416037</v>
      </c>
      <c r="D1282">
        <v>0.868948541835505</v>
      </c>
      <c r="E1282">
        <v>1.17151100626879</v>
      </c>
      <c r="F1282">
        <v>0.609262966114235</v>
      </c>
      <c r="G1282">
        <v>0.5416512774936449</v>
      </c>
      <c r="H1282">
        <v>0.270585664388557</v>
      </c>
      <c r="I1282">
        <v>0.143736576347437</v>
      </c>
      <c r="J1282">
        <v>0.15355875996326</v>
      </c>
      <c r="K1282">
        <v>0.178408530809508</v>
      </c>
      <c r="L1282">
        <v>1098.95600415078</v>
      </c>
      <c r="M1282">
        <v>20.9506737118835</v>
      </c>
      <c r="N1282">
        <v>53.3223003080715</v>
      </c>
      <c r="O1282">
        <v>51.9835607181631</v>
      </c>
      <c r="P1282">
        <v>-0.08620270472234461</v>
      </c>
      <c r="Q1282">
        <v>0.144466215263853</v>
      </c>
      <c r="R1282">
        <v>0.919881226269575</v>
      </c>
      <c r="S1282" t="s">
        <v>2950</v>
      </c>
      <c r="T1282" t="s">
        <v>3312</v>
      </c>
      <c r="U1282" t="s">
        <v>3312</v>
      </c>
      <c r="V1282" t="s">
        <v>3312</v>
      </c>
      <c r="W1282" t="s">
        <v>4592</v>
      </c>
      <c r="X1282">
        <v>1</v>
      </c>
      <c r="Y1282" t="s">
        <v>6233</v>
      </c>
      <c r="Z1282" t="s">
        <v>7875</v>
      </c>
      <c r="AA1282">
        <v>0.5953783319198085</v>
      </c>
      <c r="AB1282">
        <f>HYPERLINK("Melting_Curves/meltCurve_P45530_tusB.pdf", "Melting_Curves/meltCurve_P45530_tusB.pdf")</f>
        <v>0</v>
      </c>
    </row>
    <row r="1283" spans="1:28">
      <c r="A1283" t="s">
        <v>1309</v>
      </c>
      <c r="B1283">
        <v>0.999984544473304</v>
      </c>
      <c r="C1283">
        <v>1.07056251513961</v>
      </c>
      <c r="D1283">
        <v>0.974653801070773</v>
      </c>
      <c r="E1283">
        <v>0.846077426623238</v>
      </c>
      <c r="F1283">
        <v>0.872465781956878</v>
      </c>
      <c r="G1283">
        <v>0.570747622200045</v>
      </c>
      <c r="H1283">
        <v>0.0885174863160739</v>
      </c>
      <c r="I1283">
        <v>0.0428749123741733</v>
      </c>
      <c r="J1283">
        <v>0.0326938862779495</v>
      </c>
      <c r="K1283">
        <v>0.0302073047025952</v>
      </c>
      <c r="L1283">
        <v>1648.48273192632</v>
      </c>
      <c r="M1283">
        <v>30.5535899710646</v>
      </c>
      <c r="N1283">
        <v>53.9928860027009</v>
      </c>
      <c r="O1283">
        <v>53.7242696543215</v>
      </c>
      <c r="P1283">
        <v>-0.140624129481186</v>
      </c>
      <c r="Q1283">
        <v>0.0109335495945614</v>
      </c>
      <c r="R1283">
        <v>0.981622402027022</v>
      </c>
      <c r="S1283" t="s">
        <v>2951</v>
      </c>
      <c r="T1283" t="s">
        <v>3312</v>
      </c>
      <c r="U1283" t="s">
        <v>3312</v>
      </c>
      <c r="V1283" t="s">
        <v>3312</v>
      </c>
      <c r="W1283" t="s">
        <v>4593</v>
      </c>
      <c r="X1283">
        <v>4</v>
      </c>
      <c r="Y1283" t="s">
        <v>6234</v>
      </c>
      <c r="Z1283" t="s">
        <v>7876</v>
      </c>
      <c r="AA1283">
        <v>0.5759911169997738</v>
      </c>
      <c r="AB1283">
        <f>HYPERLINK("Melting_Curves/meltCurve_P45568_dxr.pdf", "Melting_Curves/meltCurve_P45568_dxr.pdf")</f>
        <v>0</v>
      </c>
    </row>
    <row r="1284" spans="1:28">
      <c r="A1284" t="s">
        <v>1310</v>
      </c>
      <c r="B1284">
        <v>0.999984544473304</v>
      </c>
      <c r="C1284">
        <v>0.936689974423333</v>
      </c>
      <c r="D1284">
        <v>1.04600010918679</v>
      </c>
      <c r="E1284">
        <v>0.779137032904067</v>
      </c>
      <c r="F1284">
        <v>0.531165371222756</v>
      </c>
      <c r="G1284">
        <v>0.221546023021748</v>
      </c>
      <c r="H1284">
        <v>0.121627833449962</v>
      </c>
      <c r="I1284">
        <v>0.07932311584046289</v>
      </c>
      <c r="J1284">
        <v>0.0607960456437797</v>
      </c>
      <c r="K1284">
        <v>0.0596184269949218</v>
      </c>
      <c r="L1284">
        <v>1005.36936651959</v>
      </c>
      <c r="M1284">
        <v>20.1095172495912</v>
      </c>
      <c r="N1284">
        <v>50.2706938338271</v>
      </c>
      <c r="O1284">
        <v>49.5081886346911</v>
      </c>
      <c r="P1284">
        <v>-0.0962419485665419</v>
      </c>
      <c r="Q1284">
        <v>0.0522671056647274</v>
      </c>
      <c r="R1284">
        <v>0.99217992935276</v>
      </c>
      <c r="S1284" t="s">
        <v>2952</v>
      </c>
      <c r="T1284" t="s">
        <v>3312</v>
      </c>
      <c r="U1284" t="s">
        <v>3312</v>
      </c>
      <c r="V1284" t="s">
        <v>3312</v>
      </c>
      <c r="W1284" t="s">
        <v>4594</v>
      </c>
      <c r="X1284">
        <v>6</v>
      </c>
      <c r="Y1284" t="s">
        <v>6235</v>
      </c>
      <c r="Z1284" t="s">
        <v>7877</v>
      </c>
      <c r="AA1284">
        <v>0.4751460522233928</v>
      </c>
      <c r="AB1284">
        <f>HYPERLINK("Melting_Curves/meltCurve_P45577_proQ.pdf", "Melting_Curves/meltCurve_P45577_proQ.pdf")</f>
        <v>0</v>
      </c>
    </row>
    <row r="1285" spans="1:28">
      <c r="A1285" t="s">
        <v>1311</v>
      </c>
      <c r="B1285">
        <v>0.999984544473304</v>
      </c>
      <c r="C1285">
        <v>1.03023083479773</v>
      </c>
      <c r="D1285">
        <v>0.91613310027225</v>
      </c>
      <c r="E1285">
        <v>1.08577849929833</v>
      </c>
      <c r="F1285">
        <v>1.15415446050078</v>
      </c>
      <c r="G1285">
        <v>0.852039830244155</v>
      </c>
      <c r="H1285">
        <v>0.8486144910457391</v>
      </c>
      <c r="I1285">
        <v>0.748196348618009</v>
      </c>
      <c r="J1285">
        <v>0.536419261599413</v>
      </c>
      <c r="K1285">
        <v>0.693713316440616</v>
      </c>
      <c r="L1285">
        <v>1381.32639592734</v>
      </c>
      <c r="M1285">
        <v>23.8577067679811</v>
      </c>
      <c r="O1285">
        <v>57.4963593103423</v>
      </c>
      <c r="P1285">
        <v>-0.0401795950254248</v>
      </c>
      <c r="Q1285">
        <v>0.612679786879656</v>
      </c>
      <c r="R1285">
        <v>0.784128196023535</v>
      </c>
      <c r="S1285" t="s">
        <v>2953</v>
      </c>
      <c r="T1285" t="s">
        <v>3312</v>
      </c>
      <c r="U1285" t="s">
        <v>3312</v>
      </c>
      <c r="V1285" t="s">
        <v>3312</v>
      </c>
      <c r="W1285" t="s">
        <v>4595</v>
      </c>
      <c r="X1285">
        <v>10</v>
      </c>
      <c r="Y1285" t="s">
        <v>6236</v>
      </c>
      <c r="Z1285" t="s">
        <v>7878</v>
      </c>
      <c r="AA1285">
        <v>0.885128620007651</v>
      </c>
      <c r="AB1285">
        <f>HYPERLINK("Melting_Curves/meltCurve_P45578_luxS.pdf", "Melting_Curves/meltCurve_P45578_luxS.pdf")</f>
        <v>0</v>
      </c>
    </row>
    <row r="1286" spans="1:28">
      <c r="A1286" t="s">
        <v>1312</v>
      </c>
      <c r="B1286">
        <v>0.999984544473304</v>
      </c>
      <c r="C1286">
        <v>0.947134739048421</v>
      </c>
      <c r="D1286">
        <v>0.884341712142517</v>
      </c>
      <c r="E1286">
        <v>1.00325408497774</v>
      </c>
      <c r="F1286">
        <v>0.779997655308469</v>
      </c>
      <c r="G1286">
        <v>0.426666591053377</v>
      </c>
      <c r="H1286">
        <v>0.272237773682011</v>
      </c>
      <c r="I1286">
        <v>0.280807151756558</v>
      </c>
      <c r="J1286">
        <v>0.173129160320285</v>
      </c>
      <c r="K1286">
        <v>0.280022644495315</v>
      </c>
      <c r="L1286">
        <v>1559.66573766786</v>
      </c>
      <c r="M1286">
        <v>30.1323693264109</v>
      </c>
      <c r="N1286">
        <v>52.9073588153084</v>
      </c>
      <c r="O1286">
        <v>51.5341047893961</v>
      </c>
      <c r="P1286">
        <v>-0.111123229389435</v>
      </c>
      <c r="Q1286">
        <v>0.239807602983026</v>
      </c>
      <c r="R1286">
        <v>0.977662711453817</v>
      </c>
      <c r="S1286" t="s">
        <v>2954</v>
      </c>
      <c r="T1286" t="s">
        <v>3312</v>
      </c>
      <c r="U1286" t="s">
        <v>3312</v>
      </c>
      <c r="V1286" t="s">
        <v>3312</v>
      </c>
      <c r="W1286" t="s">
        <v>4596</v>
      </c>
      <c r="X1286">
        <v>3</v>
      </c>
      <c r="Y1286" t="s">
        <v>6237</v>
      </c>
      <c r="Z1286" t="s">
        <v>7879</v>
      </c>
      <c r="AA1286">
        <v>0.6185772029152546</v>
      </c>
      <c r="AB1286">
        <f>HYPERLINK("Melting_Curves/meltCurve_P45748_tsaC.pdf", "Melting_Curves/meltCurve_P45748_tsaC.pdf")</f>
        <v>0</v>
      </c>
    </row>
    <row r="1287" spans="1:28">
      <c r="A1287" t="s">
        <v>1313</v>
      </c>
      <c r="B1287">
        <v>0.999984544473304</v>
      </c>
      <c r="C1287">
        <v>0.905119447856462</v>
      </c>
      <c r="D1287">
        <v>0.803549671399537</v>
      </c>
      <c r="E1287">
        <v>0.915971368978229</v>
      </c>
      <c r="F1287">
        <v>0.819859373657888</v>
      </c>
      <c r="G1287">
        <v>0.7806606774465</v>
      </c>
      <c r="H1287">
        <v>0.78047591252969</v>
      </c>
      <c r="I1287">
        <v>0.670218271633109</v>
      </c>
      <c r="J1287">
        <v>0.6543689609922499</v>
      </c>
      <c r="K1287">
        <v>0.803575173384947</v>
      </c>
      <c r="L1287">
        <v>300.576047673527</v>
      </c>
      <c r="M1287">
        <v>6.32893936748515</v>
      </c>
      <c r="O1287">
        <v>43.4132654979853</v>
      </c>
      <c r="P1287">
        <v>-0.0120188803430175</v>
      </c>
      <c r="Q1287">
        <v>0.671106221089908</v>
      </c>
      <c r="R1287">
        <v>0.681620418697064</v>
      </c>
      <c r="S1287" t="s">
        <v>2955</v>
      </c>
      <c r="T1287" t="s">
        <v>3312</v>
      </c>
      <c r="U1287" t="s">
        <v>3312</v>
      </c>
      <c r="V1287" t="s">
        <v>3312</v>
      </c>
      <c r="W1287" t="s">
        <v>4597</v>
      </c>
      <c r="X1287">
        <v>2</v>
      </c>
      <c r="Y1287" t="s">
        <v>6238</v>
      </c>
      <c r="Z1287" t="s">
        <v>7880</v>
      </c>
      <c r="AA1287">
        <v>0.8087598228135955</v>
      </c>
      <c r="AB1287">
        <f>HYPERLINK("Melting_Curves/meltCurve_P45771_yrdD.pdf", "Melting_Curves/meltCurve_P45771_yrdD.pdf")</f>
        <v>0</v>
      </c>
    </row>
    <row r="1288" spans="1:28">
      <c r="A1288" t="s">
        <v>1314</v>
      </c>
      <c r="B1288">
        <v>0.999984544473304</v>
      </c>
      <c r="C1288">
        <v>0.874853553614954</v>
      </c>
      <c r="D1288">
        <v>0.889723562678741</v>
      </c>
      <c r="E1288">
        <v>1.00130034497838</v>
      </c>
      <c r="F1288">
        <v>0.604411517049451</v>
      </c>
      <c r="G1288">
        <v>0.206911845133726</v>
      </c>
      <c r="H1288">
        <v>0.0786777459280386</v>
      </c>
      <c r="I1288">
        <v>0.06948695782369139</v>
      </c>
      <c r="J1288">
        <v>0</v>
      </c>
      <c r="K1288">
        <v>0.0434050901245996</v>
      </c>
      <c r="L1288">
        <v>1558.28903000826</v>
      </c>
      <c r="M1288">
        <v>30.6059689176701</v>
      </c>
      <c r="N1288">
        <v>51.0522272649588</v>
      </c>
      <c r="O1288">
        <v>50.6986581890388</v>
      </c>
      <c r="P1288">
        <v>-0.144943432266799</v>
      </c>
      <c r="Q1288">
        <v>0.0396128922603584</v>
      </c>
      <c r="R1288">
        <v>0.980740406645137</v>
      </c>
      <c r="S1288" t="s">
        <v>2956</v>
      </c>
      <c r="T1288" t="s">
        <v>3312</v>
      </c>
      <c r="U1288" t="s">
        <v>3312</v>
      </c>
      <c r="V1288" t="s">
        <v>3312</v>
      </c>
      <c r="W1288" t="s">
        <v>4598</v>
      </c>
      <c r="X1288">
        <v>1</v>
      </c>
      <c r="Y1288" t="s">
        <v>6239</v>
      </c>
      <c r="Z1288" t="s">
        <v>7881</v>
      </c>
      <c r="AA1288">
        <v>0.4908048105519713</v>
      </c>
      <c r="AB1288">
        <f>HYPERLINK("Melting_Curves/meltCurve_P45799_nudE.pdf", "Melting_Curves/meltCurve_P45799_nudE.pdf")</f>
        <v>0</v>
      </c>
    </row>
    <row r="1289" spans="1:28">
      <c r="A1289" t="s">
        <v>1315</v>
      </c>
      <c r="B1289">
        <v>0.999984544473304</v>
      </c>
      <c r="C1289">
        <v>1.02257861988856</v>
      </c>
      <c r="D1289">
        <v>0.666783772554721</v>
      </c>
      <c r="E1289">
        <v>0.273936984689221</v>
      </c>
      <c r="F1289">
        <v>0.14739971907309</v>
      </c>
      <c r="G1289">
        <v>0.079904368157596</v>
      </c>
      <c r="H1289">
        <v>0.0551471874270984</v>
      </c>
      <c r="I1289">
        <v>0.0544299556531066</v>
      </c>
      <c r="J1289">
        <v>0.031329461882059</v>
      </c>
      <c r="K1289">
        <v>0</v>
      </c>
      <c r="L1289">
        <v>1074.98281082062</v>
      </c>
      <c r="M1289">
        <v>24.2225909001003</v>
      </c>
      <c r="N1289">
        <v>44.5629028819378</v>
      </c>
      <c r="O1289">
        <v>44.080202604461</v>
      </c>
      <c r="P1289">
        <v>-0.130857306139352</v>
      </c>
      <c r="Q1289">
        <v>0.0474797572748993</v>
      </c>
      <c r="R1289">
        <v>0.991372615093368</v>
      </c>
      <c r="S1289" t="s">
        <v>2957</v>
      </c>
      <c r="T1289" t="s">
        <v>3312</v>
      </c>
      <c r="U1289" t="s">
        <v>3312</v>
      </c>
      <c r="V1289" t="s">
        <v>3312</v>
      </c>
      <c r="W1289" t="s">
        <v>4599</v>
      </c>
      <c r="X1289">
        <v>1</v>
      </c>
      <c r="Y1289" t="s">
        <v>6240</v>
      </c>
      <c r="Z1289" t="s">
        <v>7882</v>
      </c>
      <c r="AA1289">
        <v>0.2901351084998189</v>
      </c>
      <c r="AB1289">
        <f>HYPERLINK("Melting_Curves/meltCurve_P45800_yrfF.pdf", "Melting_Curves/meltCurve_P45800_yrfF.pdf")</f>
        <v>0</v>
      </c>
    </row>
    <row r="1290" spans="1:28">
      <c r="A1290" t="s">
        <v>1316</v>
      </c>
      <c r="B1290">
        <v>0.999984544473304</v>
      </c>
      <c r="C1290">
        <v>1.0397156754825</v>
      </c>
      <c r="D1290">
        <v>0.947626488548154</v>
      </c>
      <c r="E1290">
        <v>0.983800935616304</v>
      </c>
      <c r="F1290">
        <v>1.12527413846086</v>
      </c>
      <c r="G1290">
        <v>0.943403255751366</v>
      </c>
      <c r="H1290">
        <v>0.908357192389271</v>
      </c>
      <c r="I1290">
        <v>0.7074795005626749</v>
      </c>
      <c r="J1290">
        <v>0.367183686510611</v>
      </c>
      <c r="K1290">
        <v>0.275074948200734</v>
      </c>
      <c r="L1290">
        <v>1917.36122979835</v>
      </c>
      <c r="M1290">
        <v>31.0099738993526</v>
      </c>
      <c r="N1290">
        <v>62.8222119624897</v>
      </c>
      <c r="O1290">
        <v>61.5750516136867</v>
      </c>
      <c r="P1290">
        <v>-0.101535750191283</v>
      </c>
      <c r="Q1290">
        <v>0.193545578167484</v>
      </c>
      <c r="R1290">
        <v>0.966700293776513</v>
      </c>
      <c r="S1290" t="s">
        <v>2958</v>
      </c>
      <c r="T1290" t="s">
        <v>3312</v>
      </c>
      <c r="U1290" t="s">
        <v>3312</v>
      </c>
      <c r="V1290" t="s">
        <v>3312</v>
      </c>
      <c r="W1290" t="s">
        <v>4600</v>
      </c>
      <c r="X1290">
        <v>8</v>
      </c>
      <c r="Y1290" t="s">
        <v>6241</v>
      </c>
      <c r="Z1290" t="s">
        <v>7883</v>
      </c>
      <c r="AA1290">
        <v>0.8608587392104077</v>
      </c>
      <c r="AB1290">
        <f>HYPERLINK("Melting_Curves/meltCurve_P45955_cpoB.pdf", "Melting_Curves/meltCurve_P45955_cpoB.pdf")</f>
        <v>0</v>
      </c>
    </row>
    <row r="1291" spans="1:28">
      <c r="A1291" t="s">
        <v>1317</v>
      </c>
      <c r="B1291">
        <v>0.999984544473304</v>
      </c>
      <c r="C1291">
        <v>0.872810761901917</v>
      </c>
      <c r="D1291">
        <v>0.924250119396512</v>
      </c>
      <c r="E1291">
        <v>0.8782603391817571</v>
      </c>
      <c r="F1291">
        <v>1.07832467649514</v>
      </c>
      <c r="G1291">
        <v>0.834522645100405</v>
      </c>
      <c r="H1291">
        <v>0.776589729484375</v>
      </c>
      <c r="I1291">
        <v>0.74248460514161</v>
      </c>
      <c r="J1291">
        <v>0.641975840952985</v>
      </c>
      <c r="K1291">
        <v>0.5895437033766741</v>
      </c>
      <c r="L1291">
        <v>403.196431449142</v>
      </c>
      <c r="M1291">
        <v>5.64723927716078</v>
      </c>
      <c r="O1291">
        <v>63.9548852603293</v>
      </c>
      <c r="P1291">
        <v>-0.0221637081473966</v>
      </c>
      <c r="Q1291">
        <v>0</v>
      </c>
      <c r="R1291">
        <v>0.7583631558883011</v>
      </c>
      <c r="S1291" t="s">
        <v>2959</v>
      </c>
      <c r="T1291" t="s">
        <v>3312</v>
      </c>
      <c r="U1291" t="s">
        <v>3312</v>
      </c>
      <c r="V1291" t="s">
        <v>3312</v>
      </c>
      <c r="W1291" t="s">
        <v>4601</v>
      </c>
      <c r="X1291">
        <v>2</v>
      </c>
      <c r="Y1291" t="s">
        <v>6242</v>
      </c>
      <c r="Z1291" t="s">
        <v>7884</v>
      </c>
      <c r="AA1291">
        <v>0.8553072310335996</v>
      </c>
      <c r="AB1291">
        <f>HYPERLINK("Melting_Curves/meltCurve_P46122_yajI.pdf", "Melting_Curves/meltCurve_P46122_yajI.pdf")</f>
        <v>0</v>
      </c>
    </row>
    <row r="1292" spans="1:28">
      <c r="A1292" t="s">
        <v>1318</v>
      </c>
      <c r="B1292">
        <v>0.999984544473304</v>
      </c>
      <c r="C1292">
        <v>1.16366381302034</v>
      </c>
      <c r="D1292">
        <v>0.7417002518790941</v>
      </c>
      <c r="E1292">
        <v>0.6422902368512871</v>
      </c>
      <c r="F1292">
        <v>0.329345981283048</v>
      </c>
      <c r="G1292">
        <v>0.18548383594416</v>
      </c>
      <c r="H1292">
        <v>0.116450822565256</v>
      </c>
      <c r="I1292">
        <v>0.08336230487634461</v>
      </c>
      <c r="J1292">
        <v>0.0610941289434656</v>
      </c>
      <c r="K1292">
        <v>0.07578699383758609</v>
      </c>
      <c r="L1292">
        <v>797.361598781676</v>
      </c>
      <c r="M1292">
        <v>16.7758259638288</v>
      </c>
      <c r="N1292">
        <v>47.913181820453</v>
      </c>
      <c r="O1292">
        <v>46.8704122308216</v>
      </c>
      <c r="P1292">
        <v>-0.0838734546794543</v>
      </c>
      <c r="Q1292">
        <v>0.06271620924087599</v>
      </c>
      <c r="R1292">
        <v>0.963777813407996</v>
      </c>
      <c r="S1292" t="s">
        <v>2960</v>
      </c>
      <c r="T1292" t="s">
        <v>3312</v>
      </c>
      <c r="U1292" t="s">
        <v>3312</v>
      </c>
      <c r="V1292" t="s">
        <v>3312</v>
      </c>
      <c r="W1292" t="s">
        <v>4602</v>
      </c>
      <c r="X1292">
        <v>1</v>
      </c>
      <c r="Y1292" t="s">
        <v>6243</v>
      </c>
      <c r="Z1292" t="s">
        <v>7885</v>
      </c>
      <c r="AA1292">
        <v>0.4088077495791589</v>
      </c>
      <c r="AB1292">
        <f>HYPERLINK("Melting_Curves/meltCurve_P46125_yedI.pdf", "Melting_Curves/meltCurve_P46125_yedI.pdf")</f>
        <v>0</v>
      </c>
    </row>
    <row r="1293" spans="1:28">
      <c r="A1293" t="s">
        <v>1319</v>
      </c>
      <c r="B1293">
        <v>0.999984544473304</v>
      </c>
      <c r="C1293">
        <v>1.03834058986561</v>
      </c>
      <c r="D1293">
        <v>1.17564541824908</v>
      </c>
      <c r="E1293">
        <v>1.04934711287543</v>
      </c>
      <c r="F1293">
        <v>1.05988322085983</v>
      </c>
      <c r="G1293">
        <v>0.619864046498076</v>
      </c>
      <c r="H1293">
        <v>0.116521233742946</v>
      </c>
      <c r="I1293">
        <v>0.0448654844325888</v>
      </c>
      <c r="J1293">
        <v>0.0314242995593419</v>
      </c>
      <c r="K1293">
        <v>0.0335186585528327</v>
      </c>
      <c r="L1293">
        <v>2855.49044641733</v>
      </c>
      <c r="M1293">
        <v>52.6169709241161</v>
      </c>
      <c r="N1293">
        <v>54.359986323827</v>
      </c>
      <c r="O1293">
        <v>54.1911612797154</v>
      </c>
      <c r="P1293">
        <v>-0.232547571783583</v>
      </c>
      <c r="Q1293">
        <v>0.0419810254527062</v>
      </c>
      <c r="R1293">
        <v>0.982050664878478</v>
      </c>
      <c r="S1293" t="s">
        <v>2961</v>
      </c>
      <c r="T1293" t="s">
        <v>3312</v>
      </c>
      <c r="U1293" t="s">
        <v>3312</v>
      </c>
      <c r="V1293" t="s">
        <v>3312</v>
      </c>
      <c r="W1293" t="s">
        <v>4603</v>
      </c>
      <c r="X1293">
        <v>5</v>
      </c>
      <c r="Y1293" t="s">
        <v>6244</v>
      </c>
      <c r="Z1293" t="s">
        <v>7886</v>
      </c>
      <c r="AA1293">
        <v>0.5955282178108009</v>
      </c>
      <c r="AB1293">
        <f>HYPERLINK("Melting_Curves/meltCurve_P46130_ybhC.pdf", "Melting_Curves/meltCurve_P46130_ybhC.pdf")</f>
        <v>0</v>
      </c>
    </row>
    <row r="1294" spans="1:28">
      <c r="A1294" t="s">
        <v>1320</v>
      </c>
      <c r="B1294">
        <v>0.999984544473304</v>
      </c>
      <c r="C1294">
        <v>1.02894274009078</v>
      </c>
      <c r="D1294">
        <v>0.898425286703985</v>
      </c>
      <c r="E1294">
        <v>0.959970337885371</v>
      </c>
      <c r="F1294">
        <v>1.05065019636226</v>
      </c>
      <c r="G1294">
        <v>0.883049847493222</v>
      </c>
      <c r="H1294">
        <v>0.829501651194089</v>
      </c>
      <c r="I1294">
        <v>0.741134418570964</v>
      </c>
      <c r="J1294">
        <v>0.649046166917729</v>
      </c>
      <c r="K1294">
        <v>0.711391632494539</v>
      </c>
      <c r="L1294">
        <v>1267.09068929517</v>
      </c>
      <c r="M1294">
        <v>22.3761075540656</v>
      </c>
      <c r="O1294">
        <v>56.1804919199354</v>
      </c>
      <c r="P1294">
        <v>-0.0325783219923143</v>
      </c>
      <c r="Q1294">
        <v>0.672824617093318</v>
      </c>
      <c r="R1294">
        <v>0.8737596416623949</v>
      </c>
      <c r="S1294" t="s">
        <v>2962</v>
      </c>
      <c r="T1294" t="s">
        <v>3312</v>
      </c>
      <c r="U1294" t="s">
        <v>3312</v>
      </c>
      <c r="V1294" t="s">
        <v>3312</v>
      </c>
      <c r="W1294" t="s">
        <v>4604</v>
      </c>
      <c r="X1294">
        <v>1</v>
      </c>
      <c r="Y1294" t="s">
        <v>6245</v>
      </c>
      <c r="Z1294" t="s">
        <v>7887</v>
      </c>
      <c r="AA1294">
        <v>0.8897072347764364</v>
      </c>
      <c r="AB1294">
        <f>HYPERLINK("Melting_Curves/meltCurve_P46474_yhdP.pdf", "Melting_Curves/meltCurve_P46474_yhdP.pdf")</f>
        <v>0</v>
      </c>
    </row>
    <row r="1295" spans="1:28">
      <c r="A1295" t="s">
        <v>1321</v>
      </c>
      <c r="B1295">
        <v>0.999984544473304</v>
      </c>
      <c r="C1295">
        <v>1.17203801969245</v>
      </c>
      <c r="D1295">
        <v>0.722918137663634</v>
      </c>
      <c r="E1295">
        <v>0.24552531279336</v>
      </c>
      <c r="F1295">
        <v>0.185325071202115</v>
      </c>
      <c r="G1295">
        <v>0.144315176803567</v>
      </c>
      <c r="H1295">
        <v>0.124550661524747</v>
      </c>
      <c r="I1295">
        <v>0.101980062031908</v>
      </c>
      <c r="J1295">
        <v>0.08609433509690451</v>
      </c>
      <c r="K1295">
        <v>0.07113687756899779</v>
      </c>
      <c r="L1295">
        <v>1657.72547931396</v>
      </c>
      <c r="M1295">
        <v>37.5974747815475</v>
      </c>
      <c r="N1295">
        <v>44.4144011426253</v>
      </c>
      <c r="O1295">
        <v>43.9672131974833</v>
      </c>
      <c r="P1295">
        <v>-0.188210544042065</v>
      </c>
      <c r="Q1295">
        <v>0.119613937238482</v>
      </c>
      <c r="R1295">
        <v>0.971390772671649</v>
      </c>
      <c r="S1295" t="s">
        <v>2963</v>
      </c>
      <c r="T1295" t="s">
        <v>3312</v>
      </c>
      <c r="U1295" t="s">
        <v>3312</v>
      </c>
      <c r="V1295" t="s">
        <v>3312</v>
      </c>
      <c r="W1295" t="s">
        <v>4605</v>
      </c>
      <c r="X1295">
        <v>12</v>
      </c>
      <c r="Y1295" t="s">
        <v>6246</v>
      </c>
      <c r="Z1295" t="s">
        <v>7888</v>
      </c>
      <c r="AA1295">
        <v>0.3307782386896396</v>
      </c>
      <c r="AB1295">
        <f>HYPERLINK("Melting_Curves/meltCurve_P46837_yhgF.pdf", "Melting_Curves/meltCurve_P46837_yhgF.pdf")</f>
        <v>0</v>
      </c>
    </row>
    <row r="1296" spans="1:28">
      <c r="A1296" t="s">
        <v>1322</v>
      </c>
      <c r="B1296">
        <v>0.999984544473304</v>
      </c>
      <c r="C1296">
        <v>0.893637337678354</v>
      </c>
      <c r="D1296">
        <v>0.792688714256214</v>
      </c>
      <c r="E1296">
        <v>0.9098246120496351</v>
      </c>
      <c r="F1296">
        <v>0.819741669163741</v>
      </c>
      <c r="G1296">
        <v>0.668138867188015</v>
      </c>
      <c r="H1296">
        <v>0.519527521429012</v>
      </c>
      <c r="I1296">
        <v>0.368070717705326</v>
      </c>
      <c r="J1296">
        <v>0.173867971661935</v>
      </c>
      <c r="K1296">
        <v>0.320948714279025</v>
      </c>
      <c r="L1296">
        <v>472.923190779844</v>
      </c>
      <c r="M1296">
        <v>8.227898559878779</v>
      </c>
      <c r="N1296">
        <v>57.4780023961859</v>
      </c>
      <c r="O1296">
        <v>54.3824411917206</v>
      </c>
      <c r="P1296">
        <v>-0.0378627377253509</v>
      </c>
      <c r="Q1296">
        <v>0</v>
      </c>
      <c r="R1296">
        <v>0.921867533339468</v>
      </c>
      <c r="S1296" t="s">
        <v>2964</v>
      </c>
      <c r="T1296" t="s">
        <v>3312</v>
      </c>
      <c r="U1296" t="s">
        <v>3312</v>
      </c>
      <c r="V1296" t="s">
        <v>3312</v>
      </c>
      <c r="W1296" t="s">
        <v>4606</v>
      </c>
      <c r="X1296">
        <v>1</v>
      </c>
      <c r="Y1296" t="s">
        <v>6247</v>
      </c>
      <c r="Z1296" t="s">
        <v>7889</v>
      </c>
      <c r="AA1296">
        <v>0.6686114678809141</v>
      </c>
      <c r="AB1296">
        <f>HYPERLINK("Melting_Curves/meltCurve_P46849_rtcA.pdf", "Melting_Curves/meltCurve_P46849_rtcA.pdf")</f>
        <v>0</v>
      </c>
    </row>
    <row r="1297" spans="1:28">
      <c r="A1297" t="s">
        <v>1323</v>
      </c>
      <c r="B1297">
        <v>0.999984544473304</v>
      </c>
      <c r="C1297">
        <v>0.864585899104289</v>
      </c>
      <c r="D1297">
        <v>1.0359552385831</v>
      </c>
      <c r="E1297">
        <v>0.889481521739096</v>
      </c>
      <c r="F1297">
        <v>1.08504499386383</v>
      </c>
      <c r="G1297">
        <v>0.748317233148418</v>
      </c>
      <c r="H1297">
        <v>0.345213860945296</v>
      </c>
      <c r="I1297">
        <v>0.128973265497268</v>
      </c>
      <c r="J1297">
        <v>0.113140638414136</v>
      </c>
      <c r="K1297">
        <v>0.09422915040542271</v>
      </c>
      <c r="L1297">
        <v>1884.53935897342</v>
      </c>
      <c r="M1297">
        <v>33.9041957308113</v>
      </c>
      <c r="N1297">
        <v>55.9392947637826</v>
      </c>
      <c r="O1297">
        <v>55.3919453372212</v>
      </c>
      <c r="P1297">
        <v>-0.13820703661127</v>
      </c>
      <c r="Q1297">
        <v>0.096804896261224</v>
      </c>
      <c r="R1297">
        <v>0.970816724393159</v>
      </c>
      <c r="S1297" t="s">
        <v>2965</v>
      </c>
      <c r="T1297" t="s">
        <v>3312</v>
      </c>
      <c r="U1297" t="s">
        <v>3312</v>
      </c>
      <c r="V1297" t="s">
        <v>3312</v>
      </c>
      <c r="W1297" t="s">
        <v>4607</v>
      </c>
      <c r="X1297">
        <v>3</v>
      </c>
      <c r="Y1297" t="s">
        <v>6248</v>
      </c>
      <c r="Z1297" t="s">
        <v>7890</v>
      </c>
      <c r="AA1297">
        <v>0.6609207387767195</v>
      </c>
      <c r="AB1297">
        <f>HYPERLINK("Melting_Curves/meltCurve_P46852_yhhW.pdf", "Melting_Curves/meltCurve_P46852_yhhW.pdf")</f>
        <v>0</v>
      </c>
    </row>
    <row r="1298" spans="1:28">
      <c r="A1298" t="s">
        <v>1324</v>
      </c>
      <c r="B1298">
        <v>0.999984544473304</v>
      </c>
      <c r="C1298">
        <v>0.873823015420179</v>
      </c>
      <c r="D1298">
        <v>0.930259346606593</v>
      </c>
      <c r="E1298">
        <v>0.689252718887762</v>
      </c>
      <c r="F1298">
        <v>0.821451956988967</v>
      </c>
      <c r="G1298">
        <v>0.738132590796754</v>
      </c>
      <c r="H1298">
        <v>0.677828396459616</v>
      </c>
      <c r="I1298">
        <v>0.379210626257746</v>
      </c>
      <c r="J1298">
        <v>0.0478061502829749</v>
      </c>
      <c r="K1298">
        <v>0.0266002763193784</v>
      </c>
      <c r="L1298">
        <v>816.998839773666</v>
      </c>
      <c r="M1298">
        <v>14.141845788913</v>
      </c>
      <c r="N1298">
        <v>57.7717260804847</v>
      </c>
      <c r="O1298">
        <v>56.6533408076064</v>
      </c>
      <c r="P1298">
        <v>-0.0624131106459273</v>
      </c>
      <c r="Q1298">
        <v>0</v>
      </c>
      <c r="R1298">
        <v>0.853720431647263</v>
      </c>
      <c r="S1298" t="s">
        <v>2966</v>
      </c>
      <c r="T1298" t="s">
        <v>3312</v>
      </c>
      <c r="U1298" t="s">
        <v>3312</v>
      </c>
      <c r="V1298" t="s">
        <v>3312</v>
      </c>
      <c r="W1298" t="s">
        <v>4608</v>
      </c>
      <c r="X1298">
        <v>7</v>
      </c>
      <c r="Y1298" t="s">
        <v>6249</v>
      </c>
      <c r="Z1298" t="s">
        <v>7891</v>
      </c>
      <c r="AA1298">
        <v>0.6965362220519431</v>
      </c>
      <c r="AB1298">
        <f>HYPERLINK("Melting_Curves/meltCurve_P46853_yhhX.pdf", "Melting_Curves/meltCurve_P46853_yhhX.pdf")</f>
        <v>0</v>
      </c>
    </row>
    <row r="1299" spans="1:28">
      <c r="A1299" t="s">
        <v>1325</v>
      </c>
      <c r="B1299">
        <v>0.999984544473304</v>
      </c>
      <c r="C1299">
        <v>2.31273302747334</v>
      </c>
      <c r="D1299">
        <v>0.264217175875516</v>
      </c>
      <c r="E1299">
        <v>0.855583031287265</v>
      </c>
      <c r="F1299">
        <v>0.951313514311528</v>
      </c>
      <c r="G1299">
        <v>0.290764585978724</v>
      </c>
      <c r="H1299">
        <v>0.433184882412817</v>
      </c>
      <c r="I1299">
        <v>0.1677548252379</v>
      </c>
      <c r="J1299">
        <v>0.0684749314322472</v>
      </c>
      <c r="K1299">
        <v>0.0680212111573662</v>
      </c>
      <c r="L1299">
        <v>728.297843374359</v>
      </c>
      <c r="M1299">
        <v>13.5155989094791</v>
      </c>
      <c r="N1299">
        <v>53.8857402169565</v>
      </c>
      <c r="O1299">
        <v>52.747107172162</v>
      </c>
      <c r="P1299">
        <v>-0.0640682112452453</v>
      </c>
      <c r="Q1299">
        <v>0</v>
      </c>
      <c r="R1299">
        <v>0.446024829961636</v>
      </c>
      <c r="S1299" t="s">
        <v>2967</v>
      </c>
      <c r="T1299" t="s">
        <v>3312</v>
      </c>
      <c r="U1299" t="s">
        <v>3312</v>
      </c>
      <c r="V1299" t="s">
        <v>3312</v>
      </c>
      <c r="W1299" t="s">
        <v>4609</v>
      </c>
      <c r="X1299">
        <v>1</v>
      </c>
      <c r="Y1299" t="s">
        <v>6250</v>
      </c>
      <c r="Z1299" t="s">
        <v>7892</v>
      </c>
      <c r="AA1299">
        <v>0.5803825958024348</v>
      </c>
      <c r="AB1299">
        <f>HYPERLINK("Melting_Curves/meltCurve_P46923_torZ.pdf", "Melting_Curves/meltCurve_P46923_torZ.pdf")</f>
        <v>0</v>
      </c>
    </row>
    <row r="1300" spans="1:28">
      <c r="A1300" t="s">
        <v>1326</v>
      </c>
      <c r="B1300">
        <v>0.999984544473304</v>
      </c>
      <c r="C1300">
        <v>1.18672097148835</v>
      </c>
      <c r="D1300">
        <v>0.738451635906058</v>
      </c>
      <c r="E1300">
        <v>0.702568453115913</v>
      </c>
      <c r="F1300">
        <v>0.7100902772105701</v>
      </c>
      <c r="G1300">
        <v>0.665358135047422</v>
      </c>
      <c r="H1300">
        <v>0.521111054792104</v>
      </c>
      <c r="I1300">
        <v>0.484610883334249</v>
      </c>
      <c r="J1300">
        <v>0.226636346701383</v>
      </c>
      <c r="K1300">
        <v>0.339441247440211</v>
      </c>
      <c r="L1300">
        <v>350.105078061256</v>
      </c>
      <c r="M1300">
        <v>6.07895067937708</v>
      </c>
      <c r="N1300">
        <v>57.593012481354</v>
      </c>
      <c r="O1300">
        <v>52.2920868349118</v>
      </c>
      <c r="P1300">
        <v>-0.0291522997862452</v>
      </c>
      <c r="Q1300">
        <v>0</v>
      </c>
      <c r="R1300">
        <v>0.835698340831746</v>
      </c>
      <c r="S1300" t="s">
        <v>2968</v>
      </c>
      <c r="T1300" t="s">
        <v>3312</v>
      </c>
      <c r="U1300" t="s">
        <v>3312</v>
      </c>
      <c r="V1300" t="s">
        <v>3312</v>
      </c>
      <c r="W1300" t="s">
        <v>4610</v>
      </c>
      <c r="X1300">
        <v>2</v>
      </c>
      <c r="Y1300" t="s">
        <v>6251</v>
      </c>
      <c r="Z1300" t="s">
        <v>7893</v>
      </c>
      <c r="AA1300">
        <v>0.6510548083009361</v>
      </c>
      <c r="AB1300">
        <f>HYPERLINK("Melting_Curves/meltCurve_P50466_aer.pdf", "Melting_Curves/meltCurve_P50466_aer.pdf")</f>
        <v>0</v>
      </c>
    </row>
    <row r="1301" spans="1:28">
      <c r="A1301" t="s">
        <v>1327</v>
      </c>
      <c r="B1301">
        <v>0.999984544473304</v>
      </c>
      <c r="C1301">
        <v>0.90646338503349</v>
      </c>
      <c r="D1301">
        <v>1.05620531869623</v>
      </c>
      <c r="E1301">
        <v>1.10180984528513</v>
      </c>
      <c r="F1301">
        <v>1.15432725266513</v>
      </c>
      <c r="G1301">
        <v>0.979125376283615</v>
      </c>
      <c r="H1301">
        <v>0.943909541598277</v>
      </c>
      <c r="I1301">
        <v>0.828176559984899</v>
      </c>
      <c r="J1301">
        <v>0.567105355232851</v>
      </c>
      <c r="K1301">
        <v>0.616421999653013</v>
      </c>
      <c r="L1301">
        <v>15000</v>
      </c>
      <c r="M1301">
        <v>245.582530134493</v>
      </c>
      <c r="O1301">
        <v>61.0752127021431</v>
      </c>
      <c r="P1301">
        <v>-0.410379670776478</v>
      </c>
      <c r="Q1301">
        <v>0.591762074782709</v>
      </c>
      <c r="R1301">
        <v>0.851235655090252</v>
      </c>
      <c r="S1301" t="s">
        <v>2969</v>
      </c>
      <c r="T1301" t="s">
        <v>3312</v>
      </c>
      <c r="U1301" t="s">
        <v>3312</v>
      </c>
      <c r="V1301" t="s">
        <v>3312</v>
      </c>
      <c r="W1301" t="s">
        <v>4611</v>
      </c>
      <c r="X1301">
        <v>3</v>
      </c>
      <c r="Y1301" t="s">
        <v>6252</v>
      </c>
      <c r="Z1301" t="s">
        <v>7894</v>
      </c>
      <c r="AA1301">
        <v>0.9194763724847779</v>
      </c>
      <c r="AB1301">
        <f>HYPERLINK("Melting_Curves/meltCurve_P51024_yaiL.pdf", "Melting_Curves/meltCurve_P51024_yaiL.pdf")</f>
        <v>0</v>
      </c>
    </row>
    <row r="1302" spans="1:28">
      <c r="A1302" t="s">
        <v>1328</v>
      </c>
      <c r="B1302">
        <v>0.999984544473304</v>
      </c>
      <c r="C1302">
        <v>0.907930177003005</v>
      </c>
      <c r="D1302">
        <v>0.781655869327926</v>
      </c>
      <c r="E1302">
        <v>0.611649498132424</v>
      </c>
      <c r="F1302">
        <v>0.29143465598245</v>
      </c>
      <c r="G1302">
        <v>0.0961184434788163</v>
      </c>
      <c r="H1302">
        <v>0.0621068896540938</v>
      </c>
      <c r="I1302">
        <v>0.0385069135007316</v>
      </c>
      <c r="J1302">
        <v>0.030992967088307</v>
      </c>
      <c r="K1302">
        <v>0.0297795457655664</v>
      </c>
      <c r="L1302">
        <v>711.013478404202</v>
      </c>
      <c r="M1302">
        <v>15.0298034327341</v>
      </c>
      <c r="N1302">
        <v>47.3132414566077</v>
      </c>
      <c r="O1302">
        <v>46.4931360621345</v>
      </c>
      <c r="P1302">
        <v>-0.0807440857734967</v>
      </c>
      <c r="Q1302">
        <v>0.00100637352740835</v>
      </c>
      <c r="R1302">
        <v>0.994245791691975</v>
      </c>
      <c r="S1302" t="s">
        <v>2970</v>
      </c>
      <c r="T1302" t="s">
        <v>3312</v>
      </c>
      <c r="U1302" t="s">
        <v>3312</v>
      </c>
      <c r="V1302" t="s">
        <v>3312</v>
      </c>
      <c r="W1302" t="s">
        <v>4612</v>
      </c>
      <c r="X1302">
        <v>2</v>
      </c>
      <c r="Y1302" t="s">
        <v>6253</v>
      </c>
      <c r="Z1302" t="s">
        <v>7895</v>
      </c>
      <c r="AA1302">
        <v>0.3664841279085459</v>
      </c>
      <c r="AB1302">
        <f>HYPERLINK("Melting_Curves/meltCurve_P51981_ycjG.pdf", "Melting_Curves/meltCurve_P51981_ycjG.pdf")</f>
        <v>0</v>
      </c>
    </row>
    <row r="1303" spans="1:28">
      <c r="A1303" t="s">
        <v>1329</v>
      </c>
      <c r="B1303">
        <v>0.999984544473304</v>
      </c>
      <c r="C1303">
        <v>0.99179168892304</v>
      </c>
      <c r="D1303">
        <v>0.981857787933495</v>
      </c>
      <c r="E1303">
        <v>1.00852575627967</v>
      </c>
      <c r="F1303">
        <v>1.10312491247539</v>
      </c>
      <c r="G1303">
        <v>0.7110953142909749</v>
      </c>
      <c r="H1303">
        <v>0.46994421489556</v>
      </c>
      <c r="I1303">
        <v>0.390078619525965</v>
      </c>
      <c r="J1303">
        <v>0.268185811082486</v>
      </c>
      <c r="K1303">
        <v>0.347487397079941</v>
      </c>
      <c r="L1303">
        <v>2009.4861511066</v>
      </c>
      <c r="M1303">
        <v>36.8205150855107</v>
      </c>
      <c r="N1303">
        <v>56.2900532411608</v>
      </c>
      <c r="O1303">
        <v>54.4149575411146</v>
      </c>
      <c r="P1303">
        <v>-0.112133043031735</v>
      </c>
      <c r="Q1303">
        <v>0.337141704640729</v>
      </c>
      <c r="R1303">
        <v>0.97164348731576</v>
      </c>
      <c r="S1303" t="s">
        <v>2971</v>
      </c>
      <c r="T1303" t="s">
        <v>3312</v>
      </c>
      <c r="U1303" t="s">
        <v>3312</v>
      </c>
      <c r="V1303" t="s">
        <v>3312</v>
      </c>
      <c r="W1303" t="s">
        <v>4613</v>
      </c>
      <c r="X1303">
        <v>2</v>
      </c>
      <c r="Y1303" t="s">
        <v>6254</v>
      </c>
      <c r="Z1303" t="s">
        <v>7896</v>
      </c>
      <c r="AA1303">
        <v>0.7283693877338698</v>
      </c>
      <c r="AB1303">
        <f>HYPERLINK("Melting_Curves/meltCurve_P52007_yecM.pdf", "Melting_Curves/meltCurve_P52007_yecM.pdf")</f>
        <v>0</v>
      </c>
    </row>
    <row r="1304" spans="1:28">
      <c r="A1304" t="s">
        <v>1330</v>
      </c>
      <c r="B1304">
        <v>0.999984544473304</v>
      </c>
      <c r="C1304">
        <v>1.00544081842763</v>
      </c>
      <c r="D1304">
        <v>0.787927142870716</v>
      </c>
      <c r="E1304">
        <v>0.810571159392779</v>
      </c>
      <c r="F1304">
        <v>0.49178352053878</v>
      </c>
      <c r="G1304">
        <v>0.25911388008677</v>
      </c>
      <c r="H1304">
        <v>0.154986620952457</v>
      </c>
      <c r="I1304">
        <v>0.126933517436144</v>
      </c>
      <c r="J1304">
        <v>0.0833407670635259</v>
      </c>
      <c r="K1304">
        <v>0.121247860027472</v>
      </c>
      <c r="L1304">
        <v>742.370229314089</v>
      </c>
      <c r="M1304">
        <v>14.992478112028</v>
      </c>
      <c r="N1304">
        <v>50.008840574706</v>
      </c>
      <c r="O1304">
        <v>48.6602814864302</v>
      </c>
      <c r="P1304">
        <v>-0.071745341074215</v>
      </c>
      <c r="Q1304">
        <v>0.0686542717871257</v>
      </c>
      <c r="R1304">
        <v>0.981508915716946</v>
      </c>
      <c r="S1304" t="s">
        <v>2972</v>
      </c>
      <c r="T1304" t="s">
        <v>3312</v>
      </c>
      <c r="U1304" t="s">
        <v>3312</v>
      </c>
      <c r="V1304" t="s">
        <v>3312</v>
      </c>
      <c r="W1304" t="s">
        <v>4614</v>
      </c>
      <c r="X1304">
        <v>2</v>
      </c>
      <c r="Y1304" t="s">
        <v>6255</v>
      </c>
      <c r="Z1304" t="s">
        <v>7897</v>
      </c>
      <c r="AA1304">
        <v>0.4769898335373489</v>
      </c>
      <c r="AB1304">
        <f>HYPERLINK("Melting_Curves/meltCurve_P52061_rdgB.pdf", "Melting_Curves/meltCurve_P52061_rdgB.pdf")</f>
        <v>0</v>
      </c>
    </row>
    <row r="1305" spans="1:28">
      <c r="A1305" t="s">
        <v>1331</v>
      </c>
      <c r="B1305">
        <v>0.999984544473304</v>
      </c>
      <c r="C1305">
        <v>0.827676255380794</v>
      </c>
      <c r="D1305">
        <v>0.808746745837302</v>
      </c>
      <c r="E1305">
        <v>0.957384692239586</v>
      </c>
      <c r="F1305">
        <v>0.884689526576799</v>
      </c>
      <c r="G1305">
        <v>0.791561704027947</v>
      </c>
      <c r="H1305">
        <v>0.5666996310518529</v>
      </c>
      <c r="I1305">
        <v>0.477143463077156</v>
      </c>
      <c r="J1305">
        <v>0.207227063400072</v>
      </c>
      <c r="K1305">
        <v>0.381856002732897</v>
      </c>
      <c r="S1305" t="s">
        <v>2973</v>
      </c>
      <c r="T1305" t="s">
        <v>3312</v>
      </c>
      <c r="U1305" t="s">
        <v>3313</v>
      </c>
      <c r="V1305" t="s">
        <v>3312</v>
      </c>
      <c r="W1305" t="s">
        <v>4615</v>
      </c>
      <c r="X1305">
        <v>1</v>
      </c>
      <c r="Y1305" t="s">
        <v>6256</v>
      </c>
      <c r="Z1305" t="s">
        <v>7898</v>
      </c>
      <c r="AB1305">
        <f>HYPERLINK("Melting_Curves/meltCurve_P52073_glcE.pdf", "Melting_Curves/meltCurve_P52073_glcE.pdf")</f>
        <v>0</v>
      </c>
    </row>
    <row r="1306" spans="1:28">
      <c r="A1306" t="s">
        <v>1332</v>
      </c>
      <c r="B1306">
        <v>0.999984544473304</v>
      </c>
      <c r="C1306">
        <v>0.963854401169862</v>
      </c>
      <c r="D1306">
        <v>1.0346196835038</v>
      </c>
      <c r="E1306">
        <v>0.9692948354259719</v>
      </c>
      <c r="F1306">
        <v>0.881839754715371</v>
      </c>
      <c r="G1306">
        <v>0.634632126289307</v>
      </c>
      <c r="H1306">
        <v>0.383267375408218</v>
      </c>
      <c r="I1306">
        <v>0.329122184488618</v>
      </c>
      <c r="J1306">
        <v>0.129830446243524</v>
      </c>
      <c r="K1306">
        <v>0.181756535334759</v>
      </c>
      <c r="L1306">
        <v>1003.8815095245</v>
      </c>
      <c r="M1306">
        <v>18.2928663822179</v>
      </c>
      <c r="N1306">
        <v>55.8553777943988</v>
      </c>
      <c r="O1306">
        <v>54.2350920086768</v>
      </c>
      <c r="P1306">
        <v>-0.07277976499497101</v>
      </c>
      <c r="Q1306">
        <v>0.136923779659967</v>
      </c>
      <c r="R1306">
        <v>0.988668507390876</v>
      </c>
      <c r="S1306" t="s">
        <v>2974</v>
      </c>
      <c r="T1306" t="s">
        <v>3312</v>
      </c>
      <c r="U1306" t="s">
        <v>3312</v>
      </c>
      <c r="V1306" t="s">
        <v>3312</v>
      </c>
      <c r="W1306" t="s">
        <v>4616</v>
      </c>
      <c r="X1306">
        <v>1</v>
      </c>
      <c r="Y1306" t="s">
        <v>6257</v>
      </c>
      <c r="Z1306" t="s">
        <v>7899</v>
      </c>
      <c r="AA1306">
        <v>0.6620943256790083</v>
      </c>
      <c r="AB1306">
        <f>HYPERLINK("Melting_Curves/meltCurve_P52096_yaeR.pdf", "Melting_Curves/meltCurve_P52096_yaeR.pdf")</f>
        <v>0</v>
      </c>
    </row>
    <row r="1307" spans="1:28">
      <c r="A1307" t="s">
        <v>1333</v>
      </c>
      <c r="B1307">
        <v>0.999984544473304</v>
      </c>
      <c r="C1307">
        <v>0.7714528839411841</v>
      </c>
      <c r="D1307">
        <v>0.747216644116358</v>
      </c>
      <c r="E1307">
        <v>0.401636358623903</v>
      </c>
      <c r="F1307">
        <v>0.168310931084947</v>
      </c>
      <c r="G1307">
        <v>0.101116201439467</v>
      </c>
      <c r="H1307">
        <v>0.07668730177134089</v>
      </c>
      <c r="I1307">
        <v>0.0560637589317788</v>
      </c>
      <c r="J1307">
        <v>0.0397392693754221</v>
      </c>
      <c r="K1307">
        <v>0.0445022167271169</v>
      </c>
      <c r="L1307">
        <v>665.100808546447</v>
      </c>
      <c r="M1307">
        <v>14.7569045272677</v>
      </c>
      <c r="N1307">
        <v>45.2479989449534</v>
      </c>
      <c r="O1307">
        <v>44.2670963794543</v>
      </c>
      <c r="P1307">
        <v>-0.0810049538592872</v>
      </c>
      <c r="Q1307">
        <v>0.0281246528147034</v>
      </c>
      <c r="R1307">
        <v>0.9848690050418319</v>
      </c>
      <c r="S1307" t="s">
        <v>2975</v>
      </c>
      <c r="T1307" t="s">
        <v>3312</v>
      </c>
      <c r="U1307" t="s">
        <v>3312</v>
      </c>
      <c r="V1307" t="s">
        <v>3312</v>
      </c>
      <c r="W1307" t="s">
        <v>4617</v>
      </c>
      <c r="X1307">
        <v>6</v>
      </c>
      <c r="Y1307" t="s">
        <v>6258</v>
      </c>
      <c r="Z1307" t="s">
        <v>7900</v>
      </c>
      <c r="AA1307">
        <v>0.3133927554347504</v>
      </c>
      <c r="AB1307">
        <f>HYPERLINK("Melting_Curves/meltCurve_P52108_rstA.pdf", "Melting_Curves/meltCurve_P52108_rstA.pdf")</f>
        <v>0</v>
      </c>
    </row>
    <row r="1308" spans="1:28">
      <c r="A1308" t="s">
        <v>1334</v>
      </c>
      <c r="B1308">
        <v>0.999984544473304</v>
      </c>
      <c r="C1308">
        <v>1.17144221549133</v>
      </c>
      <c r="D1308">
        <v>1.06151016055475</v>
      </c>
      <c r="E1308">
        <v>1.15184815871473</v>
      </c>
      <c r="F1308">
        <v>1.1871669522617</v>
      </c>
      <c r="G1308">
        <v>1.08871380076827</v>
      </c>
      <c r="H1308">
        <v>1.0488072596343</v>
      </c>
      <c r="I1308">
        <v>1.13953496190119</v>
      </c>
      <c r="J1308">
        <v>0.863551787340054</v>
      </c>
      <c r="K1308">
        <v>0.98324560303606</v>
      </c>
      <c r="L1308">
        <v>1771.15479050136</v>
      </c>
      <c r="M1308">
        <v>27.0209763086618</v>
      </c>
      <c r="O1308">
        <v>65.1915338614381</v>
      </c>
      <c r="P1308">
        <v>-0.00751644707341134</v>
      </c>
      <c r="Q1308">
        <v>0.927463171237092</v>
      </c>
      <c r="R1308">
        <v>-0.495871573068545</v>
      </c>
      <c r="S1308" t="s">
        <v>2976</v>
      </c>
      <c r="T1308" t="s">
        <v>3312</v>
      </c>
      <c r="U1308" t="s">
        <v>3312</v>
      </c>
      <c r="V1308" t="s">
        <v>3312</v>
      </c>
      <c r="W1308" t="s">
        <v>4618</v>
      </c>
      <c r="X1308">
        <v>1</v>
      </c>
      <c r="Y1308" t="s">
        <v>6259</v>
      </c>
      <c r="Z1308" t="s">
        <v>7901</v>
      </c>
      <c r="AA1308">
        <v>0.9942422316295091</v>
      </c>
      <c r="AB1308">
        <f>HYPERLINK("Melting_Curves/meltCurve_P52119_ratB.pdf", "Melting_Curves/meltCurve_P52119_ratB.pdf")</f>
        <v>0</v>
      </c>
    </row>
    <row r="1309" spans="1:28">
      <c r="A1309" t="s">
        <v>1335</v>
      </c>
      <c r="B1309">
        <v>0.999984544473304</v>
      </c>
      <c r="C1309">
        <v>1.23238583645331</v>
      </c>
      <c r="D1309">
        <v>0.711469325664121</v>
      </c>
      <c r="E1309">
        <v>0.851672364231895</v>
      </c>
      <c r="F1309">
        <v>0.692821556785409</v>
      </c>
      <c r="G1309">
        <v>0.449113875401561</v>
      </c>
      <c r="H1309">
        <v>0.348767969299139</v>
      </c>
      <c r="I1309">
        <v>0.392083308757574</v>
      </c>
      <c r="J1309">
        <v>0.282729429748279</v>
      </c>
      <c r="K1309">
        <v>0.345962122175714</v>
      </c>
      <c r="L1309">
        <v>693.2257247313451</v>
      </c>
      <c r="M1309">
        <v>13.8605180704009</v>
      </c>
      <c r="N1309">
        <v>53.3749809891443</v>
      </c>
      <c r="O1309">
        <v>49.0078187568043</v>
      </c>
      <c r="P1309">
        <v>-0.0501312322850793</v>
      </c>
      <c r="Q1309">
        <v>0.291084417924041</v>
      </c>
      <c r="R1309">
        <v>0.8641933870162311</v>
      </c>
      <c r="S1309" t="s">
        <v>2977</v>
      </c>
      <c r="T1309" t="s">
        <v>3312</v>
      </c>
      <c r="U1309" t="s">
        <v>3312</v>
      </c>
      <c r="V1309" t="s">
        <v>3312</v>
      </c>
      <c r="W1309" t="s">
        <v>4619</v>
      </c>
      <c r="X1309">
        <v>1</v>
      </c>
      <c r="Y1309" t="s">
        <v>6260</v>
      </c>
      <c r="Z1309" t="s">
        <v>7902</v>
      </c>
      <c r="AA1309">
        <v>0.615160790815891</v>
      </c>
      <c r="AB1309">
        <f>HYPERLINK("Melting_Curves/meltCurve_P52612_fliI.pdf", "Melting_Curves/meltCurve_P52612_fliI.pdf")</f>
        <v>0</v>
      </c>
    </row>
    <row r="1310" spans="1:28">
      <c r="A1310" t="s">
        <v>1336</v>
      </c>
      <c r="B1310">
        <v>0.999984544473304</v>
      </c>
      <c r="C1310">
        <v>0.866615425667883</v>
      </c>
      <c r="D1310">
        <v>1.07186270759456</v>
      </c>
      <c r="E1310">
        <v>0.8633469253384</v>
      </c>
      <c r="F1310">
        <v>1.06417110630249</v>
      </c>
      <c r="G1310">
        <v>0.905261192262207</v>
      </c>
      <c r="H1310">
        <v>0.551172205269582</v>
      </c>
      <c r="I1310">
        <v>0.255427130665207</v>
      </c>
      <c r="J1310">
        <v>0.0671159061036737</v>
      </c>
      <c r="K1310">
        <v>0.0323461878457526</v>
      </c>
      <c r="L1310">
        <v>1546.7249206504</v>
      </c>
      <c r="M1310">
        <v>26.6423611538563</v>
      </c>
      <c r="N1310">
        <v>58.0886536895327</v>
      </c>
      <c r="O1310">
        <v>57.7309823107029</v>
      </c>
      <c r="P1310">
        <v>-0.114493100734149</v>
      </c>
      <c r="Q1310">
        <v>0.0076359698623659</v>
      </c>
      <c r="R1310">
        <v>0.967101798446979</v>
      </c>
      <c r="S1310" t="s">
        <v>2978</v>
      </c>
      <c r="T1310" t="s">
        <v>3312</v>
      </c>
      <c r="U1310" t="s">
        <v>3312</v>
      </c>
      <c r="V1310" t="s">
        <v>3312</v>
      </c>
      <c r="W1310" t="s">
        <v>3388</v>
      </c>
      <c r="X1310">
        <v>9</v>
      </c>
      <c r="Y1310" t="s">
        <v>6261</v>
      </c>
      <c r="Z1310" t="s">
        <v>7903</v>
      </c>
      <c r="AA1310">
        <v>0.7102221090404019</v>
      </c>
      <c r="AB1310">
        <f>HYPERLINK("Melting_Curves/meltCurve_P52643_ldhA.pdf", "Melting_Curves/meltCurve_P52643_ldhA.pdf")</f>
        <v>0</v>
      </c>
    </row>
    <row r="1311" spans="1:28">
      <c r="A1311" t="s">
        <v>1337</v>
      </c>
      <c r="B1311">
        <v>0.999984544473304</v>
      </c>
      <c r="C1311">
        <v>1.10728566527467</v>
      </c>
      <c r="D1311">
        <v>0.413626447312628</v>
      </c>
      <c r="E1311">
        <v>0.224098572952251</v>
      </c>
      <c r="F1311">
        <v>0.08982743419614229</v>
      </c>
      <c r="G1311">
        <v>0.0585078467051017</v>
      </c>
      <c r="H1311">
        <v>0.0405632990298111</v>
      </c>
      <c r="I1311">
        <v>0.0322637964304112</v>
      </c>
      <c r="J1311">
        <v>0.0232120673455281</v>
      </c>
      <c r="K1311">
        <v>0.0262517910864856</v>
      </c>
      <c r="L1311">
        <v>10726.9361758417</v>
      </c>
      <c r="M1311">
        <v>250</v>
      </c>
      <c r="N1311">
        <v>42.9339171408849</v>
      </c>
      <c r="O1311">
        <v>42.9049950512636</v>
      </c>
      <c r="P1311">
        <v>-1.35375401095414</v>
      </c>
      <c r="Q1311">
        <v>0.0706749715253143</v>
      </c>
      <c r="R1311">
        <v>0.972851132248839</v>
      </c>
      <c r="S1311" t="s">
        <v>2979</v>
      </c>
      <c r="T1311" t="s">
        <v>3312</v>
      </c>
      <c r="U1311" t="s">
        <v>3312</v>
      </c>
      <c r="V1311" t="s">
        <v>3312</v>
      </c>
      <c r="W1311" t="s">
        <v>4620</v>
      </c>
      <c r="X1311">
        <v>7</v>
      </c>
      <c r="Y1311" t="s">
        <v>6262</v>
      </c>
      <c r="Z1311" t="s">
        <v>7904</v>
      </c>
      <c r="AA1311">
        <v>0.2537521191087107</v>
      </c>
      <c r="AB1311">
        <f>HYPERLINK("Melting_Curves/meltCurve_P52647_ydbK.pdf", "Melting_Curves/meltCurve_P52647_ydbK.pdf")</f>
        <v>0</v>
      </c>
    </row>
    <row r="1312" spans="1:28">
      <c r="A1312" t="s">
        <v>1338</v>
      </c>
      <c r="B1312">
        <v>0.999984544473304</v>
      </c>
      <c r="C1312">
        <v>0.960993647834377</v>
      </c>
      <c r="D1312">
        <v>1.03825225066777</v>
      </c>
      <c r="E1312">
        <v>0.985142356601532</v>
      </c>
      <c r="F1312">
        <v>1.08921687021882</v>
      </c>
      <c r="G1312">
        <v>0.900174807519446</v>
      </c>
      <c r="H1312">
        <v>0.5959044989647519</v>
      </c>
      <c r="I1312">
        <v>0.438902341400847</v>
      </c>
      <c r="J1312">
        <v>0.353716465696695</v>
      </c>
      <c r="K1312">
        <v>0.367959901486234</v>
      </c>
      <c r="L1312">
        <v>1993.48875722044</v>
      </c>
      <c r="M1312">
        <v>35.2526865032781</v>
      </c>
      <c r="N1312">
        <v>58.7406114094048</v>
      </c>
      <c r="O1312">
        <v>56.3675226206712</v>
      </c>
      <c r="P1312">
        <v>-0.0991532291653435</v>
      </c>
      <c r="Q1312">
        <v>0.365835257352662</v>
      </c>
      <c r="R1312">
        <v>0.982640987274561</v>
      </c>
      <c r="S1312" t="s">
        <v>2980</v>
      </c>
      <c r="T1312" t="s">
        <v>3312</v>
      </c>
      <c r="U1312" t="s">
        <v>3312</v>
      </c>
      <c r="V1312" t="s">
        <v>3312</v>
      </c>
      <c r="W1312" t="s">
        <v>4621</v>
      </c>
      <c r="X1312">
        <v>8</v>
      </c>
      <c r="Y1312" t="s">
        <v>6263</v>
      </c>
      <c r="Z1312" t="s">
        <v>7905</v>
      </c>
      <c r="AA1312">
        <v>0.7820605322874581</v>
      </c>
      <c r="AB1312">
        <f>HYPERLINK("Melting_Curves/meltCurve_P52697_pgl.pdf", "Melting_Curves/meltCurve_P52697_pgl.pdf")</f>
        <v>0</v>
      </c>
    </row>
    <row r="1313" spans="1:28">
      <c r="A1313" t="s">
        <v>1339</v>
      </c>
      <c r="B1313">
        <v>0.999984544473304</v>
      </c>
      <c r="C1313">
        <v>1.12214932253766</v>
      </c>
      <c r="D1313">
        <v>0.845857438911227</v>
      </c>
      <c r="E1313">
        <v>0.95069989574125</v>
      </c>
      <c r="F1313">
        <v>0.865663900650255</v>
      </c>
      <c r="G1313">
        <v>0.699062372164152</v>
      </c>
      <c r="H1313">
        <v>0.459540197166171</v>
      </c>
      <c r="I1313">
        <v>0.299594138567466</v>
      </c>
      <c r="J1313">
        <v>0.158086875677235</v>
      </c>
      <c r="K1313">
        <v>0.152451260491381</v>
      </c>
      <c r="L1313">
        <v>775.153793926443</v>
      </c>
      <c r="M1313">
        <v>13.6753755669428</v>
      </c>
      <c r="N1313">
        <v>56.8774587412266</v>
      </c>
      <c r="O1313">
        <v>55.5116034508263</v>
      </c>
      <c r="P1313">
        <v>-0.0601861245982886</v>
      </c>
      <c r="Q1313">
        <v>0.0229023534424066</v>
      </c>
      <c r="R1313">
        <v>0.967728913554123</v>
      </c>
      <c r="S1313" t="s">
        <v>2981</v>
      </c>
      <c r="T1313" t="s">
        <v>3312</v>
      </c>
      <c r="U1313" t="s">
        <v>3312</v>
      </c>
      <c r="V1313" t="s">
        <v>3312</v>
      </c>
      <c r="W1313" t="s">
        <v>4622</v>
      </c>
      <c r="X1313">
        <v>2</v>
      </c>
      <c r="Y1313" t="s">
        <v>6264</v>
      </c>
      <c r="Z1313" t="s">
        <v>7906</v>
      </c>
      <c r="AA1313">
        <v>0.6722317940521921</v>
      </c>
      <c r="AB1313">
        <f>HYPERLINK("Melting_Curves/meltCurve_P55734_ygaP.pdf", "Melting_Curves/meltCurve_P55734_ygaP.pdf")</f>
        <v>0</v>
      </c>
    </row>
    <row r="1314" spans="1:28">
      <c r="A1314" t="s">
        <v>1340</v>
      </c>
      <c r="B1314">
        <v>0.999984544473304</v>
      </c>
      <c r="C1314">
        <v>0.944971241533994</v>
      </c>
      <c r="D1314">
        <v>1.01670136749582</v>
      </c>
      <c r="E1314">
        <v>0.99128234621569</v>
      </c>
      <c r="F1314">
        <v>1.12173849463161</v>
      </c>
      <c r="G1314">
        <v>0.919696482219434</v>
      </c>
      <c r="H1314">
        <v>0.592203662347637</v>
      </c>
      <c r="I1314">
        <v>0.258068296304209</v>
      </c>
      <c r="J1314">
        <v>0.152824770527362</v>
      </c>
      <c r="K1314">
        <v>0.127363038277367</v>
      </c>
      <c r="L1314">
        <v>1944.0293963118</v>
      </c>
      <c r="M1314">
        <v>33.7065081072019</v>
      </c>
      <c r="N1314">
        <v>58.1750082673755</v>
      </c>
      <c r="O1314">
        <v>57.4733204463187</v>
      </c>
      <c r="P1314">
        <v>-0.128186088619854</v>
      </c>
      <c r="Q1314">
        <v>0.12571782939242</v>
      </c>
      <c r="R1314">
        <v>0.985691459698013</v>
      </c>
      <c r="S1314" t="s">
        <v>2982</v>
      </c>
      <c r="T1314" t="s">
        <v>3312</v>
      </c>
      <c r="U1314" t="s">
        <v>3312</v>
      </c>
      <c r="V1314" t="s">
        <v>3312</v>
      </c>
      <c r="W1314" t="s">
        <v>4623</v>
      </c>
      <c r="X1314">
        <v>2</v>
      </c>
      <c r="Y1314" t="s">
        <v>6265</v>
      </c>
      <c r="Z1314" t="s">
        <v>7907</v>
      </c>
      <c r="AA1314">
        <v>0.7325153342788824</v>
      </c>
      <c r="AB1314">
        <f>HYPERLINK("Melting_Curves/meltCurve_P56262_ysgA.pdf", "Melting_Curves/meltCurve_P56262_ysgA.pdf")</f>
        <v>0</v>
      </c>
    </row>
    <row r="1315" spans="1:28">
      <c r="A1315" t="s">
        <v>1341</v>
      </c>
      <c r="B1315">
        <v>0.999984544473304</v>
      </c>
      <c r="C1315">
        <v>0.897403371009156</v>
      </c>
      <c r="D1315">
        <v>0.620707782289791</v>
      </c>
      <c r="E1315">
        <v>0.5646385846949959</v>
      </c>
      <c r="F1315">
        <v>0.597298166256473</v>
      </c>
      <c r="G1315">
        <v>0.346034091482005</v>
      </c>
      <c r="H1315">
        <v>0.269404375410661</v>
      </c>
      <c r="I1315">
        <v>0.219988705459698</v>
      </c>
      <c r="J1315">
        <v>0.125483138056419</v>
      </c>
      <c r="K1315">
        <v>0.144839960871398</v>
      </c>
      <c r="L1315">
        <v>352.411219030249</v>
      </c>
      <c r="M1315">
        <v>7.11165183488953</v>
      </c>
      <c r="N1315">
        <v>49.5540582865446</v>
      </c>
      <c r="O1315">
        <v>46.0839203508715</v>
      </c>
      <c r="P1315">
        <v>-0.0386473888843463</v>
      </c>
      <c r="Q1315">
        <v>0</v>
      </c>
      <c r="R1315">
        <v>0.948500131701816</v>
      </c>
      <c r="S1315" t="s">
        <v>2983</v>
      </c>
      <c r="T1315" t="s">
        <v>3312</v>
      </c>
      <c r="U1315" t="s">
        <v>3312</v>
      </c>
      <c r="V1315" t="s">
        <v>3312</v>
      </c>
      <c r="W1315" t="s">
        <v>4624</v>
      </c>
      <c r="X1315">
        <v>1</v>
      </c>
      <c r="Y1315" t="s">
        <v>6266</v>
      </c>
      <c r="Z1315" t="s">
        <v>7908</v>
      </c>
      <c r="AA1315">
        <v>0.4656599501975776</v>
      </c>
      <c r="AB1315">
        <f>HYPERLINK("Melting_Curves/meltCurve_P56580_srlE.pdf", "Melting_Curves/meltCurve_P56580_srlE.pdf")</f>
        <v>0</v>
      </c>
    </row>
    <row r="1316" spans="1:28">
      <c r="A1316" t="s">
        <v>1342</v>
      </c>
      <c r="B1316">
        <v>0.999984544473304</v>
      </c>
      <c r="C1316">
        <v>0.873779900377908</v>
      </c>
      <c r="D1316">
        <v>0.239027360817314</v>
      </c>
      <c r="E1316">
        <v>0.169250383704243</v>
      </c>
      <c r="F1316">
        <v>0.139587949076834</v>
      </c>
      <c r="G1316">
        <v>0.0973999204418088</v>
      </c>
      <c r="H1316">
        <v>0.08533638041372579</v>
      </c>
      <c r="I1316">
        <v>0.0664120873733816</v>
      </c>
      <c r="J1316">
        <v>0.0433345746369673</v>
      </c>
      <c r="K1316">
        <v>0.0455771813431245</v>
      </c>
      <c r="L1316">
        <v>1860.20916200048</v>
      </c>
      <c r="M1316">
        <v>44.8348033936183</v>
      </c>
      <c r="N1316">
        <v>41.6759498973023</v>
      </c>
      <c r="O1316">
        <v>41.408006349811</v>
      </c>
      <c r="P1316">
        <v>-0.246185981195631</v>
      </c>
      <c r="Q1316">
        <v>0.0905228748459258</v>
      </c>
      <c r="R1316">
        <v>0.988904438134089</v>
      </c>
      <c r="S1316" t="s">
        <v>2984</v>
      </c>
      <c r="T1316" t="s">
        <v>3312</v>
      </c>
      <c r="U1316" t="s">
        <v>3312</v>
      </c>
      <c r="V1316" t="s">
        <v>3312</v>
      </c>
      <c r="W1316" t="s">
        <v>4625</v>
      </c>
      <c r="X1316">
        <v>11</v>
      </c>
      <c r="Y1316" t="s">
        <v>6267</v>
      </c>
      <c r="Z1316" t="s">
        <v>7909</v>
      </c>
      <c r="AA1316">
        <v>0.2288159986666319</v>
      </c>
      <c r="AB1316">
        <f>HYPERLINK("Melting_Curves/meltCurve_P60240_rapA.pdf", "Melting_Curves/meltCurve_P60240_rapA.pdf")</f>
        <v>0</v>
      </c>
    </row>
    <row r="1317" spans="1:28">
      <c r="A1317" t="s">
        <v>1343</v>
      </c>
      <c r="B1317">
        <v>0.999984544473304</v>
      </c>
      <c r="C1317">
        <v>0.744378481939998</v>
      </c>
      <c r="D1317">
        <v>0.537251476277967</v>
      </c>
      <c r="E1317">
        <v>0.412573541335988</v>
      </c>
      <c r="F1317">
        <v>0.328514784037842</v>
      </c>
      <c r="G1317">
        <v>0.22716575121982</v>
      </c>
      <c r="H1317">
        <v>0.278661353644164</v>
      </c>
      <c r="I1317">
        <v>0.214205220032967</v>
      </c>
      <c r="J1317">
        <v>0</v>
      </c>
      <c r="K1317">
        <v>0.131514457008817</v>
      </c>
      <c r="L1317">
        <v>468.956720373697</v>
      </c>
      <c r="M1317">
        <v>10.7168194478559</v>
      </c>
      <c r="N1317">
        <v>44.8799277227911</v>
      </c>
      <c r="O1317">
        <v>42.3178536673469</v>
      </c>
      <c r="P1317">
        <v>-0.0558980836402617</v>
      </c>
      <c r="Q1317">
        <v>0.117422876464441</v>
      </c>
      <c r="R1317">
        <v>0.936516638593902</v>
      </c>
      <c r="S1317" t="s">
        <v>2985</v>
      </c>
      <c r="T1317" t="s">
        <v>3312</v>
      </c>
      <c r="U1317" t="s">
        <v>3312</v>
      </c>
      <c r="V1317" t="s">
        <v>3312</v>
      </c>
      <c r="W1317" t="s">
        <v>4626</v>
      </c>
      <c r="X1317">
        <v>1</v>
      </c>
      <c r="Y1317" t="s">
        <v>6268</v>
      </c>
      <c r="Z1317" t="s">
        <v>7910</v>
      </c>
      <c r="AA1317">
        <v>0.3588657559435379</v>
      </c>
      <c r="AB1317">
        <f>HYPERLINK("Melting_Curves/meltCurve_P60293_mukF.pdf", "Melting_Curves/meltCurve_P60293_mukF.pdf")</f>
        <v>0</v>
      </c>
    </row>
    <row r="1318" spans="1:28">
      <c r="A1318" t="s">
        <v>1344</v>
      </c>
      <c r="B1318">
        <v>0.999984544473304</v>
      </c>
      <c r="C1318">
        <v>1.03415665668882</v>
      </c>
      <c r="D1318">
        <v>0.931088014359747</v>
      </c>
      <c r="E1318">
        <v>0.7002632953021</v>
      </c>
      <c r="F1318">
        <v>0.178827915479406</v>
      </c>
      <c r="G1318">
        <v>0.0972667948628467</v>
      </c>
      <c r="H1318">
        <v>0.0898001534840952</v>
      </c>
      <c r="I1318">
        <v>0.0668363954110649</v>
      </c>
      <c r="J1318">
        <v>0.049084271445183</v>
      </c>
      <c r="K1318">
        <v>0.07819982520083971</v>
      </c>
      <c r="L1318">
        <v>1674.10090162818</v>
      </c>
      <c r="M1318">
        <v>35.2365286431312</v>
      </c>
      <c r="N1318">
        <v>47.7170205751573</v>
      </c>
      <c r="O1318">
        <v>47.358137661013</v>
      </c>
      <c r="P1318">
        <v>-0.172849926763262</v>
      </c>
      <c r="Q1318">
        <v>0.0707572136294789</v>
      </c>
      <c r="R1318">
        <v>0.997249165251243</v>
      </c>
      <c r="S1318" t="s">
        <v>2986</v>
      </c>
      <c r="T1318" t="s">
        <v>3312</v>
      </c>
      <c r="U1318" t="s">
        <v>3312</v>
      </c>
      <c r="V1318" t="s">
        <v>3312</v>
      </c>
      <c r="W1318" t="s">
        <v>4627</v>
      </c>
      <c r="X1318">
        <v>5</v>
      </c>
      <c r="Y1318" t="s">
        <v>6269</v>
      </c>
      <c r="Z1318" t="s">
        <v>7911</v>
      </c>
      <c r="AA1318">
        <v>0.4002554820163738</v>
      </c>
      <c r="AB1318">
        <f>HYPERLINK("Melting_Curves/meltCurve_P60340_truB.pdf", "Melting_Curves/meltCurve_P60340_truB.pdf")</f>
        <v>0</v>
      </c>
    </row>
    <row r="1319" spans="1:28">
      <c r="A1319" t="s">
        <v>1345</v>
      </c>
      <c r="B1319">
        <v>0.999984544473304</v>
      </c>
      <c r="C1319">
        <v>0.982611320089358</v>
      </c>
      <c r="D1319">
        <v>0.328718029398965</v>
      </c>
      <c r="E1319">
        <v>0.185967413122199</v>
      </c>
      <c r="F1319">
        <v>0.09875958679082179</v>
      </c>
      <c r="G1319">
        <v>0.0737163104827611</v>
      </c>
      <c r="H1319">
        <v>0.0579445245301365</v>
      </c>
      <c r="I1319">
        <v>0.0414623021607351</v>
      </c>
      <c r="J1319">
        <v>0.0313795125817196</v>
      </c>
      <c r="K1319">
        <v>0.0478097348361446</v>
      </c>
      <c r="L1319">
        <v>2310.43215651261</v>
      </c>
      <c r="M1319">
        <v>54.6705633705083</v>
      </c>
      <c r="N1319">
        <v>42.3874298374746</v>
      </c>
      <c r="O1319">
        <v>42.2045502388488</v>
      </c>
      <c r="P1319">
        <v>-0.299478052457732</v>
      </c>
      <c r="Q1319">
        <v>0.07523678737632861</v>
      </c>
      <c r="R1319">
        <v>0.98784008288415</v>
      </c>
      <c r="S1319" t="s">
        <v>2987</v>
      </c>
      <c r="T1319" t="s">
        <v>3312</v>
      </c>
      <c r="U1319" t="s">
        <v>3312</v>
      </c>
      <c r="V1319" t="s">
        <v>3312</v>
      </c>
      <c r="W1319" t="s">
        <v>4628</v>
      </c>
      <c r="X1319">
        <v>5</v>
      </c>
      <c r="Y1319" t="s">
        <v>6270</v>
      </c>
      <c r="Z1319" t="s">
        <v>7912</v>
      </c>
      <c r="AA1319">
        <v>0.23885718716413</v>
      </c>
      <c r="AB1319">
        <f>HYPERLINK("Melting_Curves/meltCurve_P60390_rsmH.pdf", "Melting_Curves/meltCurve_P60390_rsmH.pdf")</f>
        <v>0</v>
      </c>
    </row>
    <row r="1320" spans="1:28">
      <c r="A1320" t="s">
        <v>1346</v>
      </c>
      <c r="B1320">
        <v>0.999984544473304</v>
      </c>
      <c r="C1320">
        <v>0.8669741835571509</v>
      </c>
      <c r="D1320">
        <v>0.554177070026486</v>
      </c>
      <c r="E1320">
        <v>0.37457108312439</v>
      </c>
      <c r="F1320">
        <v>0.204275700214187</v>
      </c>
      <c r="G1320">
        <v>0.158712227008746</v>
      </c>
      <c r="H1320">
        <v>0.0921882612968338</v>
      </c>
      <c r="I1320">
        <v>0.0615260825887377</v>
      </c>
      <c r="J1320">
        <v>0.0409681840340185</v>
      </c>
      <c r="K1320">
        <v>0.0781203730032031</v>
      </c>
      <c r="L1320">
        <v>653.879488797352</v>
      </c>
      <c r="M1320">
        <v>14.8435991152822</v>
      </c>
      <c r="N1320">
        <v>44.4604848068922</v>
      </c>
      <c r="O1320">
        <v>43.2749468952453</v>
      </c>
      <c r="P1320">
        <v>-0.0802850643864995</v>
      </c>
      <c r="Q1320">
        <v>0.06384822364276441</v>
      </c>
      <c r="R1320">
        <v>0.9902679387080801</v>
      </c>
      <c r="S1320" t="s">
        <v>2988</v>
      </c>
      <c r="T1320" t="s">
        <v>3312</v>
      </c>
      <c r="U1320" t="s">
        <v>3312</v>
      </c>
      <c r="V1320" t="s">
        <v>3312</v>
      </c>
      <c r="W1320" t="s">
        <v>4629</v>
      </c>
      <c r="X1320">
        <v>10</v>
      </c>
      <c r="Y1320" t="s">
        <v>6271</v>
      </c>
      <c r="Z1320" t="s">
        <v>7913</v>
      </c>
      <c r="AA1320">
        <v>0.3075839037453786</v>
      </c>
      <c r="AB1320">
        <f>HYPERLINK("Melting_Curves/meltCurve_P60422_rplB.pdf", "Melting_Curves/meltCurve_P60422_rplB.pdf")</f>
        <v>0</v>
      </c>
    </row>
    <row r="1321" spans="1:28">
      <c r="A1321" t="s">
        <v>1347</v>
      </c>
      <c r="B1321">
        <v>0.999984544473304</v>
      </c>
      <c r="C1321">
        <v>0.49905273076521</v>
      </c>
      <c r="D1321">
        <v>0.292105836121725</v>
      </c>
      <c r="E1321">
        <v>0.103744687837113</v>
      </c>
      <c r="F1321">
        <v>0.0486119590995717</v>
      </c>
      <c r="G1321">
        <v>0.0311786426664525</v>
      </c>
      <c r="H1321">
        <v>0.0289412359900572</v>
      </c>
      <c r="I1321">
        <v>0.0260673539970892</v>
      </c>
      <c r="J1321">
        <v>0.0217874945959755</v>
      </c>
      <c r="K1321">
        <v>0.02365228004909</v>
      </c>
      <c r="L1321">
        <v>907.652480451829</v>
      </c>
      <c r="M1321">
        <v>22.4588651379212</v>
      </c>
      <c r="N1321">
        <v>40.542311742966</v>
      </c>
      <c r="O1321">
        <v>40.0976773631275</v>
      </c>
      <c r="P1321">
        <v>-0.135224848479085</v>
      </c>
      <c r="Q1321">
        <v>0.0343072590582633</v>
      </c>
      <c r="R1321">
        <v>0.974173340274584</v>
      </c>
      <c r="S1321" t="s">
        <v>2989</v>
      </c>
      <c r="T1321" t="s">
        <v>3312</v>
      </c>
      <c r="U1321" t="s">
        <v>3312</v>
      </c>
      <c r="V1321" t="s">
        <v>3312</v>
      </c>
      <c r="W1321" t="s">
        <v>4630</v>
      </c>
      <c r="X1321">
        <v>9</v>
      </c>
      <c r="Y1321" t="s">
        <v>6272</v>
      </c>
      <c r="Z1321" t="s">
        <v>7914</v>
      </c>
      <c r="AA1321">
        <v>0.1582367086846344</v>
      </c>
      <c r="AB1321">
        <f>HYPERLINK("Melting_Curves/meltCurve_P60438_rplC.pdf", "Melting_Curves/meltCurve_P60438_rplC.pdf")</f>
        <v>0</v>
      </c>
    </row>
    <row r="1322" spans="1:28">
      <c r="A1322" t="s">
        <v>1348</v>
      </c>
      <c r="B1322">
        <v>0.999984544473304</v>
      </c>
      <c r="C1322">
        <v>0.950895601898701</v>
      </c>
      <c r="D1322">
        <v>0.982146627489951</v>
      </c>
      <c r="E1322">
        <v>0.985703279806831</v>
      </c>
      <c r="F1322">
        <v>0.934816630809294</v>
      </c>
      <c r="G1322">
        <v>0.5146719619994931</v>
      </c>
      <c r="H1322">
        <v>0.196531130840507</v>
      </c>
      <c r="I1322">
        <v>0.09584798922814559</v>
      </c>
      <c r="J1322">
        <v>0.0558925406756994</v>
      </c>
      <c r="K1322">
        <v>0.0620967322660807</v>
      </c>
      <c r="L1322">
        <v>1698.93639927994</v>
      </c>
      <c r="M1322">
        <v>31.5857051885901</v>
      </c>
      <c r="N1322">
        <v>54.0262296611581</v>
      </c>
      <c r="O1322">
        <v>53.5739236872002</v>
      </c>
      <c r="P1322">
        <v>-0.13781728019268</v>
      </c>
      <c r="Q1322">
        <v>0.0649729771320551</v>
      </c>
      <c r="R1322">
        <v>0.997488325922755</v>
      </c>
      <c r="S1322" t="s">
        <v>2990</v>
      </c>
      <c r="T1322" t="s">
        <v>3312</v>
      </c>
      <c r="U1322" t="s">
        <v>3312</v>
      </c>
      <c r="V1322" t="s">
        <v>3312</v>
      </c>
      <c r="W1322" t="s">
        <v>4631</v>
      </c>
      <c r="X1322">
        <v>1</v>
      </c>
      <c r="Y1322" t="s">
        <v>6273</v>
      </c>
      <c r="Z1322" t="s">
        <v>7915</v>
      </c>
      <c r="AA1322">
        <v>0.5936489887858618</v>
      </c>
      <c r="AB1322">
        <f>HYPERLINK("Melting_Curves/meltCurve_P60472_ispU.pdf", "Melting_Curves/meltCurve_P60472_ispU.pdf")</f>
        <v>0</v>
      </c>
    </row>
    <row r="1323" spans="1:28">
      <c r="A1323" t="s">
        <v>1349</v>
      </c>
      <c r="B1323">
        <v>0.999984544473304</v>
      </c>
      <c r="C1323">
        <v>0.877951646717346</v>
      </c>
      <c r="D1323">
        <v>0.918517748537877</v>
      </c>
      <c r="E1323">
        <v>0.9956521375887289</v>
      </c>
      <c r="F1323">
        <v>0.853902626365129</v>
      </c>
      <c r="G1323">
        <v>0.174172547591861</v>
      </c>
      <c r="H1323">
        <v>0.0520700801926401</v>
      </c>
      <c r="I1323">
        <v>0.0311670324106462</v>
      </c>
      <c r="J1323">
        <v>0.0231511904827247</v>
      </c>
      <c r="K1323">
        <v>0.018276283614889</v>
      </c>
      <c r="L1323">
        <v>2582.1484443136</v>
      </c>
      <c r="M1323">
        <v>49.7138630932531</v>
      </c>
      <c r="N1323">
        <v>52.0014856808067</v>
      </c>
      <c r="O1323">
        <v>51.8563723180578</v>
      </c>
      <c r="P1323">
        <v>-0.23285401618563</v>
      </c>
      <c r="Q1323">
        <v>0.0284437299645008</v>
      </c>
      <c r="R1323">
        <v>0.988620450549315</v>
      </c>
      <c r="S1323" t="s">
        <v>2991</v>
      </c>
      <c r="T1323" t="s">
        <v>3312</v>
      </c>
      <c r="U1323" t="s">
        <v>3312</v>
      </c>
      <c r="V1323" t="s">
        <v>3312</v>
      </c>
      <c r="W1323" t="s">
        <v>4632</v>
      </c>
      <c r="X1323">
        <v>6</v>
      </c>
      <c r="Y1323" t="s">
        <v>6274</v>
      </c>
      <c r="Z1323" t="s">
        <v>7916</v>
      </c>
      <c r="AA1323">
        <v>0.5145364719959643</v>
      </c>
      <c r="AB1323">
        <f>HYPERLINK("Melting_Curves/meltCurve_P60546_gmk.pdf", "Melting_Curves/meltCurve_P60546_gmk.pdf")</f>
        <v>0</v>
      </c>
    </row>
    <row r="1324" spans="1:28">
      <c r="A1324" t="s">
        <v>1350</v>
      </c>
      <c r="B1324">
        <v>0.999984544473304</v>
      </c>
      <c r="C1324">
        <v>1.67882272211635</v>
      </c>
      <c r="D1324">
        <v>1.69238734334759</v>
      </c>
      <c r="E1324">
        <v>1.67560662062995</v>
      </c>
      <c r="F1324">
        <v>1.16767432979989</v>
      </c>
      <c r="G1324">
        <v>1.21944225843386</v>
      </c>
      <c r="H1324">
        <v>0.725273819978432</v>
      </c>
      <c r="I1324">
        <v>0.392982906583748</v>
      </c>
      <c r="J1324">
        <v>0.129831200107454</v>
      </c>
      <c r="K1324">
        <v>0.0720270602877721</v>
      </c>
      <c r="L1324">
        <v>2072.78087492016</v>
      </c>
      <c r="M1324">
        <v>34.76884204944</v>
      </c>
      <c r="N1324">
        <v>59.8409609437279</v>
      </c>
      <c r="O1324">
        <v>59.4198653942359</v>
      </c>
      <c r="P1324">
        <v>-0.137325035301692</v>
      </c>
      <c r="Q1324">
        <v>0.0612508177458262</v>
      </c>
      <c r="R1324">
        <v>0.577414632502214</v>
      </c>
      <c r="S1324" t="s">
        <v>2992</v>
      </c>
      <c r="T1324" t="s">
        <v>3312</v>
      </c>
      <c r="U1324" t="s">
        <v>3312</v>
      </c>
      <c r="V1324" t="s">
        <v>3312</v>
      </c>
      <c r="W1324" t="s">
        <v>4633</v>
      </c>
      <c r="X1324">
        <v>4</v>
      </c>
      <c r="Y1324" t="s">
        <v>6275</v>
      </c>
      <c r="Z1324" t="s">
        <v>7917</v>
      </c>
      <c r="AA1324">
        <v>0.7725224550531699</v>
      </c>
      <c r="AB1324">
        <f>HYPERLINK("Melting_Curves/meltCurve_P60560_guaC.pdf", "Melting_Curves/meltCurve_P60560_guaC.pdf")</f>
        <v>0</v>
      </c>
    </row>
    <row r="1325" spans="1:28">
      <c r="A1325" t="s">
        <v>1351</v>
      </c>
      <c r="B1325">
        <v>0.999984544473304</v>
      </c>
      <c r="C1325">
        <v>1.18611575309672</v>
      </c>
      <c r="D1325">
        <v>1.32682874761323</v>
      </c>
      <c r="E1325">
        <v>1.43346304235196</v>
      </c>
      <c r="F1325">
        <v>1.34364593574714</v>
      </c>
      <c r="G1325">
        <v>1.28058139466658</v>
      </c>
      <c r="H1325">
        <v>1.04910256828836</v>
      </c>
      <c r="I1325">
        <v>0.521758736687565</v>
      </c>
      <c r="J1325">
        <v>0.0952687818852975</v>
      </c>
      <c r="K1325">
        <v>0.0359807189753783</v>
      </c>
      <c r="L1325">
        <v>5231.159898444</v>
      </c>
      <c r="M1325">
        <v>85.77648954850019</v>
      </c>
      <c r="N1325">
        <v>61.0730311087045</v>
      </c>
      <c r="O1325">
        <v>60.9528155433948</v>
      </c>
      <c r="P1325">
        <v>-0.331559204824324</v>
      </c>
      <c r="Q1325">
        <v>0.0575755619701716</v>
      </c>
      <c r="R1325">
        <v>0.783845787120153</v>
      </c>
      <c r="S1325" t="s">
        <v>2993</v>
      </c>
      <c r="T1325" t="s">
        <v>3312</v>
      </c>
      <c r="U1325" t="s">
        <v>3312</v>
      </c>
      <c r="V1325" t="s">
        <v>3312</v>
      </c>
      <c r="W1325" t="s">
        <v>4634</v>
      </c>
      <c r="X1325">
        <v>1</v>
      </c>
      <c r="Y1325" t="s">
        <v>6276</v>
      </c>
      <c r="Z1325" t="s">
        <v>7918</v>
      </c>
      <c r="AA1325">
        <v>0.8119191657963445</v>
      </c>
      <c r="AB1325">
        <f>HYPERLINK("Melting_Curves/meltCurve_P60566_fixA.pdf", "Melting_Curves/meltCurve_P60566_fixA.pdf")</f>
        <v>0</v>
      </c>
    </row>
    <row r="1326" spans="1:28">
      <c r="A1326" t="s">
        <v>1352</v>
      </c>
      <c r="B1326">
        <v>0.999984544473304</v>
      </c>
      <c r="C1326">
        <v>0.697066611712241</v>
      </c>
      <c r="D1326">
        <v>0.509860920000425</v>
      </c>
      <c r="E1326">
        <v>0.288024532193815</v>
      </c>
      <c r="F1326">
        <v>0.113708059642812</v>
      </c>
      <c r="G1326">
        <v>0.058446649481139</v>
      </c>
      <c r="H1326">
        <v>0.0312426226954807</v>
      </c>
      <c r="I1326">
        <v>0.0224092763679154</v>
      </c>
      <c r="J1326">
        <v>0.015205910204862</v>
      </c>
      <c r="K1326">
        <v>0.0187967114172604</v>
      </c>
      <c r="L1326">
        <v>617.546954645426</v>
      </c>
      <c r="M1326">
        <v>14.3420114613911</v>
      </c>
      <c r="N1326">
        <v>43.1120220181576</v>
      </c>
      <c r="O1326">
        <v>42.2474060714137</v>
      </c>
      <c r="P1326">
        <v>-0.08413180760891679</v>
      </c>
      <c r="Q1326">
        <v>0.00880719126603847</v>
      </c>
      <c r="R1326">
        <v>0.988673245825983</v>
      </c>
      <c r="S1326" t="s">
        <v>2994</v>
      </c>
      <c r="T1326" t="s">
        <v>3312</v>
      </c>
      <c r="U1326" t="s">
        <v>3312</v>
      </c>
      <c r="V1326" t="s">
        <v>3312</v>
      </c>
      <c r="W1326" t="s">
        <v>4635</v>
      </c>
      <c r="X1326">
        <v>1</v>
      </c>
      <c r="Y1326" t="s">
        <v>6277</v>
      </c>
      <c r="Z1326" t="s">
        <v>7919</v>
      </c>
      <c r="AA1326">
        <v>0.2376558820527331</v>
      </c>
      <c r="AB1326">
        <f>HYPERLINK("Melting_Curves/meltCurve_P60595_hisH.pdf", "Melting_Curves/meltCurve_P60595_hisH.pdf")</f>
        <v>0</v>
      </c>
    </row>
    <row r="1327" spans="1:28">
      <c r="A1327" t="s">
        <v>1353</v>
      </c>
      <c r="B1327">
        <v>0.999984544473304</v>
      </c>
      <c r="C1327">
        <v>0.82831827899483</v>
      </c>
      <c r="D1327">
        <v>0.89736427758687</v>
      </c>
      <c r="E1327">
        <v>1.1430546218662</v>
      </c>
      <c r="F1327">
        <v>0.861036380477077</v>
      </c>
      <c r="G1327">
        <v>0.662243601014869</v>
      </c>
      <c r="H1327">
        <v>0.551518467857552</v>
      </c>
      <c r="I1327">
        <v>0.463001378065496</v>
      </c>
      <c r="J1327">
        <v>0.45257673160267</v>
      </c>
      <c r="K1327">
        <v>0.623972570313247</v>
      </c>
      <c r="L1327">
        <v>1744.36483243527</v>
      </c>
      <c r="M1327">
        <v>33.4518362396403</v>
      </c>
      <c r="O1327">
        <v>51.9602741667056</v>
      </c>
      <c r="P1327">
        <v>-0.0775635610411249</v>
      </c>
      <c r="Q1327">
        <v>0.518088455696633</v>
      </c>
      <c r="R1327">
        <v>0.829483653998923</v>
      </c>
      <c r="S1327" t="s">
        <v>2995</v>
      </c>
      <c r="T1327" t="s">
        <v>3312</v>
      </c>
      <c r="U1327" t="s">
        <v>3312</v>
      </c>
      <c r="V1327" t="s">
        <v>3312</v>
      </c>
      <c r="W1327" t="s">
        <v>4636</v>
      </c>
      <c r="X1327">
        <v>8</v>
      </c>
      <c r="Y1327" t="s">
        <v>6278</v>
      </c>
      <c r="Z1327" t="s">
        <v>7920</v>
      </c>
      <c r="AA1327">
        <v>0.7638494553582099</v>
      </c>
      <c r="AB1327">
        <f>HYPERLINK("Melting_Curves/meltCurve_P60624_rplX.pdf", "Melting_Curves/meltCurve_P60624_rplX.pdf")</f>
        <v>0</v>
      </c>
    </row>
    <row r="1328" spans="1:28">
      <c r="A1328" t="s">
        <v>1354</v>
      </c>
      <c r="B1328">
        <v>0.999984544473304</v>
      </c>
      <c r="C1328">
        <v>0.865039485168741</v>
      </c>
      <c r="D1328">
        <v>1.17795680761638</v>
      </c>
      <c r="E1328">
        <v>0.992341656060419</v>
      </c>
      <c r="F1328">
        <v>1.09070819295953</v>
      </c>
      <c r="G1328">
        <v>1.19558586963723</v>
      </c>
      <c r="H1328">
        <v>0.7245643258605911</v>
      </c>
      <c r="I1328">
        <v>0.729014536062896</v>
      </c>
      <c r="J1328">
        <v>0.642302248090282</v>
      </c>
      <c r="K1328">
        <v>0.525509766726772</v>
      </c>
      <c r="L1328">
        <v>14287.2373109981</v>
      </c>
      <c r="M1328">
        <v>250</v>
      </c>
      <c r="O1328">
        <v>57.1453012339693</v>
      </c>
      <c r="P1328">
        <v>-0.402181597685399</v>
      </c>
      <c r="Q1328">
        <v>0.632275442315038</v>
      </c>
      <c r="R1328">
        <v>0.759218757617614</v>
      </c>
      <c r="S1328" t="s">
        <v>2996</v>
      </c>
      <c r="T1328" t="s">
        <v>3312</v>
      </c>
      <c r="U1328" t="s">
        <v>3312</v>
      </c>
      <c r="V1328" t="s">
        <v>3312</v>
      </c>
      <c r="W1328" t="s">
        <v>4637</v>
      </c>
      <c r="X1328">
        <v>5</v>
      </c>
      <c r="Y1328" t="s">
        <v>6279</v>
      </c>
      <c r="Z1328" t="s">
        <v>7921</v>
      </c>
      <c r="AA1328">
        <v>0.8792877717249376</v>
      </c>
      <c r="AB1328">
        <f>HYPERLINK("Melting_Curves/meltCurve_P60651_speB.pdf", "Melting_Curves/meltCurve_P60651_speB.pdf")</f>
        <v>0</v>
      </c>
    </row>
    <row r="1329" spans="1:28">
      <c r="A1329" t="s">
        <v>1355</v>
      </c>
      <c r="B1329">
        <v>0.999984544473304</v>
      </c>
      <c r="C1329">
        <v>0.860649478118151</v>
      </c>
      <c r="D1329">
        <v>0.866707236701408</v>
      </c>
      <c r="E1329">
        <v>0.803042516096599</v>
      </c>
      <c r="F1329">
        <v>0.6350123336097721</v>
      </c>
      <c r="G1329">
        <v>0.353858637336847</v>
      </c>
      <c r="H1329">
        <v>0.261340844176573</v>
      </c>
      <c r="I1329">
        <v>0.236946971634483</v>
      </c>
      <c r="J1329">
        <v>0.188687227260817</v>
      </c>
      <c r="K1329">
        <v>0.24914580673123</v>
      </c>
      <c r="L1329">
        <v>640.689034909975</v>
      </c>
      <c r="M1329">
        <v>12.7949651200851</v>
      </c>
      <c r="N1329">
        <v>51.6394223227147</v>
      </c>
      <c r="O1329">
        <v>48.8976630194442</v>
      </c>
      <c r="P1329">
        <v>-0.0549089777482138</v>
      </c>
      <c r="Q1329">
        <v>0.160789840703094</v>
      </c>
      <c r="R1329">
        <v>0.9711001235749001</v>
      </c>
      <c r="S1329" t="s">
        <v>2997</v>
      </c>
      <c r="T1329" t="s">
        <v>3312</v>
      </c>
      <c r="U1329" t="s">
        <v>3312</v>
      </c>
      <c r="V1329" t="s">
        <v>3312</v>
      </c>
      <c r="W1329" t="s">
        <v>4638</v>
      </c>
      <c r="X1329">
        <v>6</v>
      </c>
      <c r="Y1329" t="s">
        <v>6280</v>
      </c>
      <c r="Z1329" t="s">
        <v>7922</v>
      </c>
      <c r="AA1329">
        <v>0.548153636267361</v>
      </c>
      <c r="AB1329">
        <f>HYPERLINK("Melting_Curves/meltCurve_P60664_hisF.pdf", "Melting_Curves/meltCurve_P60664_hisF.pdf")</f>
        <v>0</v>
      </c>
    </row>
    <row r="1330" spans="1:28">
      <c r="A1330" t="s">
        <v>1356</v>
      </c>
      <c r="B1330">
        <v>0.999984544473304</v>
      </c>
      <c r="C1330">
        <v>0.444671215789694</v>
      </c>
      <c r="D1330">
        <v>0.336074431490018</v>
      </c>
      <c r="E1330">
        <v>0.291036493540026</v>
      </c>
      <c r="F1330">
        <v>0.248709319622222</v>
      </c>
      <c r="G1330">
        <v>0.211525785478626</v>
      </c>
      <c r="H1330">
        <v>0.209028046676039</v>
      </c>
      <c r="I1330">
        <v>0.190597396387277</v>
      </c>
      <c r="J1330">
        <v>0.167826300247771</v>
      </c>
      <c r="K1330">
        <v>0.216492052353671</v>
      </c>
      <c r="L1330">
        <v>2269.10026400187</v>
      </c>
      <c r="M1330">
        <v>57.7933501662569</v>
      </c>
      <c r="N1330">
        <v>39.692463402377</v>
      </c>
      <c r="O1330">
        <v>39.2153810838233</v>
      </c>
      <c r="P1330">
        <v>-0.282692727253047</v>
      </c>
      <c r="Q1330">
        <v>0.232721570980882</v>
      </c>
      <c r="R1330">
        <v>0.962173250667774</v>
      </c>
      <c r="S1330" t="s">
        <v>2998</v>
      </c>
      <c r="T1330" t="s">
        <v>3312</v>
      </c>
      <c r="U1330" t="s">
        <v>3312</v>
      </c>
      <c r="V1330" t="s">
        <v>3312</v>
      </c>
      <c r="W1330" t="s">
        <v>4639</v>
      </c>
      <c r="X1330">
        <v>4</v>
      </c>
      <c r="Y1330" t="s">
        <v>6281</v>
      </c>
      <c r="Z1330" t="s">
        <v>7923</v>
      </c>
      <c r="AA1330">
        <v>0.2920055901035145</v>
      </c>
      <c r="AB1330">
        <f>HYPERLINK("Melting_Curves/meltCurve_P60723_rplD.pdf", "Melting_Curves/meltCurve_P60723_rplD.pdf")</f>
        <v>0</v>
      </c>
    </row>
    <row r="1331" spans="1:28">
      <c r="A1331" t="s">
        <v>1357</v>
      </c>
      <c r="B1331">
        <v>0.999984544473304</v>
      </c>
      <c r="C1331">
        <v>1.20411367152165</v>
      </c>
      <c r="D1331">
        <v>0.498134499581093</v>
      </c>
      <c r="E1331">
        <v>0.142460874576015</v>
      </c>
      <c r="F1331">
        <v>0.09826433821674289</v>
      </c>
      <c r="G1331">
        <v>0.0522179168247695</v>
      </c>
      <c r="H1331">
        <v>0.0531172644822645</v>
      </c>
      <c r="I1331">
        <v>0.0399487320874536</v>
      </c>
      <c r="J1331">
        <v>0.0312948250152083</v>
      </c>
      <c r="K1331">
        <v>0.0245693473905685</v>
      </c>
      <c r="L1331">
        <v>10743.8525583712</v>
      </c>
      <c r="M1331">
        <v>250</v>
      </c>
      <c r="N1331">
        <v>42.9986460860157</v>
      </c>
      <c r="O1331">
        <v>42.9726601210369</v>
      </c>
      <c r="P1331">
        <v>-1.36260363297506</v>
      </c>
      <c r="Q1331">
        <v>0.06312475693266791</v>
      </c>
      <c r="R1331">
        <v>0.969998132023173</v>
      </c>
      <c r="S1331" t="s">
        <v>2999</v>
      </c>
      <c r="T1331" t="s">
        <v>3312</v>
      </c>
      <c r="U1331" t="s">
        <v>3312</v>
      </c>
      <c r="V1331" t="s">
        <v>3312</v>
      </c>
      <c r="W1331" t="s">
        <v>4640</v>
      </c>
      <c r="X1331">
        <v>7</v>
      </c>
      <c r="Y1331" t="s">
        <v>6282</v>
      </c>
      <c r="Z1331" t="s">
        <v>7924</v>
      </c>
      <c r="AA1331">
        <v>0.2498025476628092</v>
      </c>
      <c r="AB1331">
        <f>HYPERLINK("Melting_Curves/meltCurve_P60752_msbA.pdf", "Melting_Curves/meltCurve_P60752_msbA.pdf")</f>
        <v>0</v>
      </c>
    </row>
    <row r="1332" spans="1:28">
      <c r="A1332" t="s">
        <v>1358</v>
      </c>
      <c r="B1332">
        <v>0.999984544473304</v>
      </c>
      <c r="C1332">
        <v>0.354803506617322</v>
      </c>
      <c r="D1332">
        <v>0.172250451708523</v>
      </c>
      <c r="E1332">
        <v>0.07226996542667161</v>
      </c>
      <c r="F1332">
        <v>0.0532372201635604</v>
      </c>
      <c r="G1332">
        <v>0.0349340973705006</v>
      </c>
      <c r="H1332">
        <v>0.0353220448806085</v>
      </c>
      <c r="I1332">
        <v>0.0286426285903084</v>
      </c>
      <c r="J1332">
        <v>0.0223011527863357</v>
      </c>
      <c r="K1332">
        <v>0.0199232665998671</v>
      </c>
      <c r="L1332">
        <v>2006.30723879037</v>
      </c>
      <c r="M1332">
        <v>50.9824920033133</v>
      </c>
      <c r="N1332">
        <v>39.4382407749008</v>
      </c>
      <c r="O1332">
        <v>39.29246096941</v>
      </c>
      <c r="P1332">
        <v>-0.307430898271437</v>
      </c>
      <c r="Q1332">
        <v>0.0522466372677997</v>
      </c>
      <c r="R1332">
        <v>0.98053202552392</v>
      </c>
      <c r="S1332" t="s">
        <v>3000</v>
      </c>
      <c r="T1332" t="s">
        <v>3312</v>
      </c>
      <c r="U1332" t="s">
        <v>3312</v>
      </c>
      <c r="V1332" t="s">
        <v>3312</v>
      </c>
      <c r="W1332" t="s">
        <v>4641</v>
      </c>
      <c r="X1332">
        <v>2</v>
      </c>
      <c r="Y1332" t="s">
        <v>6283</v>
      </c>
      <c r="Z1332" t="s">
        <v>7925</v>
      </c>
      <c r="AA1332">
        <v>0.1289572382487735</v>
      </c>
      <c r="AB1332">
        <f>HYPERLINK("Melting_Curves/meltCurve_P60757_hisG.pdf", "Melting_Curves/meltCurve_P60757_hisG.pdf")</f>
        <v>0</v>
      </c>
    </row>
    <row r="1333" spans="1:28">
      <c r="A1333" t="s">
        <v>1359</v>
      </c>
      <c r="B1333">
        <v>0.999984544473304</v>
      </c>
      <c r="C1333">
        <v>0.967560988041661</v>
      </c>
      <c r="D1333">
        <v>0.413248858364355</v>
      </c>
      <c r="E1333">
        <v>0.198017539107368</v>
      </c>
      <c r="F1333">
        <v>0.0830220920783255</v>
      </c>
      <c r="G1333">
        <v>0.0615356418044081</v>
      </c>
      <c r="H1333">
        <v>0.0494374711060477</v>
      </c>
      <c r="I1333">
        <v>0.0352615463249476</v>
      </c>
      <c r="J1333">
        <v>0.0262921069196998</v>
      </c>
      <c r="K1333">
        <v>0.0220624040528825</v>
      </c>
      <c r="L1333">
        <v>1446.90215698023</v>
      </c>
      <c r="M1333">
        <v>33.980013323071</v>
      </c>
      <c r="N1333">
        <v>42.7334636398464</v>
      </c>
      <c r="O1333">
        <v>42.4343105369028</v>
      </c>
      <c r="P1333">
        <v>-0.188762809133926</v>
      </c>
      <c r="Q1333">
        <v>0.057094205984632</v>
      </c>
      <c r="R1333">
        <v>0.987885764638248</v>
      </c>
      <c r="S1333" t="s">
        <v>3001</v>
      </c>
      <c r="T1333" t="s">
        <v>3312</v>
      </c>
      <c r="U1333" t="s">
        <v>3312</v>
      </c>
      <c r="V1333" t="s">
        <v>3312</v>
      </c>
      <c r="W1333" t="s">
        <v>4642</v>
      </c>
      <c r="X1333">
        <v>6</v>
      </c>
      <c r="Y1333" t="s">
        <v>6284</v>
      </c>
      <c r="Z1333" t="s">
        <v>7926</v>
      </c>
      <c r="AA1333">
        <v>0.2365329316535009</v>
      </c>
      <c r="AB1333">
        <f>HYPERLINK("Melting_Curves/meltCurve_P60785_lepA.pdf", "Melting_Curves/meltCurve_P60785_lepA.pdf")</f>
        <v>0</v>
      </c>
    </row>
    <row r="1334" spans="1:28">
      <c r="A1334" t="s">
        <v>1360</v>
      </c>
      <c r="B1334">
        <v>0.999984544473304</v>
      </c>
      <c r="C1334">
        <v>0.327759747024868</v>
      </c>
      <c r="D1334">
        <v>1.34262840518005</v>
      </c>
      <c r="E1334">
        <v>1.09642598366466</v>
      </c>
      <c r="F1334">
        <v>1.36864433351991</v>
      </c>
      <c r="G1334">
        <v>1.33994185192676</v>
      </c>
      <c r="H1334">
        <v>1.0187605086395</v>
      </c>
      <c r="I1334">
        <v>1.131818059896</v>
      </c>
      <c r="J1334">
        <v>0.397671289225514</v>
      </c>
      <c r="K1334">
        <v>0.137249838627611</v>
      </c>
      <c r="L1334">
        <v>15000</v>
      </c>
      <c r="M1334">
        <v>234.847732284334</v>
      </c>
      <c r="N1334">
        <v>63.9585499324579</v>
      </c>
      <c r="O1334">
        <v>63.8665407184989</v>
      </c>
      <c r="P1334">
        <v>-0.793136540331124</v>
      </c>
      <c r="Q1334">
        <v>0.137230126590601</v>
      </c>
      <c r="R1334">
        <v>0.550127773601064</v>
      </c>
      <c r="S1334" t="s">
        <v>3002</v>
      </c>
      <c r="T1334" t="s">
        <v>3312</v>
      </c>
      <c r="U1334" t="s">
        <v>3312</v>
      </c>
      <c r="V1334" t="s">
        <v>3312</v>
      </c>
      <c r="W1334" t="s">
        <v>4643</v>
      </c>
      <c r="X1334">
        <v>1</v>
      </c>
      <c r="Y1334" t="s">
        <v>6285</v>
      </c>
      <c r="Z1334" t="s">
        <v>7927</v>
      </c>
      <c r="AA1334">
        <v>0.9101275064153326</v>
      </c>
      <c r="AB1334">
        <f>HYPERLINK("Melting_Curves/meltCurve_P60872_yidE.pdf", "Melting_Curves/meltCurve_P60872_yidE.pdf")</f>
        <v>0</v>
      </c>
    </row>
    <row r="1335" spans="1:28">
      <c r="A1335" t="s">
        <v>1361</v>
      </c>
      <c r="B1335">
        <v>0.999984544473304</v>
      </c>
      <c r="C1335">
        <v>0.991041098972604</v>
      </c>
      <c r="D1335">
        <v>0.675246776279339</v>
      </c>
      <c r="E1335">
        <v>0.153573592559965</v>
      </c>
      <c r="F1335">
        <v>0.09365915402192759</v>
      </c>
      <c r="G1335">
        <v>0.0572731547637907</v>
      </c>
      <c r="H1335">
        <v>0.0483522802173635</v>
      </c>
      <c r="I1335">
        <v>0.0441270705367041</v>
      </c>
      <c r="J1335">
        <v>0.0442052705231727</v>
      </c>
      <c r="K1335">
        <v>0.0373520857848365</v>
      </c>
      <c r="L1335">
        <v>1548.75264468712</v>
      </c>
      <c r="M1335">
        <v>35.3472717227294</v>
      </c>
      <c r="N1335">
        <v>43.9515631086182</v>
      </c>
      <c r="O1335">
        <v>43.6758092248724</v>
      </c>
      <c r="P1335">
        <v>-0.191831777973596</v>
      </c>
      <c r="Q1335">
        <v>0.0518782161476832</v>
      </c>
      <c r="R1335">
        <v>0.99882910303575</v>
      </c>
      <c r="S1335" t="s">
        <v>3003</v>
      </c>
      <c r="T1335" t="s">
        <v>3312</v>
      </c>
      <c r="U1335" t="s">
        <v>3312</v>
      </c>
      <c r="V1335" t="s">
        <v>3312</v>
      </c>
      <c r="W1335" t="s">
        <v>4644</v>
      </c>
      <c r="X1335">
        <v>12</v>
      </c>
      <c r="Y1335" t="s">
        <v>6286</v>
      </c>
      <c r="Z1335" t="s">
        <v>7928</v>
      </c>
      <c r="AA1335">
        <v>0.2709972597075845</v>
      </c>
      <c r="AB1335">
        <f>HYPERLINK("Melting_Curves/meltCurve_P60906_hisS.pdf", "Melting_Curves/meltCurve_P60906_hisS.pdf")</f>
        <v>0</v>
      </c>
    </row>
    <row r="1336" spans="1:28">
      <c r="A1336" t="s">
        <v>1362</v>
      </c>
      <c r="B1336">
        <v>0.999984544473304</v>
      </c>
      <c r="C1336">
        <v>0.865733072599342</v>
      </c>
      <c r="D1336">
        <v>0.368602515837765</v>
      </c>
      <c r="E1336">
        <v>0.305458752659687</v>
      </c>
      <c r="F1336">
        <v>0.190476936402748</v>
      </c>
      <c r="G1336">
        <v>0.130883043563467</v>
      </c>
      <c r="H1336">
        <v>0.128382544036276</v>
      </c>
      <c r="I1336">
        <v>0.0919496308605047</v>
      </c>
      <c r="J1336">
        <v>0.0982160486253137</v>
      </c>
      <c r="K1336">
        <v>0.110329637654345</v>
      </c>
      <c r="L1336">
        <v>1110.11319974665</v>
      </c>
      <c r="M1336">
        <v>26.4510210184891</v>
      </c>
      <c r="N1336">
        <v>42.4711309448886</v>
      </c>
      <c r="O1336">
        <v>41.730936539983</v>
      </c>
      <c r="P1336">
        <v>-0.137172407546127</v>
      </c>
      <c r="Q1336">
        <v>0.134358677013045</v>
      </c>
      <c r="R1336">
        <v>0.974790141770384</v>
      </c>
      <c r="S1336" t="s">
        <v>3004</v>
      </c>
      <c r="T1336" t="s">
        <v>3312</v>
      </c>
      <c r="U1336" t="s">
        <v>3312</v>
      </c>
      <c r="V1336" t="s">
        <v>3312</v>
      </c>
      <c r="W1336" t="s">
        <v>4645</v>
      </c>
      <c r="X1336">
        <v>5</v>
      </c>
      <c r="Y1336" t="s">
        <v>6287</v>
      </c>
      <c r="Z1336" t="s">
        <v>7929</v>
      </c>
      <c r="AA1336">
        <v>0.2844766581744435</v>
      </c>
      <c r="AB1336">
        <f>HYPERLINK("Melting_Curves/meltCurve_P61175_rplV.pdf", "Melting_Curves/meltCurve_P61175_rplV.pdf")</f>
        <v>0</v>
      </c>
    </row>
    <row r="1337" spans="1:28">
      <c r="A1337" t="s">
        <v>1363</v>
      </c>
      <c r="B1337">
        <v>0.999984544473304</v>
      </c>
      <c r="C1337">
        <v>0.835969645795675</v>
      </c>
      <c r="D1337">
        <v>1.09299789125843</v>
      </c>
      <c r="E1337">
        <v>1.15542505373941</v>
      </c>
      <c r="F1337">
        <v>1.33519556461548</v>
      </c>
      <c r="G1337">
        <v>1.11029770867515</v>
      </c>
      <c r="H1337">
        <v>1.03037747231462</v>
      </c>
      <c r="I1337">
        <v>1.02516812637353</v>
      </c>
      <c r="J1337">
        <v>0.716268599949819</v>
      </c>
      <c r="K1337">
        <v>0.926073583610431</v>
      </c>
      <c r="L1337">
        <v>15000</v>
      </c>
      <c r="M1337">
        <v>240.656353788344</v>
      </c>
      <c r="O1337">
        <v>62.3252198300901</v>
      </c>
      <c r="P1337">
        <v>-0.172607626021765</v>
      </c>
      <c r="Q1337">
        <v>0.821192153699119</v>
      </c>
      <c r="R1337">
        <v>0.220112029808483</v>
      </c>
      <c r="S1337" t="s">
        <v>3005</v>
      </c>
      <c r="T1337" t="s">
        <v>3312</v>
      </c>
      <c r="U1337" t="s">
        <v>3312</v>
      </c>
      <c r="V1337" t="s">
        <v>3312</v>
      </c>
      <c r="W1337" t="s">
        <v>4646</v>
      </c>
      <c r="X1337">
        <v>8</v>
      </c>
      <c r="Y1337" t="s">
        <v>6288</v>
      </c>
      <c r="Z1337" t="s">
        <v>7930</v>
      </c>
      <c r="AA1337">
        <v>0.972183948979189</v>
      </c>
      <c r="AB1337">
        <f>HYPERLINK("Melting_Curves/meltCurve_P61316_lolA.pdf", "Melting_Curves/meltCurve_P61316_lolA.pdf")</f>
        <v>0</v>
      </c>
    </row>
    <row r="1338" spans="1:28">
      <c r="A1338" t="s">
        <v>1364</v>
      </c>
      <c r="B1338">
        <v>0.999984544473304</v>
      </c>
      <c r="C1338">
        <v>0.809005707837288</v>
      </c>
      <c r="D1338">
        <v>1.08776694953663</v>
      </c>
      <c r="E1338">
        <v>1.01215215213998</v>
      </c>
      <c r="F1338">
        <v>1.16420251216778</v>
      </c>
      <c r="G1338">
        <v>1.07352692888944</v>
      </c>
      <c r="H1338">
        <v>1.00395544847623</v>
      </c>
      <c r="I1338">
        <v>0.734793276537025</v>
      </c>
      <c r="J1338">
        <v>0.349820047686452</v>
      </c>
      <c r="K1338">
        <v>0.222715339679778</v>
      </c>
      <c r="L1338">
        <v>2903.4254687024</v>
      </c>
      <c r="M1338">
        <v>46.8642271104206</v>
      </c>
      <c r="N1338">
        <v>62.6592741683446</v>
      </c>
      <c r="O1338">
        <v>61.8414878242722</v>
      </c>
      <c r="P1338">
        <v>-0.150622681747788</v>
      </c>
      <c r="Q1338">
        <v>0.204961140592719</v>
      </c>
      <c r="R1338">
        <v>0.917261738132895</v>
      </c>
      <c r="S1338" t="s">
        <v>3006</v>
      </c>
      <c r="T1338" t="s">
        <v>3312</v>
      </c>
      <c r="U1338" t="s">
        <v>3312</v>
      </c>
      <c r="V1338" t="s">
        <v>3312</v>
      </c>
      <c r="W1338" t="s">
        <v>4647</v>
      </c>
      <c r="X1338">
        <v>6</v>
      </c>
      <c r="Y1338" t="s">
        <v>6289</v>
      </c>
      <c r="Z1338" t="s">
        <v>7931</v>
      </c>
      <c r="AA1338">
        <v>0.8675057879511407</v>
      </c>
      <c r="AB1338">
        <f>HYPERLINK("Melting_Curves/meltCurve_P61320_lolB.pdf", "Melting_Curves/meltCurve_P61320_lolB.pdf")</f>
        <v>0</v>
      </c>
    </row>
    <row r="1339" spans="1:28">
      <c r="A1339" t="s">
        <v>1365</v>
      </c>
      <c r="B1339">
        <v>0.999984544473304</v>
      </c>
      <c r="C1339">
        <v>0.886921611070892</v>
      </c>
      <c r="D1339">
        <v>0.879715988190777</v>
      </c>
      <c r="E1339">
        <v>0.904198745749025</v>
      </c>
      <c r="F1339">
        <v>0.935392332830115</v>
      </c>
      <c r="G1339">
        <v>0.916289365335462</v>
      </c>
      <c r="H1339">
        <v>0.893597988075816</v>
      </c>
      <c r="I1339">
        <v>0.743903634318906</v>
      </c>
      <c r="J1339">
        <v>0.555431675107501</v>
      </c>
      <c r="K1339">
        <v>0.25299115900434</v>
      </c>
      <c r="L1339">
        <v>1272.95514147662</v>
      </c>
      <c r="M1339">
        <v>19.8345745979485</v>
      </c>
      <c r="N1339">
        <v>64.1786174725473</v>
      </c>
      <c r="O1339">
        <v>63.5369061746521</v>
      </c>
      <c r="P1339">
        <v>-0.07804614294280179</v>
      </c>
      <c r="Q1339">
        <v>0</v>
      </c>
      <c r="R1339">
        <v>0.894837015984237</v>
      </c>
      <c r="S1339" t="s">
        <v>3007</v>
      </c>
      <c r="T1339" t="s">
        <v>3312</v>
      </c>
      <c r="U1339" t="s">
        <v>3312</v>
      </c>
      <c r="V1339" t="s">
        <v>3312</v>
      </c>
      <c r="W1339" t="s">
        <v>4648</v>
      </c>
      <c r="X1339">
        <v>5</v>
      </c>
      <c r="Y1339" t="s">
        <v>6290</v>
      </c>
      <c r="Z1339" t="s">
        <v>7932</v>
      </c>
      <c r="AA1339">
        <v>0.8762495160756281</v>
      </c>
      <c r="AB1339">
        <f>HYPERLINK("Melting_Curves/meltCurve_P61517_can.pdf", "Melting_Curves/meltCurve_P61517_can.pdf")</f>
        <v>0</v>
      </c>
    </row>
    <row r="1340" spans="1:28">
      <c r="A1340" t="s">
        <v>1366</v>
      </c>
      <c r="B1340">
        <v>0.999984544473304</v>
      </c>
      <c r="C1340">
        <v>1.00052014921731</v>
      </c>
      <c r="D1340">
        <v>1.14974694834045</v>
      </c>
      <c r="E1340">
        <v>1.18007079311578</v>
      </c>
      <c r="F1340">
        <v>1.06032605770913</v>
      </c>
      <c r="G1340">
        <v>0.899178292404298</v>
      </c>
      <c r="H1340">
        <v>0.684976618899206</v>
      </c>
      <c r="I1340">
        <v>0.37562743098439</v>
      </c>
      <c r="J1340">
        <v>0.149763184117395</v>
      </c>
      <c r="K1340">
        <v>0.118257719422878</v>
      </c>
      <c r="L1340">
        <v>1467.65718628207</v>
      </c>
      <c r="M1340">
        <v>24.8454557626826</v>
      </c>
      <c r="N1340">
        <v>59.3712166117502</v>
      </c>
      <c r="O1340">
        <v>58.6927663604577</v>
      </c>
      <c r="P1340">
        <v>-0.0995915131081702</v>
      </c>
      <c r="Q1340">
        <v>0.0589473695287366</v>
      </c>
      <c r="R1340">
        <v>0.95808544624015</v>
      </c>
      <c r="S1340" t="s">
        <v>3008</v>
      </c>
      <c r="T1340" t="s">
        <v>3312</v>
      </c>
      <c r="U1340" t="s">
        <v>3312</v>
      </c>
      <c r="V1340" t="s">
        <v>3312</v>
      </c>
      <c r="W1340" t="s">
        <v>4649</v>
      </c>
      <c r="X1340">
        <v>3</v>
      </c>
      <c r="Y1340" t="s">
        <v>6291</v>
      </c>
      <c r="Z1340" t="s">
        <v>7933</v>
      </c>
      <c r="AA1340">
        <v>0.7559255104439575</v>
      </c>
      <c r="AB1340">
        <f>HYPERLINK("Melting_Curves/meltCurve_P61714_ribE.pdf", "Melting_Curves/meltCurve_P61714_ribE.pdf")</f>
        <v>0</v>
      </c>
    </row>
    <row r="1341" spans="1:28">
      <c r="A1341" t="s">
        <v>1367</v>
      </c>
      <c r="B1341">
        <v>0.999984544473304</v>
      </c>
      <c r="C1341">
        <v>0.898945380710311</v>
      </c>
      <c r="D1341">
        <v>1.06220217359295</v>
      </c>
      <c r="E1341">
        <v>1.02764198108272</v>
      </c>
      <c r="F1341">
        <v>0.991345758861827</v>
      </c>
      <c r="G1341">
        <v>0.355304385731393</v>
      </c>
      <c r="H1341">
        <v>0.0866061435469601</v>
      </c>
      <c r="I1341">
        <v>0.0261460890545875</v>
      </c>
      <c r="J1341">
        <v>0.0105214704569509</v>
      </c>
      <c r="K1341">
        <v>0.0103039526439951</v>
      </c>
      <c r="L1341">
        <v>3180.11698384602</v>
      </c>
      <c r="M1341">
        <v>59.7712558928018</v>
      </c>
      <c r="N1341">
        <v>53.2588953331357</v>
      </c>
      <c r="O1341">
        <v>53.1453295080728</v>
      </c>
      <c r="P1341">
        <v>-0.272886252429063</v>
      </c>
      <c r="Q1341">
        <v>0.02945833214804</v>
      </c>
      <c r="R1341">
        <v>0.991524199534094</v>
      </c>
      <c r="S1341" t="s">
        <v>3009</v>
      </c>
      <c r="T1341" t="s">
        <v>3312</v>
      </c>
      <c r="U1341" t="s">
        <v>3312</v>
      </c>
      <c r="V1341" t="s">
        <v>3312</v>
      </c>
      <c r="W1341" t="s">
        <v>4650</v>
      </c>
      <c r="X1341">
        <v>10</v>
      </c>
      <c r="Y1341" t="s">
        <v>6292</v>
      </c>
      <c r="Z1341" t="s">
        <v>7934</v>
      </c>
      <c r="AA1341">
        <v>0.5552967219944096</v>
      </c>
      <c r="AB1341">
        <f>HYPERLINK("Melting_Curves/meltCurve_P61889_mdh.pdf", "Melting_Curves/meltCurve_P61889_mdh.pdf")</f>
        <v>0</v>
      </c>
    </row>
    <row r="1342" spans="1:28">
      <c r="A1342" t="s">
        <v>1368</v>
      </c>
      <c r="B1342">
        <v>0.999984544473304</v>
      </c>
      <c r="C1342">
        <v>1.17733285400696</v>
      </c>
      <c r="D1342">
        <v>1.02063999405136</v>
      </c>
      <c r="E1342">
        <v>1.35093947430595</v>
      </c>
      <c r="F1342">
        <v>1.25204434917232</v>
      </c>
      <c r="G1342">
        <v>1.14563607713163</v>
      </c>
      <c r="H1342">
        <v>1.03853834257797</v>
      </c>
      <c r="I1342">
        <v>1.09636472444828</v>
      </c>
      <c r="J1342">
        <v>0.708270747770307</v>
      </c>
      <c r="K1342">
        <v>0.913700202693691</v>
      </c>
      <c r="L1342">
        <v>15000</v>
      </c>
      <c r="M1342">
        <v>239.987032797965</v>
      </c>
      <c r="O1342">
        <v>62.4990365244728</v>
      </c>
      <c r="P1342">
        <v>-0.181426541723628</v>
      </c>
      <c r="Q1342">
        <v>0.811006721202124</v>
      </c>
      <c r="R1342">
        <v>0.07415277546985111</v>
      </c>
      <c r="S1342" t="s">
        <v>3010</v>
      </c>
      <c r="T1342" t="s">
        <v>3312</v>
      </c>
      <c r="U1342" t="s">
        <v>3312</v>
      </c>
      <c r="V1342" t="s">
        <v>3312</v>
      </c>
      <c r="W1342" t="s">
        <v>4651</v>
      </c>
      <c r="X1342">
        <v>3</v>
      </c>
      <c r="Y1342" t="s">
        <v>6293</v>
      </c>
      <c r="Z1342" t="s">
        <v>7935</v>
      </c>
      <c r="AA1342">
        <v>0.9716947802744217</v>
      </c>
      <c r="AB1342">
        <f>HYPERLINK("Melting_Curves/meltCurve_P61949_fldA.pdf", "Melting_Curves/meltCurve_P61949_fldA.pdf")</f>
        <v>0</v>
      </c>
    </row>
    <row r="1343" spans="1:28">
      <c r="A1343" t="s">
        <v>1369</v>
      </c>
      <c r="B1343">
        <v>0.999984544473304</v>
      </c>
      <c r="C1343">
        <v>0.6844906628531831</v>
      </c>
      <c r="D1343">
        <v>0.395778681277874</v>
      </c>
      <c r="E1343">
        <v>0.385732596585173</v>
      </c>
      <c r="F1343">
        <v>0.313664873834308</v>
      </c>
      <c r="G1343">
        <v>0.26251618436494</v>
      </c>
      <c r="H1343">
        <v>0.228806045458409</v>
      </c>
      <c r="I1343">
        <v>0.217480032318623</v>
      </c>
      <c r="J1343">
        <v>0.174768667814198</v>
      </c>
      <c r="K1343">
        <v>0.196717157872778</v>
      </c>
      <c r="L1343">
        <v>845.87946567534</v>
      </c>
      <c r="M1343">
        <v>20.6964694061061</v>
      </c>
      <c r="N1343">
        <v>42.1784225439179</v>
      </c>
      <c r="O1343">
        <v>40.4948976941454</v>
      </c>
      <c r="P1343">
        <v>-0.0975189893770507</v>
      </c>
      <c r="Q1343">
        <v>0.236795797264987</v>
      </c>
      <c r="R1343">
        <v>0.955429089064756</v>
      </c>
      <c r="S1343" t="s">
        <v>3011</v>
      </c>
      <c r="T1343" t="s">
        <v>3312</v>
      </c>
      <c r="U1343" t="s">
        <v>3312</v>
      </c>
      <c r="V1343" t="s">
        <v>3312</v>
      </c>
      <c r="W1343" t="s">
        <v>4652</v>
      </c>
      <c r="X1343">
        <v>6</v>
      </c>
      <c r="Y1343" t="s">
        <v>6294</v>
      </c>
      <c r="Z1343" t="s">
        <v>7936</v>
      </c>
      <c r="AA1343">
        <v>0.3475971719766807</v>
      </c>
      <c r="AB1343">
        <f>HYPERLINK("Melting_Curves/meltCurve_P62399_rplE.pdf", "Melting_Curves/meltCurve_P62399_rplE.pdf")</f>
        <v>0</v>
      </c>
    </row>
    <row r="1344" spans="1:28">
      <c r="A1344" t="s">
        <v>1370</v>
      </c>
      <c r="B1344">
        <v>0.999984544473304</v>
      </c>
      <c r="C1344">
        <v>1.01140308435254</v>
      </c>
      <c r="D1344">
        <v>0.296324972448392</v>
      </c>
      <c r="E1344">
        <v>0.166655500204386</v>
      </c>
      <c r="F1344">
        <v>0.0663928247110035</v>
      </c>
      <c r="G1344">
        <v>0.0442718943913067</v>
      </c>
      <c r="H1344">
        <v>0.0303742336112936</v>
      </c>
      <c r="I1344">
        <v>0.0238811219520585</v>
      </c>
      <c r="J1344">
        <v>0.0103723175648925</v>
      </c>
      <c r="K1344">
        <v>0.0081751773985519</v>
      </c>
      <c r="L1344">
        <v>3673.70727059463</v>
      </c>
      <c r="M1344">
        <v>86.48112386262299</v>
      </c>
      <c r="N1344">
        <v>42.5315726716459</v>
      </c>
      <c r="O1344">
        <v>42.4571749460229</v>
      </c>
      <c r="P1344">
        <v>-0.483819575787822</v>
      </c>
      <c r="Q1344">
        <v>0.049891606796533</v>
      </c>
      <c r="R1344">
        <v>0.987213044501125</v>
      </c>
      <c r="S1344" t="s">
        <v>3012</v>
      </c>
      <c r="T1344" t="s">
        <v>3312</v>
      </c>
      <c r="U1344" t="s">
        <v>3312</v>
      </c>
      <c r="V1344" t="s">
        <v>3312</v>
      </c>
      <c r="W1344" t="s">
        <v>4653</v>
      </c>
      <c r="X1344">
        <v>2</v>
      </c>
      <c r="Y1344" t="s">
        <v>6295</v>
      </c>
      <c r="Z1344" t="s">
        <v>7937</v>
      </c>
      <c r="AA1344">
        <v>0.224033683026633</v>
      </c>
      <c r="AB1344">
        <f>HYPERLINK("Melting_Curves/meltCurve_P62517_mdoH.pdf", "Melting_Curves/meltCurve_P62517_mdoH.pdf")</f>
        <v>0</v>
      </c>
    </row>
    <row r="1345" spans="1:28">
      <c r="A1345" t="s">
        <v>1371</v>
      </c>
      <c r="B1345">
        <v>0.999984544473304</v>
      </c>
      <c r="C1345">
        <v>0.760906835569174</v>
      </c>
      <c r="D1345">
        <v>0.380642007800427</v>
      </c>
      <c r="E1345">
        <v>0.104539149607904</v>
      </c>
      <c r="F1345">
        <v>0.0881070186239792</v>
      </c>
      <c r="G1345">
        <v>0.0507831320846816</v>
      </c>
      <c r="H1345">
        <v>0.034898093647474</v>
      </c>
      <c r="I1345">
        <v>0.0198133387032642</v>
      </c>
      <c r="J1345">
        <v>0.0124297645430476</v>
      </c>
      <c r="K1345">
        <v>0.0168487306158049</v>
      </c>
      <c r="L1345">
        <v>989.356671289728</v>
      </c>
      <c r="M1345">
        <v>23.5984037493832</v>
      </c>
      <c r="N1345">
        <v>42.0392590467781</v>
      </c>
      <c r="O1345">
        <v>41.6271474078478</v>
      </c>
      <c r="P1345">
        <v>-0.137314624476242</v>
      </c>
      <c r="Q1345">
        <v>0.0311345662086388</v>
      </c>
      <c r="R1345">
        <v>0.996255514198591</v>
      </c>
      <c r="S1345" t="s">
        <v>3013</v>
      </c>
      <c r="T1345" t="s">
        <v>3312</v>
      </c>
      <c r="U1345" t="s">
        <v>3312</v>
      </c>
      <c r="V1345" t="s">
        <v>3312</v>
      </c>
      <c r="W1345" t="s">
        <v>4654</v>
      </c>
      <c r="X1345">
        <v>1</v>
      </c>
      <c r="Y1345" t="s">
        <v>6296</v>
      </c>
      <c r="Z1345" t="s">
        <v>7938</v>
      </c>
      <c r="AA1345">
        <v>0.200128694453426</v>
      </c>
      <c r="AB1345">
        <f>HYPERLINK("Melting_Curves/meltCurve_P62615_ispE.pdf", "Melting_Curves/meltCurve_P62615_ispE.pdf")</f>
        <v>0</v>
      </c>
    </row>
    <row r="1346" spans="1:28">
      <c r="A1346" t="s">
        <v>1372</v>
      </c>
      <c r="B1346">
        <v>0.999984544473304</v>
      </c>
      <c r="C1346">
        <v>0.852960354199144</v>
      </c>
      <c r="D1346">
        <v>1.17010777686614</v>
      </c>
      <c r="E1346">
        <v>1.05464237181327</v>
      </c>
      <c r="F1346">
        <v>2.16668061130384</v>
      </c>
      <c r="G1346">
        <v>1.56574625119873</v>
      </c>
      <c r="H1346">
        <v>1.92161541938804</v>
      </c>
      <c r="I1346">
        <v>2.07216131994887</v>
      </c>
      <c r="J1346">
        <v>1.92356638127611</v>
      </c>
      <c r="K1346">
        <v>1.19691404185637</v>
      </c>
      <c r="L1346">
        <v>11747.7692699591</v>
      </c>
      <c r="M1346">
        <v>250</v>
      </c>
      <c r="O1346">
        <v>46.9880807879858</v>
      </c>
      <c r="P1346">
        <v>0.665062430434654</v>
      </c>
      <c r="Q1346">
        <v>1.5</v>
      </c>
      <c r="R1346">
        <v>0.420238955596872</v>
      </c>
      <c r="S1346" t="s">
        <v>3014</v>
      </c>
      <c r="T1346" t="s">
        <v>3312</v>
      </c>
      <c r="U1346" t="s">
        <v>3312</v>
      </c>
      <c r="V1346" t="s">
        <v>3312</v>
      </c>
      <c r="W1346" t="s">
        <v>4655</v>
      </c>
      <c r="X1346">
        <v>1</v>
      </c>
      <c r="Y1346" t="s">
        <v>6297</v>
      </c>
      <c r="Z1346" t="s">
        <v>7939</v>
      </c>
      <c r="AA1346">
        <v>1.333440814364934</v>
      </c>
      <c r="AB1346">
        <f>HYPERLINK("Melting_Curves/meltCurve_P62617_ispF.pdf", "Melting_Curves/meltCurve_P62617_ispF.pdf")</f>
        <v>0</v>
      </c>
    </row>
    <row r="1347" spans="1:28">
      <c r="A1347" t="s">
        <v>1373</v>
      </c>
      <c r="B1347">
        <v>0.999984544473304</v>
      </c>
      <c r="C1347">
        <v>0.839369033708583</v>
      </c>
      <c r="D1347">
        <v>0.591767584890045</v>
      </c>
      <c r="E1347">
        <v>0.410379351298452</v>
      </c>
      <c r="F1347">
        <v>0.275191808904538</v>
      </c>
      <c r="G1347">
        <v>0.1582418550524</v>
      </c>
      <c r="H1347">
        <v>0.135345372202172</v>
      </c>
      <c r="I1347">
        <v>0.0905951536711037</v>
      </c>
      <c r="J1347">
        <v>0.0769822324967557</v>
      </c>
      <c r="K1347">
        <v>0.0855544172870174</v>
      </c>
      <c r="L1347">
        <v>583.004235850184</v>
      </c>
      <c r="M1347">
        <v>13.1147988478988</v>
      </c>
      <c r="N1347">
        <v>45.0198465237677</v>
      </c>
      <c r="O1347">
        <v>43.4584656467364</v>
      </c>
      <c r="P1347">
        <v>-0.06972302116113741</v>
      </c>
      <c r="Q1347">
        <v>0.0759940848222212</v>
      </c>
      <c r="R1347">
        <v>0.992539452469836</v>
      </c>
      <c r="S1347" t="s">
        <v>3015</v>
      </c>
      <c r="T1347" t="s">
        <v>3312</v>
      </c>
      <c r="U1347" t="s">
        <v>3312</v>
      </c>
      <c r="V1347" t="s">
        <v>3312</v>
      </c>
      <c r="W1347" t="s">
        <v>4656</v>
      </c>
      <c r="X1347">
        <v>3</v>
      </c>
      <c r="Y1347" t="s">
        <v>6298</v>
      </c>
      <c r="Z1347" t="s">
        <v>7940</v>
      </c>
      <c r="AA1347">
        <v>0.3349150036308981</v>
      </c>
      <c r="AB1347">
        <f>HYPERLINK("Melting_Curves/meltCurve_P62620_ispG.pdf", "Melting_Curves/meltCurve_P62620_ispG.pdf")</f>
        <v>0</v>
      </c>
    </row>
    <row r="1348" spans="1:28">
      <c r="A1348" t="s">
        <v>1374</v>
      </c>
      <c r="B1348">
        <v>0.999984544473304</v>
      </c>
      <c r="C1348">
        <v>0.919055275317311</v>
      </c>
      <c r="D1348">
        <v>0.795451024352491</v>
      </c>
      <c r="E1348">
        <v>0.811974591623139</v>
      </c>
      <c r="F1348">
        <v>0.644338528645661</v>
      </c>
      <c r="G1348">
        <v>0.438310254954269</v>
      </c>
      <c r="H1348">
        <v>0.292304206204217</v>
      </c>
      <c r="I1348">
        <v>0.16734576138208</v>
      </c>
      <c r="J1348">
        <v>0.113949841350621</v>
      </c>
      <c r="K1348">
        <v>0.0871330396472841</v>
      </c>
      <c r="L1348">
        <v>525.706959053124</v>
      </c>
      <c r="M1348">
        <v>10.0498749868261</v>
      </c>
      <c r="N1348">
        <v>52.3098008345543</v>
      </c>
      <c r="O1348">
        <v>50.3652402606555</v>
      </c>
      <c r="P1348">
        <v>-0.0499087700990316</v>
      </c>
      <c r="Q1348">
        <v>0</v>
      </c>
      <c r="R1348">
        <v>0.984843924408889</v>
      </c>
      <c r="S1348" t="s">
        <v>3016</v>
      </c>
      <c r="T1348" t="s">
        <v>3312</v>
      </c>
      <c r="U1348" t="s">
        <v>3312</v>
      </c>
      <c r="V1348" t="s">
        <v>3312</v>
      </c>
      <c r="W1348" t="s">
        <v>4657</v>
      </c>
      <c r="X1348">
        <v>4</v>
      </c>
      <c r="Y1348" t="s">
        <v>6299</v>
      </c>
      <c r="Z1348" t="s">
        <v>7941</v>
      </c>
      <c r="AA1348">
        <v>0.5356680459779392</v>
      </c>
      <c r="AB1348">
        <f>HYPERLINK("Melting_Curves/meltCurve_P62623_ispH.pdf", "Melting_Curves/meltCurve_P62623_ispH.pdf")</f>
        <v>0</v>
      </c>
    </row>
    <row r="1349" spans="1:28">
      <c r="A1349" t="s">
        <v>1375</v>
      </c>
      <c r="B1349">
        <v>0.999984544473304</v>
      </c>
      <c r="C1349">
        <v>0.792869006104842</v>
      </c>
      <c r="D1349">
        <v>0.71503390774248</v>
      </c>
      <c r="E1349">
        <v>0.403383282102491</v>
      </c>
      <c r="F1349">
        <v>0.207909826965774</v>
      </c>
      <c r="G1349">
        <v>0.112239851719998</v>
      </c>
      <c r="H1349">
        <v>0.08368102413789021</v>
      </c>
      <c r="I1349">
        <v>0.0607265183688929</v>
      </c>
      <c r="J1349">
        <v>0.0542915581294761</v>
      </c>
      <c r="K1349">
        <v>0.0406759387869871</v>
      </c>
      <c r="L1349">
        <v>630.6599067337399</v>
      </c>
      <c r="M1349">
        <v>13.9969902864565</v>
      </c>
      <c r="N1349">
        <v>45.2754476078682</v>
      </c>
      <c r="O1349">
        <v>44.1670239561094</v>
      </c>
      <c r="P1349">
        <v>-0.0766488548806267</v>
      </c>
      <c r="Q1349">
        <v>0.0326767237969621</v>
      </c>
      <c r="R1349">
        <v>0.992212981429725</v>
      </c>
      <c r="S1349" t="s">
        <v>3017</v>
      </c>
      <c r="T1349" t="s">
        <v>3312</v>
      </c>
      <c r="U1349" t="s">
        <v>3312</v>
      </c>
      <c r="V1349" t="s">
        <v>3312</v>
      </c>
      <c r="W1349" t="s">
        <v>4658</v>
      </c>
      <c r="X1349">
        <v>3</v>
      </c>
      <c r="Y1349" t="s">
        <v>6300</v>
      </c>
      <c r="Z1349" t="s">
        <v>7942</v>
      </c>
      <c r="AA1349">
        <v>0.3187648734495108</v>
      </c>
      <c r="AB1349">
        <f>HYPERLINK("Melting_Curves/meltCurve_P62672_apaG.pdf", "Melting_Curves/meltCurve_P62672_apaG.pdf")</f>
        <v>0</v>
      </c>
    </row>
    <row r="1350" spans="1:28">
      <c r="A1350" t="s">
        <v>1376</v>
      </c>
      <c r="B1350">
        <v>0.999984544473304</v>
      </c>
      <c r="C1350">
        <v>0.825849368681724</v>
      </c>
      <c r="D1350">
        <v>1.09402047557969</v>
      </c>
      <c r="E1350">
        <v>1.04274421480262</v>
      </c>
      <c r="F1350">
        <v>1.19918174706332</v>
      </c>
      <c r="G1350">
        <v>0.636864878549698</v>
      </c>
      <c r="H1350">
        <v>0.147647907590986</v>
      </c>
      <c r="I1350">
        <v>0.0624153139128033</v>
      </c>
      <c r="J1350">
        <v>0.0431751636162434</v>
      </c>
      <c r="K1350">
        <v>0.0315571513638527</v>
      </c>
      <c r="L1350">
        <v>3213.54112740931</v>
      </c>
      <c r="M1350">
        <v>59.2000305389254</v>
      </c>
      <c r="N1350">
        <v>54.4007997322202</v>
      </c>
      <c r="O1350">
        <v>54.2209242976203</v>
      </c>
      <c r="P1350">
        <v>-0.25650696732883</v>
      </c>
      <c r="Q1350">
        <v>0.0602681420318219</v>
      </c>
      <c r="R1350">
        <v>0.958968928450197</v>
      </c>
      <c r="S1350" t="s">
        <v>3018</v>
      </c>
      <c r="T1350" t="s">
        <v>3312</v>
      </c>
      <c r="U1350" t="s">
        <v>3312</v>
      </c>
      <c r="V1350" t="s">
        <v>3312</v>
      </c>
      <c r="W1350" t="s">
        <v>4659</v>
      </c>
      <c r="X1350">
        <v>7</v>
      </c>
      <c r="Y1350" t="s">
        <v>6301</v>
      </c>
      <c r="Z1350" t="s">
        <v>7943</v>
      </c>
      <c r="AA1350">
        <v>0.6032421066769224</v>
      </c>
      <c r="AB1350">
        <f>HYPERLINK("Melting_Curves/meltCurve_P62707_gpmA.pdf", "Melting_Curves/meltCurve_P62707_gpmA.pdf")</f>
        <v>0</v>
      </c>
    </row>
    <row r="1351" spans="1:28">
      <c r="A1351" t="s">
        <v>1377</v>
      </c>
      <c r="B1351">
        <v>0.999984544473304</v>
      </c>
      <c r="C1351">
        <v>0.88017959915102</v>
      </c>
      <c r="D1351">
        <v>1.04308662656526</v>
      </c>
      <c r="E1351">
        <v>1.07463446227922</v>
      </c>
      <c r="F1351">
        <v>1.14864099253245</v>
      </c>
      <c r="G1351">
        <v>0.859522247462109</v>
      </c>
      <c r="H1351">
        <v>0.712080438559017</v>
      </c>
      <c r="I1351">
        <v>0.569853939761817</v>
      </c>
      <c r="J1351">
        <v>0.461395744981956</v>
      </c>
      <c r="K1351">
        <v>0.431562003308125</v>
      </c>
      <c r="L1351">
        <v>1433.88583252619</v>
      </c>
      <c r="M1351">
        <v>24.946685932635</v>
      </c>
      <c r="N1351">
        <v>62.3275459937959</v>
      </c>
      <c r="O1351">
        <v>57.1124951302365</v>
      </c>
      <c r="P1351">
        <v>-0.0624388555784548</v>
      </c>
      <c r="Q1351">
        <v>0.428222275259586</v>
      </c>
      <c r="R1351">
        <v>0.91387302665516</v>
      </c>
      <c r="S1351" t="s">
        <v>3019</v>
      </c>
      <c r="T1351" t="s">
        <v>3312</v>
      </c>
      <c r="U1351" t="s">
        <v>3312</v>
      </c>
      <c r="V1351" t="s">
        <v>3312</v>
      </c>
      <c r="W1351" t="s">
        <v>4660</v>
      </c>
      <c r="X1351">
        <v>11</v>
      </c>
      <c r="Y1351" t="s">
        <v>6302</v>
      </c>
      <c r="Z1351" t="s">
        <v>7944</v>
      </c>
      <c r="AA1351">
        <v>0.8225594336311572</v>
      </c>
      <c r="AB1351">
        <f>HYPERLINK("Melting_Curves/meltCurve_P62768_yaeH.pdf", "Melting_Curves/meltCurve_P62768_yaeH.pdf")</f>
        <v>0</v>
      </c>
    </row>
    <row r="1352" spans="1:28">
      <c r="A1352" t="s">
        <v>1378</v>
      </c>
      <c r="B1352">
        <v>0.999984544473304</v>
      </c>
      <c r="C1352">
        <v>1.02878587807875</v>
      </c>
      <c r="D1352">
        <v>0.812810036276046</v>
      </c>
      <c r="E1352">
        <v>1.13098765366152</v>
      </c>
      <c r="F1352">
        <v>1.06687595253626</v>
      </c>
      <c r="G1352">
        <v>0.919668293683347</v>
      </c>
      <c r="H1352">
        <v>0.924667292157425</v>
      </c>
      <c r="I1352">
        <v>0.835133903107309</v>
      </c>
      <c r="J1352">
        <v>0.623271895807018</v>
      </c>
      <c r="K1352">
        <v>0.786344608566294</v>
      </c>
      <c r="L1352">
        <v>1804.46039571225</v>
      </c>
      <c r="M1352">
        <v>30.4304769490852</v>
      </c>
      <c r="O1352">
        <v>59.043470953674</v>
      </c>
      <c r="P1352">
        <v>-0.0380547577620275</v>
      </c>
      <c r="Q1352">
        <v>0.704655062474469</v>
      </c>
      <c r="R1352">
        <v>0.610392130069186</v>
      </c>
      <c r="S1352" t="s">
        <v>3020</v>
      </c>
      <c r="T1352" t="s">
        <v>3312</v>
      </c>
      <c r="U1352" t="s">
        <v>3312</v>
      </c>
      <c r="V1352" t="s">
        <v>3312</v>
      </c>
      <c r="W1352" t="s">
        <v>4661</v>
      </c>
      <c r="X1352">
        <v>6</v>
      </c>
      <c r="Y1352" t="s">
        <v>6303</v>
      </c>
      <c r="Z1352" t="s">
        <v>7945</v>
      </c>
      <c r="AA1352">
        <v>0.9254874806548042</v>
      </c>
      <c r="AB1352">
        <f>HYPERLINK("Melting_Curves/meltCurve_P63020_nfuA.pdf", "Melting_Curves/meltCurve_P63020_nfuA.pdf")</f>
        <v>0</v>
      </c>
    </row>
    <row r="1353" spans="1:28">
      <c r="A1353" t="s">
        <v>1379</v>
      </c>
      <c r="B1353">
        <v>0.999984544473304</v>
      </c>
      <c r="C1353">
        <v>0.958767035779868</v>
      </c>
      <c r="D1353">
        <v>0.636652785623353</v>
      </c>
      <c r="E1353">
        <v>0.230159606885582</v>
      </c>
      <c r="F1353">
        <v>0.0912420407587924</v>
      </c>
      <c r="G1353">
        <v>0.0508338818721688</v>
      </c>
      <c r="H1353">
        <v>0.0264061474271959</v>
      </c>
      <c r="I1353">
        <v>0.0107356746624735</v>
      </c>
      <c r="J1353">
        <v>0.0140063090721945</v>
      </c>
      <c r="K1353">
        <v>0.0130459523267998</v>
      </c>
      <c r="L1353">
        <v>1065.46032462383</v>
      </c>
      <c r="M1353">
        <v>24.1842234071279</v>
      </c>
      <c r="N1353">
        <v>44.1415245523331</v>
      </c>
      <c r="O1353">
        <v>43.7580890332517</v>
      </c>
      <c r="P1353">
        <v>-0.135010095236887</v>
      </c>
      <c r="Q1353">
        <v>0.0228846300228598</v>
      </c>
      <c r="R1353">
        <v>0.998389547824589</v>
      </c>
      <c r="S1353" t="s">
        <v>3021</v>
      </c>
      <c r="T1353" t="s">
        <v>3312</v>
      </c>
      <c r="U1353" t="s">
        <v>3312</v>
      </c>
      <c r="V1353" t="s">
        <v>3312</v>
      </c>
      <c r="W1353" t="s">
        <v>4662</v>
      </c>
      <c r="X1353">
        <v>3</v>
      </c>
      <c r="Y1353" t="s">
        <v>6304</v>
      </c>
      <c r="Z1353" t="s">
        <v>7946</v>
      </c>
      <c r="AA1353">
        <v>0.2613229719128333</v>
      </c>
      <c r="AB1353">
        <f>HYPERLINK("Melting_Curves/meltCurve_P63177_rlmB.pdf", "Melting_Curves/meltCurve_P63177_rlmB.pdf")</f>
        <v>0</v>
      </c>
    </row>
    <row r="1354" spans="1:28">
      <c r="A1354" t="s">
        <v>1380</v>
      </c>
      <c r="B1354">
        <v>0.999984544473304</v>
      </c>
      <c r="C1354">
        <v>1.53245944913395</v>
      </c>
      <c r="D1354">
        <v>0.186556097769814</v>
      </c>
      <c r="E1354">
        <v>0.393795822486324</v>
      </c>
      <c r="F1354">
        <v>0.448157159538952</v>
      </c>
      <c r="G1354">
        <v>0.152404691384414</v>
      </c>
      <c r="H1354">
        <v>0.245690659109499</v>
      </c>
      <c r="I1354">
        <v>0.173818958274411</v>
      </c>
      <c r="J1354">
        <v>0.212582625747328</v>
      </c>
      <c r="K1354">
        <v>0.184635643913392</v>
      </c>
      <c r="L1354">
        <v>10393.0770921113</v>
      </c>
      <c r="M1354">
        <v>250</v>
      </c>
      <c r="N1354">
        <v>41.6882729214458</v>
      </c>
      <c r="O1354">
        <v>41.569648171088</v>
      </c>
      <c r="P1354">
        <v>-1.12676969782666</v>
      </c>
      <c r="Q1354">
        <v>0.25056928513014</v>
      </c>
      <c r="R1354">
        <v>0.803965691760927</v>
      </c>
      <c r="S1354" t="s">
        <v>3022</v>
      </c>
      <c r="T1354" t="s">
        <v>3312</v>
      </c>
      <c r="U1354" t="s">
        <v>3312</v>
      </c>
      <c r="V1354" t="s">
        <v>3312</v>
      </c>
      <c r="W1354" t="s">
        <v>4663</v>
      </c>
      <c r="X1354">
        <v>1</v>
      </c>
      <c r="Y1354" t="s">
        <v>6305</v>
      </c>
      <c r="Z1354" t="s">
        <v>7947</v>
      </c>
      <c r="AA1354">
        <v>0.3648449069670844</v>
      </c>
      <c r="AB1354">
        <f>HYPERLINK("Melting_Curves/meltCurve_P63204_gadE.pdf", "Melting_Curves/meltCurve_P63204_gadE.pdf")</f>
        <v>0</v>
      </c>
    </row>
    <row r="1355" spans="1:28">
      <c r="A1355" t="s">
        <v>1381</v>
      </c>
      <c r="B1355">
        <v>0.999984544473304</v>
      </c>
      <c r="C1355">
        <v>0.841076115399926</v>
      </c>
      <c r="D1355">
        <v>0.946870837032355</v>
      </c>
      <c r="E1355">
        <v>0.701079510008175</v>
      </c>
      <c r="F1355">
        <v>0.594842046160422</v>
      </c>
      <c r="G1355">
        <v>0.343155371126961</v>
      </c>
      <c r="H1355">
        <v>0.234206893734173</v>
      </c>
      <c r="I1355">
        <v>0.172257419898353</v>
      </c>
      <c r="J1355">
        <v>0.131256837733539</v>
      </c>
      <c r="K1355">
        <v>0.0920927745908276</v>
      </c>
      <c r="L1355">
        <v>538.645067741557</v>
      </c>
      <c r="M1355">
        <v>10.5797129265766</v>
      </c>
      <c r="N1355">
        <v>51.11990014954</v>
      </c>
      <c r="O1355">
        <v>49.1949993092734</v>
      </c>
      <c r="P1355">
        <v>-0.0526580757763725</v>
      </c>
      <c r="Q1355">
        <v>0.0209567527307751</v>
      </c>
      <c r="R1355">
        <v>0.980725147790421</v>
      </c>
      <c r="S1355" t="s">
        <v>3023</v>
      </c>
      <c r="T1355" t="s">
        <v>3312</v>
      </c>
      <c r="U1355" t="s">
        <v>3312</v>
      </c>
      <c r="V1355" t="s">
        <v>3312</v>
      </c>
      <c r="W1355" t="s">
        <v>4664</v>
      </c>
      <c r="X1355">
        <v>9</v>
      </c>
      <c r="Y1355" t="s">
        <v>6306</v>
      </c>
      <c r="Z1355" t="s">
        <v>7948</v>
      </c>
      <c r="AA1355">
        <v>0.5038287962891174</v>
      </c>
      <c r="AB1355">
        <f>HYPERLINK("Melting_Curves/meltCurve_P63224_gmhA.pdf", "Melting_Curves/meltCurve_P63224_gmhA.pdf")</f>
        <v>0</v>
      </c>
    </row>
    <row r="1356" spans="1:28">
      <c r="A1356" t="s">
        <v>1382</v>
      </c>
      <c r="B1356">
        <v>0.999984544473304</v>
      </c>
      <c r="C1356">
        <v>0.959872107844015</v>
      </c>
      <c r="D1356">
        <v>0.979631600145857</v>
      </c>
      <c r="E1356">
        <v>0.740675239425721</v>
      </c>
      <c r="F1356">
        <v>0.455500946710481</v>
      </c>
      <c r="G1356">
        <v>0.0986876077852339</v>
      </c>
      <c r="H1356">
        <v>0.0396049903939526</v>
      </c>
      <c r="I1356">
        <v>0.0338495142178548</v>
      </c>
      <c r="J1356">
        <v>0.014985478927069</v>
      </c>
      <c r="K1356">
        <v>0</v>
      </c>
      <c r="L1356">
        <v>1047.83950589419</v>
      </c>
      <c r="M1356">
        <v>21.2440905904414</v>
      </c>
      <c r="N1356">
        <v>49.3238108429869</v>
      </c>
      <c r="O1356">
        <v>48.8930178773531</v>
      </c>
      <c r="P1356">
        <v>-0.108628203332854</v>
      </c>
      <c r="Q1356">
        <v>0</v>
      </c>
      <c r="R1356">
        <v>0.995668780192237</v>
      </c>
      <c r="S1356" t="s">
        <v>3024</v>
      </c>
      <c r="T1356" t="s">
        <v>3312</v>
      </c>
      <c r="U1356" t="s">
        <v>3312</v>
      </c>
      <c r="V1356" t="s">
        <v>3312</v>
      </c>
      <c r="W1356" t="s">
        <v>4665</v>
      </c>
      <c r="X1356">
        <v>1</v>
      </c>
      <c r="Y1356" t="s">
        <v>6307</v>
      </c>
      <c r="Z1356" t="s">
        <v>7949</v>
      </c>
      <c r="AA1356">
        <v>0.4225997492672444</v>
      </c>
      <c r="AB1356">
        <f>HYPERLINK("Melting_Curves/meltCurve_P63229_gmhB.pdf", "Melting_Curves/meltCurve_P63229_gmhB.pdf")</f>
        <v>0</v>
      </c>
    </row>
    <row r="1357" spans="1:28">
      <c r="A1357" t="s">
        <v>1383</v>
      </c>
      <c r="B1357">
        <v>0.999984544473304</v>
      </c>
      <c r="C1357">
        <v>1.30681674177083</v>
      </c>
      <c r="D1357">
        <v>0.826965351162691</v>
      </c>
      <c r="E1357">
        <v>0.650501011982782</v>
      </c>
      <c r="F1357">
        <v>0.313906296908092</v>
      </c>
      <c r="G1357">
        <v>0.14486615073876</v>
      </c>
      <c r="H1357">
        <v>0.0595625545545852</v>
      </c>
      <c r="I1357">
        <v>0.0269461674413189</v>
      </c>
      <c r="J1357">
        <v>0.0174513236556312</v>
      </c>
      <c r="K1357">
        <v>0.0128575624349428</v>
      </c>
      <c r="L1357">
        <v>957.798567053335</v>
      </c>
      <c r="M1357">
        <v>19.9381911756857</v>
      </c>
      <c r="N1357">
        <v>48.1300768113502</v>
      </c>
      <c r="O1357">
        <v>47.5629711298029</v>
      </c>
      <c r="P1357">
        <v>-0.102849384263657</v>
      </c>
      <c r="Q1357">
        <v>0.01863486916476</v>
      </c>
      <c r="R1357">
        <v>0.944665181631499</v>
      </c>
      <c r="S1357" t="s">
        <v>3025</v>
      </c>
      <c r="T1357" t="s">
        <v>3312</v>
      </c>
      <c r="U1357" t="s">
        <v>3312</v>
      </c>
      <c r="V1357" t="s">
        <v>3312</v>
      </c>
      <c r="W1357" t="s">
        <v>4666</v>
      </c>
      <c r="X1357">
        <v>6</v>
      </c>
      <c r="Y1357" t="s">
        <v>6308</v>
      </c>
      <c r="Z1357" t="s">
        <v>7950</v>
      </c>
      <c r="AA1357">
        <v>0.3926955465479527</v>
      </c>
      <c r="AB1357">
        <f>HYPERLINK("Melting_Curves/meltCurve_P63235_gadC.pdf", "Melting_Curves/meltCurve_P63235_gadC.pdf")</f>
        <v>0</v>
      </c>
    </row>
    <row r="1358" spans="1:28">
      <c r="A1358" t="s">
        <v>1384</v>
      </c>
      <c r="B1358">
        <v>0.999984544473304</v>
      </c>
      <c r="C1358">
        <v>1.27159973345069</v>
      </c>
      <c r="D1358">
        <v>1.10404640599402</v>
      </c>
      <c r="E1358">
        <v>1.56469971209082</v>
      </c>
      <c r="F1358">
        <v>1.13594568081054</v>
      </c>
      <c r="G1358">
        <v>0.89863842603612</v>
      </c>
      <c r="H1358">
        <v>0.473683348465228</v>
      </c>
      <c r="I1358">
        <v>0.0836262237389525</v>
      </c>
      <c r="J1358">
        <v>0.0296317316884327</v>
      </c>
      <c r="K1358">
        <v>0.0234495811846196</v>
      </c>
      <c r="L1358">
        <v>2276.52108053693</v>
      </c>
      <c r="M1358">
        <v>39.8292028765204</v>
      </c>
      <c r="N1358">
        <v>57.2055173301043</v>
      </c>
      <c r="O1358">
        <v>57.0135657548334</v>
      </c>
      <c r="P1358">
        <v>-0.171752601142259</v>
      </c>
      <c r="Q1358">
        <v>0.016580112296939</v>
      </c>
      <c r="R1358">
        <v>0.851827163667679</v>
      </c>
      <c r="S1358" t="s">
        <v>3026</v>
      </c>
      <c r="T1358" t="s">
        <v>3312</v>
      </c>
      <c r="U1358" t="s">
        <v>3312</v>
      </c>
      <c r="V1358" t="s">
        <v>3312</v>
      </c>
      <c r="W1358" t="s">
        <v>4667</v>
      </c>
      <c r="X1358">
        <v>36</v>
      </c>
      <c r="Y1358" t="s">
        <v>6309</v>
      </c>
      <c r="Z1358" t="s">
        <v>7951</v>
      </c>
      <c r="AA1358">
        <v>0.6810651715810335</v>
      </c>
      <c r="AB1358">
        <f>HYPERLINK("Melting_Curves/meltCurve_P63284_clpB.pdf", "Melting_Curves/meltCurve_P63284_clpB.pdf")</f>
        <v>0</v>
      </c>
    </row>
    <row r="1359" spans="1:28">
      <c r="A1359" t="s">
        <v>1385</v>
      </c>
      <c r="B1359">
        <v>0.999984544473304</v>
      </c>
      <c r="C1359">
        <v>1.35079100780773</v>
      </c>
      <c r="D1359">
        <v>0.9299414999178059</v>
      </c>
      <c r="E1359">
        <v>0.911113117086197</v>
      </c>
      <c r="F1359">
        <v>0.7048658399368199</v>
      </c>
      <c r="G1359">
        <v>0.408754234752382</v>
      </c>
      <c r="H1359">
        <v>0.376379002723801</v>
      </c>
      <c r="I1359">
        <v>0.285794554168804</v>
      </c>
      <c r="J1359">
        <v>0.146754876100506</v>
      </c>
      <c r="K1359">
        <v>0.0584875684452972</v>
      </c>
      <c r="L1359">
        <v>757.942017970539</v>
      </c>
      <c r="M1359">
        <v>14.315168056465</v>
      </c>
      <c r="N1359">
        <v>53.6489942264366</v>
      </c>
      <c r="O1359">
        <v>51.945682444648</v>
      </c>
      <c r="P1359">
        <v>-0.06301649200271341</v>
      </c>
      <c r="Q1359">
        <v>0.0854348192165468</v>
      </c>
      <c r="R1359">
        <v>0.905310541319294</v>
      </c>
      <c r="S1359" t="s">
        <v>3027</v>
      </c>
      <c r="T1359" t="s">
        <v>3312</v>
      </c>
      <c r="U1359" t="s">
        <v>3312</v>
      </c>
      <c r="V1359" t="s">
        <v>3312</v>
      </c>
      <c r="W1359" t="s">
        <v>4668</v>
      </c>
      <c r="X1359">
        <v>1</v>
      </c>
      <c r="Y1359" t="s">
        <v>6310</v>
      </c>
      <c r="Z1359" t="s">
        <v>7952</v>
      </c>
      <c r="AA1359">
        <v>0.5887012510230805</v>
      </c>
      <c r="AB1359">
        <f>HYPERLINK("Melting_Curves/meltCurve_P63340_yqeG.pdf", "Melting_Curves/meltCurve_P63340_yqeG.pdf")</f>
        <v>0</v>
      </c>
    </row>
    <row r="1360" spans="1:28">
      <c r="A1360" t="s">
        <v>1386</v>
      </c>
      <c r="B1360">
        <v>0.999984544473304</v>
      </c>
      <c r="C1360">
        <v>0.855387760647076</v>
      </c>
      <c r="D1360">
        <v>0.887148358463313</v>
      </c>
      <c r="E1360">
        <v>0.30074268909338</v>
      </c>
      <c r="F1360">
        <v>0.0679626549918058</v>
      </c>
      <c r="G1360">
        <v>0.0273277322462219</v>
      </c>
      <c r="H1360">
        <v>0.0294964870191662</v>
      </c>
      <c r="I1360">
        <v>0.0249684715631219</v>
      </c>
      <c r="J1360">
        <v>0.0105963261811546</v>
      </c>
      <c r="K1360">
        <v>0.0102446603126131</v>
      </c>
      <c r="L1360">
        <v>1476.83730558037</v>
      </c>
      <c r="M1360">
        <v>32.5523358881651</v>
      </c>
      <c r="N1360">
        <v>45.4236807933243</v>
      </c>
      <c r="O1360">
        <v>45.1979078148107</v>
      </c>
      <c r="P1360">
        <v>-0.176539247785396</v>
      </c>
      <c r="Q1360">
        <v>0.019527647071814</v>
      </c>
      <c r="R1360">
        <v>0.988016931645079</v>
      </c>
      <c r="S1360" t="s">
        <v>3028</v>
      </c>
      <c r="T1360" t="s">
        <v>3312</v>
      </c>
      <c r="U1360" t="s">
        <v>3312</v>
      </c>
      <c r="V1360" t="s">
        <v>3312</v>
      </c>
      <c r="W1360" t="s">
        <v>4669</v>
      </c>
      <c r="X1360">
        <v>2</v>
      </c>
      <c r="Y1360" t="s">
        <v>6311</v>
      </c>
      <c r="Z1360" t="s">
        <v>7953</v>
      </c>
      <c r="AA1360">
        <v>0.2976976437083979</v>
      </c>
      <c r="AB1360">
        <f>HYPERLINK("Melting_Curves/meltCurve_P63386_mlaF.pdf", "Melting_Curves/meltCurve_P63386_mlaF.pdf")</f>
        <v>0</v>
      </c>
    </row>
    <row r="1361" spans="1:28">
      <c r="A1361" t="s">
        <v>1387</v>
      </c>
      <c r="B1361">
        <v>0.999984544473304</v>
      </c>
      <c r="C1361">
        <v>1.04082210561378</v>
      </c>
      <c r="D1361">
        <v>0.679063729059325</v>
      </c>
      <c r="E1361">
        <v>0.225433932750719</v>
      </c>
      <c r="F1361">
        <v>0.0760196215664684</v>
      </c>
      <c r="G1361">
        <v>0.0447461955431414</v>
      </c>
      <c r="H1361">
        <v>0.0308903270324805</v>
      </c>
      <c r="I1361">
        <v>0.0128526918833014</v>
      </c>
      <c r="J1361">
        <v>0.0108955414337376</v>
      </c>
      <c r="K1361">
        <v>0.0123957321337546</v>
      </c>
      <c r="L1361">
        <v>1269.68965725589</v>
      </c>
      <c r="M1361">
        <v>28.6828069850738</v>
      </c>
      <c r="N1361">
        <v>44.3472927273089</v>
      </c>
      <c r="O1361">
        <v>44.053083463015</v>
      </c>
      <c r="P1361">
        <v>-0.15863438198838</v>
      </c>
      <c r="Q1361">
        <v>0.0254400774900581</v>
      </c>
      <c r="R1361">
        <v>0.994655236849232</v>
      </c>
      <c r="S1361" t="s">
        <v>3029</v>
      </c>
      <c r="T1361" t="s">
        <v>3312</v>
      </c>
      <c r="U1361" t="s">
        <v>3312</v>
      </c>
      <c r="V1361" t="s">
        <v>3312</v>
      </c>
      <c r="W1361" t="s">
        <v>4670</v>
      </c>
      <c r="X1361">
        <v>2</v>
      </c>
      <c r="Y1361" t="s">
        <v>6312</v>
      </c>
      <c r="Z1361" t="s">
        <v>7954</v>
      </c>
      <c r="AA1361">
        <v>0.2674588114598363</v>
      </c>
      <c r="AB1361">
        <f>HYPERLINK("Melting_Curves/meltCurve_P63389_yheS.pdf", "Melting_Curves/meltCurve_P63389_yheS.pdf")</f>
        <v>0</v>
      </c>
    </row>
    <row r="1362" spans="1:28">
      <c r="A1362" t="s">
        <v>1388</v>
      </c>
      <c r="B1362">
        <v>0.999984544473304</v>
      </c>
      <c r="C1362">
        <v>0.903284032096934</v>
      </c>
      <c r="D1362">
        <v>1.26078720269956</v>
      </c>
      <c r="E1362">
        <v>0.832268727600302</v>
      </c>
      <c r="F1362">
        <v>0.599731218064474</v>
      </c>
      <c r="G1362">
        <v>0.0934519707879277</v>
      </c>
      <c r="H1362">
        <v>0.107060989535125</v>
      </c>
      <c r="I1362">
        <v>0.0532858331199467</v>
      </c>
      <c r="J1362">
        <v>0.0623996238837821</v>
      </c>
      <c r="K1362">
        <v>0.0268119858469633</v>
      </c>
      <c r="L1362">
        <v>1617.89287948588</v>
      </c>
      <c r="M1362">
        <v>32.0960942295836</v>
      </c>
      <c r="N1362">
        <v>50.5595620377581</v>
      </c>
      <c r="O1362">
        <v>50.2133102025334</v>
      </c>
      <c r="P1362">
        <v>-0.152460051593909</v>
      </c>
      <c r="Q1362">
        <v>0.0459293093095018</v>
      </c>
      <c r="R1362">
        <v>0.951864929975339</v>
      </c>
      <c r="S1362" t="s">
        <v>3030</v>
      </c>
      <c r="T1362" t="s">
        <v>3312</v>
      </c>
      <c r="U1362" t="s">
        <v>3312</v>
      </c>
      <c r="V1362" t="s">
        <v>3312</v>
      </c>
      <c r="W1362" t="s">
        <v>4671</v>
      </c>
      <c r="X1362">
        <v>2</v>
      </c>
      <c r="Y1362" t="s">
        <v>6313</v>
      </c>
      <c r="Z1362" t="s">
        <v>7955</v>
      </c>
      <c r="AA1362">
        <v>0.4774848424459943</v>
      </c>
      <c r="AB1362">
        <f>HYPERLINK("Melting_Curves/meltCurve_P63883_amiC.pdf", "Melting_Curves/meltCurve_P63883_amiC.pdf")</f>
        <v>0</v>
      </c>
    </row>
    <row r="1363" spans="1:28">
      <c r="A1363" t="s">
        <v>1389</v>
      </c>
      <c r="B1363">
        <v>0.999984544473304</v>
      </c>
      <c r="C1363">
        <v>0.982294494045498</v>
      </c>
      <c r="D1363">
        <v>0.741079987084545</v>
      </c>
      <c r="E1363">
        <v>0.966996080110075</v>
      </c>
      <c r="F1363">
        <v>0.820690021822311</v>
      </c>
      <c r="G1363">
        <v>0.706314841085545</v>
      </c>
      <c r="H1363">
        <v>0.677899140266684</v>
      </c>
      <c r="I1363">
        <v>0.515973593612724</v>
      </c>
      <c r="J1363">
        <v>0.372437035402014</v>
      </c>
      <c r="K1363">
        <v>0.343861623058666</v>
      </c>
      <c r="L1363">
        <v>411.073867242835</v>
      </c>
      <c r="M1363">
        <v>6.71981423754135</v>
      </c>
      <c r="N1363">
        <v>61.1733972426606</v>
      </c>
      <c r="O1363">
        <v>56.4393279125997</v>
      </c>
      <c r="P1363">
        <v>-0.0298297293935919</v>
      </c>
      <c r="Q1363">
        <v>0</v>
      </c>
      <c r="R1363">
        <v>0.894279292686501</v>
      </c>
      <c r="S1363" t="s">
        <v>3031</v>
      </c>
      <c r="T1363" t="s">
        <v>3312</v>
      </c>
      <c r="U1363" t="s">
        <v>3312</v>
      </c>
      <c r="V1363" t="s">
        <v>3312</v>
      </c>
      <c r="W1363" t="s">
        <v>4672</v>
      </c>
      <c r="X1363">
        <v>3</v>
      </c>
      <c r="Y1363" t="s">
        <v>6314</v>
      </c>
      <c r="Z1363" t="s">
        <v>7956</v>
      </c>
      <c r="AA1363">
        <v>0.7305543615919963</v>
      </c>
      <c r="AB1363">
        <f>HYPERLINK("Melting_Curves/meltCurve_P64429_ypfJ.pdf", "Melting_Curves/meltCurve_P64429_ypfJ.pdf")</f>
        <v>0</v>
      </c>
    </row>
    <row r="1364" spans="1:28">
      <c r="A1364" t="s">
        <v>1390</v>
      </c>
      <c r="B1364">
        <v>0.999984544473304</v>
      </c>
      <c r="C1364">
        <v>0.790799840361861</v>
      </c>
      <c r="D1364">
        <v>0.959971225934188</v>
      </c>
      <c r="E1364">
        <v>0.966735369037093</v>
      </c>
      <c r="F1364">
        <v>1.18569838228674</v>
      </c>
      <c r="G1364">
        <v>0.902246225633806</v>
      </c>
      <c r="H1364">
        <v>0.766257614021539</v>
      </c>
      <c r="I1364">
        <v>0.584609627482138</v>
      </c>
      <c r="J1364">
        <v>0.547259062445568</v>
      </c>
      <c r="K1364">
        <v>0.399190733344315</v>
      </c>
      <c r="L1364">
        <v>1348.48471005158</v>
      </c>
      <c r="M1364">
        <v>22.9574407961228</v>
      </c>
      <c r="N1364">
        <v>63.5630057525203</v>
      </c>
      <c r="O1364">
        <v>58.29822975819</v>
      </c>
      <c r="P1364">
        <v>-0.0578434095251444</v>
      </c>
      <c r="Q1364">
        <v>0.41245988352098</v>
      </c>
      <c r="R1364">
        <v>0.823516360455374</v>
      </c>
      <c r="S1364" t="s">
        <v>3032</v>
      </c>
      <c r="T1364" t="s">
        <v>3312</v>
      </c>
      <c r="U1364" t="s">
        <v>3312</v>
      </c>
      <c r="V1364" t="s">
        <v>3312</v>
      </c>
      <c r="W1364" t="s">
        <v>4673</v>
      </c>
      <c r="X1364">
        <v>6</v>
      </c>
      <c r="Y1364" t="s">
        <v>6315</v>
      </c>
      <c r="Z1364" t="s">
        <v>7957</v>
      </c>
      <c r="AA1364">
        <v>0.8413984120195808</v>
      </c>
      <c r="AB1364">
        <f>HYPERLINK("Melting_Curves/meltCurve_P64451_ydcL.pdf", "Melting_Curves/meltCurve_P64451_ydcL.pdf")</f>
        <v>0</v>
      </c>
    </row>
    <row r="1365" spans="1:28">
      <c r="A1365" t="s">
        <v>1391</v>
      </c>
      <c r="B1365">
        <v>0.999984544473304</v>
      </c>
      <c r="C1365">
        <v>1.00738684843314</v>
      </c>
      <c r="D1365">
        <v>0.683967698790408</v>
      </c>
      <c r="E1365">
        <v>0.716340874212068</v>
      </c>
      <c r="F1365">
        <v>0.832273197357251</v>
      </c>
      <c r="G1365">
        <v>0.635271829201572</v>
      </c>
      <c r="H1365">
        <v>0.526612199653817</v>
      </c>
      <c r="I1365">
        <v>0.489764078573929</v>
      </c>
      <c r="J1365">
        <v>0.364631250102914</v>
      </c>
      <c r="K1365">
        <v>0.481453603228264</v>
      </c>
      <c r="L1365">
        <v>298.416188422171</v>
      </c>
      <c r="M1365">
        <v>5.4514888597155</v>
      </c>
      <c r="N1365">
        <v>60.4545435645326</v>
      </c>
      <c r="O1365">
        <v>48.6899840638401</v>
      </c>
      <c r="P1365">
        <v>-0.0224568916365159</v>
      </c>
      <c r="Q1365">
        <v>0.2013336628425</v>
      </c>
      <c r="R1365">
        <v>0.825369664123929</v>
      </c>
      <c r="S1365" t="s">
        <v>3033</v>
      </c>
      <c r="T1365" t="s">
        <v>3312</v>
      </c>
      <c r="U1365" t="s">
        <v>3312</v>
      </c>
      <c r="V1365" t="s">
        <v>3312</v>
      </c>
      <c r="W1365" t="s">
        <v>4674</v>
      </c>
      <c r="X1365">
        <v>1</v>
      </c>
      <c r="Y1365" t="s">
        <v>6316</v>
      </c>
      <c r="Z1365" t="s">
        <v>7958</v>
      </c>
      <c r="AA1365">
        <v>0.6689902679333751</v>
      </c>
      <c r="AB1365">
        <f>HYPERLINK("Melting_Curves/meltCurve_P64455_ydcY.pdf", "Melting_Curves/meltCurve_P64455_ydcY.pdf")</f>
        <v>0</v>
      </c>
    </row>
    <row r="1366" spans="1:28">
      <c r="A1366" t="s">
        <v>1392</v>
      </c>
      <c r="B1366">
        <v>0.999984544473304</v>
      </c>
      <c r="C1366">
        <v>1.01739849696367</v>
      </c>
      <c r="D1366">
        <v>0.931185916146823</v>
      </c>
      <c r="E1366">
        <v>0.846443957878304</v>
      </c>
      <c r="F1366">
        <v>0.6160205697403009</v>
      </c>
      <c r="G1366">
        <v>0.392722963385644</v>
      </c>
      <c r="H1366">
        <v>0.37375398675173</v>
      </c>
      <c r="I1366">
        <v>0.338642648918481</v>
      </c>
      <c r="J1366">
        <v>0.277526526312295</v>
      </c>
      <c r="K1366">
        <v>0.386275516869109</v>
      </c>
      <c r="L1366">
        <v>1039.24525744565</v>
      </c>
      <c r="M1366">
        <v>21.1004297698361</v>
      </c>
      <c r="N1366">
        <v>51.8613602677806</v>
      </c>
      <c r="O1366">
        <v>48.8163492839943</v>
      </c>
      <c r="P1366">
        <v>-0.07272269321549669</v>
      </c>
      <c r="Q1366">
        <v>0.327034957957007</v>
      </c>
      <c r="R1366">
        <v>0.988038185267921</v>
      </c>
      <c r="S1366" t="s">
        <v>3034</v>
      </c>
      <c r="T1366" t="s">
        <v>3312</v>
      </c>
      <c r="U1366" t="s">
        <v>3312</v>
      </c>
      <c r="V1366" t="s">
        <v>3312</v>
      </c>
      <c r="W1366" t="s">
        <v>4675</v>
      </c>
      <c r="X1366">
        <v>1</v>
      </c>
      <c r="Y1366" t="s">
        <v>6317</v>
      </c>
      <c r="Z1366" t="s">
        <v>7959</v>
      </c>
      <c r="AA1366">
        <v>0.6099237982280384</v>
      </c>
      <c r="AB1366">
        <f>HYPERLINK("Melting_Curves/meltCurve_P64461_lsrG.pdf", "Melting_Curves/meltCurve_P64461_lsrG.pdf")</f>
        <v>0</v>
      </c>
    </row>
    <row r="1367" spans="1:28">
      <c r="A1367" t="s">
        <v>1393</v>
      </c>
      <c r="B1367">
        <v>0.999984544473304</v>
      </c>
      <c r="C1367">
        <v>0.979941011529135</v>
      </c>
      <c r="D1367">
        <v>0.966281187185801</v>
      </c>
      <c r="E1367">
        <v>1.17353504177512</v>
      </c>
      <c r="F1367">
        <v>1.18356429926082</v>
      </c>
      <c r="G1367">
        <v>1.10233803615494</v>
      </c>
      <c r="H1367">
        <v>0.956943986082341</v>
      </c>
      <c r="I1367">
        <v>0.934812001558594</v>
      </c>
      <c r="J1367">
        <v>0.817877514149585</v>
      </c>
      <c r="K1367">
        <v>0.996003946827024</v>
      </c>
      <c r="L1367">
        <v>13642.4095123765</v>
      </c>
      <c r="M1367">
        <v>237.728592715394</v>
      </c>
      <c r="O1367">
        <v>57.3824288616844</v>
      </c>
      <c r="P1367">
        <v>-0.0867611215092572</v>
      </c>
      <c r="Q1367">
        <v>0.91623113041911</v>
      </c>
      <c r="R1367">
        <v>0.19027582987457</v>
      </c>
      <c r="S1367" t="s">
        <v>3035</v>
      </c>
      <c r="T1367" t="s">
        <v>3312</v>
      </c>
      <c r="U1367" t="s">
        <v>3312</v>
      </c>
      <c r="V1367" t="s">
        <v>3312</v>
      </c>
      <c r="W1367" t="s">
        <v>4676</v>
      </c>
      <c r="X1367">
        <v>2</v>
      </c>
      <c r="Y1367" t="s">
        <v>6318</v>
      </c>
      <c r="Z1367" t="s">
        <v>7960</v>
      </c>
      <c r="AA1367">
        <v>0.9731655681072032</v>
      </c>
      <c r="AB1367">
        <f>HYPERLINK("Melting_Curves/meltCurve_P64463_ydfZ.pdf", "Melting_Curves/meltCurve_P64463_ydfZ.pdf")</f>
        <v>0</v>
      </c>
    </row>
    <row r="1368" spans="1:28">
      <c r="A1368" t="s">
        <v>1394</v>
      </c>
      <c r="B1368">
        <v>0.999984544473304</v>
      </c>
      <c r="C1368">
        <v>1.23225300350725</v>
      </c>
      <c r="D1368">
        <v>0.493987074960417</v>
      </c>
      <c r="E1368">
        <v>0.926076890932456</v>
      </c>
      <c r="F1368">
        <v>0.642808926227062</v>
      </c>
      <c r="G1368">
        <v>0.441884381481492</v>
      </c>
      <c r="H1368">
        <v>0.525791711562193</v>
      </c>
      <c r="I1368">
        <v>0.332296834685276</v>
      </c>
      <c r="J1368">
        <v>0.275892373125792</v>
      </c>
      <c r="K1368">
        <v>0.316003809558286</v>
      </c>
      <c r="L1368">
        <v>443.274834450675</v>
      </c>
      <c r="M1368">
        <v>8.63232806800551</v>
      </c>
      <c r="N1368">
        <v>54.50815736356</v>
      </c>
      <c r="O1368">
        <v>48.8178077286378</v>
      </c>
      <c r="P1368">
        <v>-0.0355391933232713</v>
      </c>
      <c r="Q1368">
        <v>0.1967534267765</v>
      </c>
      <c r="R1368">
        <v>0.712833182480912</v>
      </c>
      <c r="S1368" t="s">
        <v>3036</v>
      </c>
      <c r="T1368" t="s">
        <v>3312</v>
      </c>
      <c r="U1368" t="s">
        <v>3312</v>
      </c>
      <c r="V1368" t="s">
        <v>3312</v>
      </c>
      <c r="W1368" t="s">
        <v>4677</v>
      </c>
      <c r="X1368">
        <v>2</v>
      </c>
      <c r="Y1368" t="s">
        <v>6319</v>
      </c>
      <c r="Z1368" t="s">
        <v>7961</v>
      </c>
      <c r="AA1368">
        <v>0.606427284748144</v>
      </c>
      <c r="AB1368">
        <f>HYPERLINK("Melting_Curves/meltCurve_P64467_cnu.pdf", "Melting_Curves/meltCurve_P64467_cnu.pdf")</f>
        <v>0</v>
      </c>
    </row>
    <row r="1369" spans="1:28">
      <c r="A1369" t="s">
        <v>1395</v>
      </c>
      <c r="B1369">
        <v>0.999984544473304</v>
      </c>
      <c r="C1369">
        <v>0.986381070163476</v>
      </c>
      <c r="D1369">
        <v>0.753328096321826</v>
      </c>
      <c r="E1369">
        <v>0.847870373506289</v>
      </c>
      <c r="F1369">
        <v>1.02105028346823</v>
      </c>
      <c r="G1369">
        <v>0.781776262342551</v>
      </c>
      <c r="H1369">
        <v>0.856338078036179</v>
      </c>
      <c r="I1369">
        <v>0.748588305584431</v>
      </c>
      <c r="J1369">
        <v>0.5502021031347329</v>
      </c>
      <c r="K1369">
        <v>0.738214594119573</v>
      </c>
      <c r="L1369">
        <v>217.243952018441</v>
      </c>
      <c r="M1369">
        <v>2.53047442638316</v>
      </c>
      <c r="O1369">
        <v>58.2638390340808</v>
      </c>
      <c r="P1369">
        <v>-0.0113957571956052</v>
      </c>
      <c r="Q1369">
        <v>0</v>
      </c>
      <c r="R1369">
        <v>0.498951417845208</v>
      </c>
      <c r="S1369" t="s">
        <v>3037</v>
      </c>
      <c r="T1369" t="s">
        <v>3312</v>
      </c>
      <c r="U1369" t="s">
        <v>3312</v>
      </c>
      <c r="V1369" t="s">
        <v>3312</v>
      </c>
      <c r="W1369" t="s">
        <v>4678</v>
      </c>
      <c r="X1369">
        <v>2</v>
      </c>
      <c r="Y1369" t="s">
        <v>6320</v>
      </c>
      <c r="Z1369" t="s">
        <v>7962</v>
      </c>
      <c r="AA1369">
        <v>0.8318551992275237</v>
      </c>
      <c r="AB1369">
        <f>HYPERLINK("Melting_Curves/meltCurve_P64479_ydiZ.pdf", "Melting_Curves/meltCurve_P64479_ydiZ.pdf")</f>
        <v>0</v>
      </c>
    </row>
    <row r="1370" spans="1:28">
      <c r="A1370" t="s">
        <v>1396</v>
      </c>
      <c r="B1370">
        <v>0.999984544473304</v>
      </c>
      <c r="C1370">
        <v>0.936137990314766</v>
      </c>
      <c r="D1370">
        <v>1.06353062603537</v>
      </c>
      <c r="E1370">
        <v>1.11940626074936</v>
      </c>
      <c r="F1370">
        <v>1.0417926460253</v>
      </c>
      <c r="G1370">
        <v>0.685519190890666</v>
      </c>
      <c r="H1370">
        <v>0.5710752094631329</v>
      </c>
      <c r="I1370">
        <v>0.450611465521952</v>
      </c>
      <c r="J1370">
        <v>0.322190252671795</v>
      </c>
      <c r="K1370">
        <v>0.292184396043514</v>
      </c>
      <c r="L1370">
        <v>1218.78925686761</v>
      </c>
      <c r="M1370">
        <v>21.8842613731406</v>
      </c>
      <c r="N1370">
        <v>58.1917148328342</v>
      </c>
      <c r="O1370">
        <v>55.2337308418625</v>
      </c>
      <c r="P1370">
        <v>-0.0688765899606494</v>
      </c>
      <c r="Q1370">
        <v>0.304664881614891</v>
      </c>
      <c r="R1370">
        <v>0.94769531902607</v>
      </c>
      <c r="S1370" t="s">
        <v>3038</v>
      </c>
      <c r="T1370" t="s">
        <v>3312</v>
      </c>
      <c r="U1370" t="s">
        <v>3312</v>
      </c>
      <c r="V1370" t="s">
        <v>3312</v>
      </c>
      <c r="W1370" t="s">
        <v>4679</v>
      </c>
      <c r="X1370">
        <v>2</v>
      </c>
      <c r="Y1370" t="s">
        <v>6321</v>
      </c>
      <c r="Z1370" t="s">
        <v>7963</v>
      </c>
      <c r="AA1370">
        <v>0.7446778981107947</v>
      </c>
      <c r="AB1370">
        <f>HYPERLINK("Melting_Curves/meltCurve_P64483_yeaK.pdf", "Melting_Curves/meltCurve_P64483_yeaK.pdf")</f>
        <v>0</v>
      </c>
    </row>
    <row r="1371" spans="1:28">
      <c r="A1371" t="s">
        <v>1397</v>
      </c>
      <c r="B1371">
        <v>0.999984544473304</v>
      </c>
      <c r="C1371">
        <v>0.995072547111185</v>
      </c>
      <c r="D1371">
        <v>1.17161683151276</v>
      </c>
      <c r="E1371">
        <v>1.22666560522275</v>
      </c>
      <c r="F1371">
        <v>1.88854743760746</v>
      </c>
      <c r="G1371">
        <v>1.5500471603083</v>
      </c>
      <c r="H1371">
        <v>1.73120800201403</v>
      </c>
      <c r="I1371">
        <v>1.74039348737248</v>
      </c>
      <c r="J1371">
        <v>1.39118780641979</v>
      </c>
      <c r="K1371">
        <v>1.12172694843871</v>
      </c>
      <c r="L1371">
        <v>11658.7244461829</v>
      </c>
      <c r="M1371">
        <v>250</v>
      </c>
      <c r="O1371">
        <v>46.6319134374867</v>
      </c>
      <c r="P1371">
        <v>0.670141920361805</v>
      </c>
      <c r="Q1371">
        <v>1.5</v>
      </c>
      <c r="R1371">
        <v>0.535587098764126</v>
      </c>
      <c r="S1371" t="s">
        <v>3039</v>
      </c>
      <c r="T1371" t="s">
        <v>3312</v>
      </c>
      <c r="U1371" t="s">
        <v>3312</v>
      </c>
      <c r="V1371" t="s">
        <v>3312</v>
      </c>
      <c r="W1371" t="s">
        <v>4680</v>
      </c>
      <c r="X1371">
        <v>1</v>
      </c>
      <c r="Y1371" t="s">
        <v>6322</v>
      </c>
      <c r="Z1371" t="s">
        <v>7964</v>
      </c>
      <c r="AA1371">
        <v>1.339377448494579</v>
      </c>
      <c r="AB1371">
        <f>HYPERLINK("Melting_Curves/meltCurve_P64503_yebV.pdf", "Melting_Curves/meltCurve_P64503_yebV.pdf")</f>
        <v>0</v>
      </c>
    </row>
    <row r="1372" spans="1:28">
      <c r="A1372" t="s">
        <v>1398</v>
      </c>
      <c r="B1372">
        <v>0.999984544473304</v>
      </c>
      <c r="C1372">
        <v>1.01244235786019</v>
      </c>
      <c r="D1372">
        <v>0.888214878167814</v>
      </c>
      <c r="E1372">
        <v>1.12360093257065</v>
      </c>
      <c r="F1372">
        <v>1.09190214037941</v>
      </c>
      <c r="G1372">
        <v>0.951539952692772</v>
      </c>
      <c r="H1372">
        <v>0.951299901582672</v>
      </c>
      <c r="I1372">
        <v>0.874668623473337</v>
      </c>
      <c r="J1372">
        <v>0.635545653853959</v>
      </c>
      <c r="K1372">
        <v>0.6721396906523051</v>
      </c>
      <c r="L1372">
        <v>15000</v>
      </c>
      <c r="M1372">
        <v>245.335229832196</v>
      </c>
      <c r="O1372">
        <v>61.1367697893176</v>
      </c>
      <c r="P1372">
        <v>-0.347274771217565</v>
      </c>
      <c r="Q1372">
        <v>0.653840870280354</v>
      </c>
      <c r="R1372">
        <v>0.821014204454831</v>
      </c>
      <c r="S1372" t="s">
        <v>3040</v>
      </c>
      <c r="T1372" t="s">
        <v>3312</v>
      </c>
      <c r="U1372" t="s">
        <v>3312</v>
      </c>
      <c r="V1372" t="s">
        <v>3312</v>
      </c>
      <c r="W1372" t="s">
        <v>4681</v>
      </c>
      <c r="X1372">
        <v>2</v>
      </c>
      <c r="Y1372" t="s">
        <v>6323</v>
      </c>
      <c r="Z1372" t="s">
        <v>7965</v>
      </c>
      <c r="AA1372">
        <v>0.9324317496642334</v>
      </c>
      <c r="AB1372">
        <f>HYPERLINK("Melting_Curves/meltCurve_P64506_yebY.pdf", "Melting_Curves/meltCurve_P64506_yebY.pdf")</f>
        <v>0</v>
      </c>
    </row>
    <row r="1373" spans="1:28">
      <c r="A1373" t="s">
        <v>1399</v>
      </c>
      <c r="B1373">
        <v>0.999984544473304</v>
      </c>
      <c r="C1373">
        <v>1.45891230894731</v>
      </c>
      <c r="D1373">
        <v>1.34576547223602</v>
      </c>
      <c r="E1373">
        <v>1.33595572452828</v>
      </c>
      <c r="F1373">
        <v>1.19840012160714</v>
      </c>
      <c r="G1373">
        <v>0.7721692779798111</v>
      </c>
      <c r="H1373">
        <v>0.631367377260571</v>
      </c>
      <c r="I1373">
        <v>0.393918868332357</v>
      </c>
      <c r="J1373">
        <v>0.439462702626618</v>
      </c>
      <c r="K1373">
        <v>0.128116949984325</v>
      </c>
      <c r="L1373">
        <v>1273.90970539502</v>
      </c>
      <c r="M1373">
        <v>22.0131444098141</v>
      </c>
      <c r="N1373">
        <v>59.3358976168463</v>
      </c>
      <c r="O1373">
        <v>57.3991833165678</v>
      </c>
      <c r="P1373">
        <v>-0.0757738783143391</v>
      </c>
      <c r="Q1373">
        <v>0.209697299646067</v>
      </c>
      <c r="R1373">
        <v>0.720820060170399</v>
      </c>
      <c r="S1373" t="s">
        <v>3041</v>
      </c>
      <c r="T1373" t="s">
        <v>3312</v>
      </c>
      <c r="U1373" t="s">
        <v>3312</v>
      </c>
      <c r="V1373" t="s">
        <v>3312</v>
      </c>
      <c r="W1373" t="s">
        <v>4682</v>
      </c>
      <c r="X1373">
        <v>1</v>
      </c>
      <c r="Y1373" t="s">
        <v>6324</v>
      </c>
      <c r="Z1373" t="s">
        <v>7966</v>
      </c>
      <c r="AA1373">
        <v>0.7650709790922048</v>
      </c>
      <c r="AB1373">
        <f>HYPERLINK("Melting_Curves/meltCurve_P64515_yecN.pdf", "Melting_Curves/meltCurve_P64515_yecN.pdf")</f>
        <v>0</v>
      </c>
    </row>
    <row r="1374" spans="1:28">
      <c r="A1374" t="s">
        <v>1400</v>
      </c>
      <c r="B1374">
        <v>0.999984544473304</v>
      </c>
      <c r="C1374">
        <v>1.10315053443092</v>
      </c>
      <c r="D1374">
        <v>0.847716371324081</v>
      </c>
      <c r="E1374">
        <v>1.04932285318888</v>
      </c>
      <c r="F1374">
        <v>1.36680912234642</v>
      </c>
      <c r="G1374">
        <v>0.92858975468444</v>
      </c>
      <c r="H1374">
        <v>1.06971625636685</v>
      </c>
      <c r="I1374">
        <v>0.960636487865943</v>
      </c>
      <c r="J1374">
        <v>0.755472948924093</v>
      </c>
      <c r="K1374">
        <v>0.799387577850721</v>
      </c>
      <c r="L1374">
        <v>15000</v>
      </c>
      <c r="M1374">
        <v>244.363998689094</v>
      </c>
      <c r="O1374">
        <v>61.379724837338</v>
      </c>
      <c r="P1374">
        <v>-0.221525539200599</v>
      </c>
      <c r="Q1374">
        <v>0.777427493698454</v>
      </c>
      <c r="R1374">
        <v>0.353110789794662</v>
      </c>
      <c r="S1374" t="s">
        <v>3042</v>
      </c>
      <c r="T1374" t="s">
        <v>3312</v>
      </c>
      <c r="U1374" t="s">
        <v>3312</v>
      </c>
      <c r="V1374" t="s">
        <v>3312</v>
      </c>
      <c r="W1374" t="s">
        <v>4683</v>
      </c>
      <c r="X1374">
        <v>1</v>
      </c>
      <c r="Y1374" t="s">
        <v>6325</v>
      </c>
      <c r="Z1374" t="s">
        <v>7967</v>
      </c>
      <c r="AA1374">
        <v>0.9583583178824443</v>
      </c>
      <c r="AB1374">
        <f>HYPERLINK("Melting_Curves/meltCurve_P64519_yodD.pdf", "Melting_Curves/meltCurve_P64519_yodD.pdf")</f>
        <v>0</v>
      </c>
    </row>
    <row r="1375" spans="1:28">
      <c r="A1375" t="s">
        <v>1401</v>
      </c>
      <c r="B1375">
        <v>0.999984544473304</v>
      </c>
      <c r="C1375">
        <v>1.17989657301994</v>
      </c>
      <c r="D1375">
        <v>0.804368832634528</v>
      </c>
      <c r="E1375">
        <v>0.725628356924409</v>
      </c>
      <c r="F1375">
        <v>0.944245674347396</v>
      </c>
      <c r="G1375">
        <v>0.595685745949423</v>
      </c>
      <c r="H1375">
        <v>0.563959965108625</v>
      </c>
      <c r="I1375">
        <v>0.568359967022949</v>
      </c>
      <c r="J1375">
        <v>0.417488517753922</v>
      </c>
      <c r="K1375">
        <v>0.394854372290074</v>
      </c>
      <c r="L1375">
        <v>412.707937610863</v>
      </c>
      <c r="M1375">
        <v>7.32474745234989</v>
      </c>
      <c r="N1375">
        <v>61.0579022296839</v>
      </c>
      <c r="O1375">
        <v>52.6007356890142</v>
      </c>
      <c r="P1375">
        <v>-0.0273378887957277</v>
      </c>
      <c r="Q1375">
        <v>0.215951285633962</v>
      </c>
      <c r="R1375">
        <v>0.799672115530386</v>
      </c>
      <c r="S1375" t="s">
        <v>3043</v>
      </c>
      <c r="T1375" t="s">
        <v>3312</v>
      </c>
      <c r="U1375" t="s">
        <v>3312</v>
      </c>
      <c r="V1375" t="s">
        <v>3312</v>
      </c>
      <c r="W1375" t="s">
        <v>4684</v>
      </c>
      <c r="X1375">
        <v>1</v>
      </c>
      <c r="Y1375" t="s">
        <v>6326</v>
      </c>
      <c r="Z1375" t="s">
        <v>7968</v>
      </c>
      <c r="AA1375">
        <v>0.7143541845840485</v>
      </c>
      <c r="AB1375">
        <f>HYPERLINK("Melting_Curves/meltCurve_P64530_rcnR.pdf", "Melting_Curves/meltCurve_P64530_rcnR.pdf")</f>
        <v>0</v>
      </c>
    </row>
    <row r="1376" spans="1:28">
      <c r="A1376" t="s">
        <v>1402</v>
      </c>
      <c r="B1376">
        <v>0.999984544473304</v>
      </c>
      <c r="C1376">
        <v>0.947849522082178</v>
      </c>
      <c r="D1376">
        <v>1.08540395270878</v>
      </c>
      <c r="E1376">
        <v>1.14290027096043</v>
      </c>
      <c r="F1376">
        <v>1.50071478213343</v>
      </c>
      <c r="G1376">
        <v>1.15296869484104</v>
      </c>
      <c r="H1376">
        <v>1.28556916364417</v>
      </c>
      <c r="I1376">
        <v>1.142850675401</v>
      </c>
      <c r="J1376">
        <v>0.962655503714954</v>
      </c>
      <c r="K1376">
        <v>0.871107674250689</v>
      </c>
      <c r="L1376">
        <v>10738.8183902926</v>
      </c>
      <c r="M1376">
        <v>250</v>
      </c>
      <c r="O1376">
        <v>42.9525252932219</v>
      </c>
      <c r="P1376">
        <v>0.220086586632445</v>
      </c>
      <c r="Q1376">
        <v>1.15125239262885</v>
      </c>
      <c r="R1376">
        <v>0.157854232198084</v>
      </c>
      <c r="S1376" t="s">
        <v>3044</v>
      </c>
      <c r="T1376" t="s">
        <v>3312</v>
      </c>
      <c r="U1376" t="s">
        <v>3312</v>
      </c>
      <c r="V1376" t="s">
        <v>3312</v>
      </c>
      <c r="W1376" t="s">
        <v>4685</v>
      </c>
      <c r="X1376">
        <v>2</v>
      </c>
      <c r="Y1376" t="s">
        <v>6327</v>
      </c>
      <c r="Z1376" t="s">
        <v>7969</v>
      </c>
      <c r="AA1376">
        <v>1.12121601117782</v>
      </c>
      <c r="AB1376">
        <f>HYPERLINK("Melting_Curves/meltCurve_P64534_rcnB.pdf", "Melting_Curves/meltCurve_P64534_rcnB.pdf")</f>
        <v>0</v>
      </c>
    </row>
    <row r="1377" spans="1:28">
      <c r="A1377" t="s">
        <v>1403</v>
      </c>
      <c r="B1377">
        <v>0.999984544473304</v>
      </c>
      <c r="C1377">
        <v>0.541747891923166</v>
      </c>
      <c r="D1377">
        <v>0.496830619497359</v>
      </c>
      <c r="E1377">
        <v>0.345388381363534</v>
      </c>
      <c r="F1377">
        <v>0.471152180205828</v>
      </c>
      <c r="G1377">
        <v>0.252868596449925</v>
      </c>
      <c r="H1377">
        <v>0.263982298312898</v>
      </c>
      <c r="I1377">
        <v>0.230857006554445</v>
      </c>
      <c r="J1377">
        <v>0.167326762173079</v>
      </c>
      <c r="K1377">
        <v>0.191008537280448</v>
      </c>
      <c r="L1377">
        <v>524.412986307493</v>
      </c>
      <c r="M1377">
        <v>12.7947719336605</v>
      </c>
      <c r="N1377">
        <v>43.0419799547562</v>
      </c>
      <c r="O1377">
        <v>40.0240009498033</v>
      </c>
      <c r="P1377">
        <v>-0.0616613593248619</v>
      </c>
      <c r="Q1377">
        <v>0.228600377668913</v>
      </c>
      <c r="R1377">
        <v>0.8553065997053469</v>
      </c>
      <c r="S1377" t="s">
        <v>3045</v>
      </c>
      <c r="T1377" t="s">
        <v>3312</v>
      </c>
      <c r="U1377" t="s">
        <v>3312</v>
      </c>
      <c r="V1377" t="s">
        <v>3312</v>
      </c>
      <c r="W1377" t="s">
        <v>4686</v>
      </c>
      <c r="X1377">
        <v>1</v>
      </c>
      <c r="Y1377" t="s">
        <v>6328</v>
      </c>
      <c r="Z1377" t="s">
        <v>7970</v>
      </c>
      <c r="AA1377">
        <v>0.3655933613087901</v>
      </c>
      <c r="AB1377">
        <f>HYPERLINK("Melting_Curves/meltCurve_P64554_queE.pdf", "Melting_Curves/meltCurve_P64554_queE.pdf")</f>
        <v>0</v>
      </c>
    </row>
    <row r="1378" spans="1:28">
      <c r="A1378" t="s">
        <v>1404</v>
      </c>
      <c r="B1378">
        <v>0.999984544473304</v>
      </c>
      <c r="C1378">
        <v>0.951226211216193</v>
      </c>
      <c r="D1378">
        <v>1.13072235141263</v>
      </c>
      <c r="E1378">
        <v>0.964858392206781</v>
      </c>
      <c r="F1378">
        <v>0.644311223776053</v>
      </c>
      <c r="G1378">
        <v>0.5075780225019429</v>
      </c>
      <c r="H1378">
        <v>0.397055301869652</v>
      </c>
      <c r="I1378">
        <v>0.333121502976424</v>
      </c>
      <c r="J1378">
        <v>0.244062057348492</v>
      </c>
      <c r="K1378">
        <v>0.17869559002179</v>
      </c>
      <c r="L1378">
        <v>894.504171858933</v>
      </c>
      <c r="M1378">
        <v>17.2062314763667</v>
      </c>
      <c r="N1378">
        <v>53.8544222002245</v>
      </c>
      <c r="O1378">
        <v>51.3002386325346</v>
      </c>
      <c r="P1378">
        <v>-0.0650176226896287</v>
      </c>
      <c r="Q1378">
        <v>0.224647652225731</v>
      </c>
      <c r="R1378">
        <v>0.960590539662321</v>
      </c>
      <c r="S1378" t="s">
        <v>3046</v>
      </c>
      <c r="T1378" t="s">
        <v>3312</v>
      </c>
      <c r="U1378" t="s">
        <v>3312</v>
      </c>
      <c r="V1378" t="s">
        <v>3312</v>
      </c>
      <c r="W1378" t="s">
        <v>4687</v>
      </c>
      <c r="X1378">
        <v>1</v>
      </c>
      <c r="Y1378" t="s">
        <v>6329</v>
      </c>
      <c r="Z1378" t="s">
        <v>7971</v>
      </c>
      <c r="AA1378">
        <v>0.6244840115309547</v>
      </c>
      <c r="AB1378">
        <f>HYPERLINK("Melting_Curves/meltCurve_P64564_yggT.pdf", "Melting_Curves/meltCurve_P64564_yggT.pdf")</f>
        <v>0</v>
      </c>
    </row>
    <row r="1379" spans="1:28">
      <c r="A1379" t="s">
        <v>1405</v>
      </c>
      <c r="B1379">
        <v>0.999984544473304</v>
      </c>
      <c r="C1379">
        <v>1.11054108538459</v>
      </c>
      <c r="D1379">
        <v>1.01222331727819</v>
      </c>
      <c r="E1379">
        <v>1.07959792364338</v>
      </c>
      <c r="F1379">
        <v>1.2047476496425</v>
      </c>
      <c r="G1379">
        <v>0.942532743539096</v>
      </c>
      <c r="H1379">
        <v>0.878480644914414</v>
      </c>
      <c r="I1379">
        <v>0.654229079681772</v>
      </c>
      <c r="J1379">
        <v>0.474867096277979</v>
      </c>
      <c r="K1379">
        <v>0.419408322655886</v>
      </c>
      <c r="L1379">
        <v>1684.18632451529</v>
      </c>
      <c r="M1379">
        <v>27.8870954844847</v>
      </c>
      <c r="N1379">
        <v>63.6289785219798</v>
      </c>
      <c r="O1379">
        <v>60.0850437299363</v>
      </c>
      <c r="P1379">
        <v>-0.0720645474412047</v>
      </c>
      <c r="Q1379">
        <v>0.378929402236152</v>
      </c>
      <c r="R1379">
        <v>0.904604871404232</v>
      </c>
      <c r="S1379" t="s">
        <v>3047</v>
      </c>
      <c r="T1379" t="s">
        <v>3312</v>
      </c>
      <c r="U1379" t="s">
        <v>3312</v>
      </c>
      <c r="V1379" t="s">
        <v>3312</v>
      </c>
      <c r="W1379" t="s">
        <v>4688</v>
      </c>
      <c r="X1379">
        <v>3</v>
      </c>
      <c r="Y1379" t="s">
        <v>6330</v>
      </c>
      <c r="Z1379" t="s">
        <v>7972</v>
      </c>
      <c r="AA1379">
        <v>0.864871726962233</v>
      </c>
      <c r="AB1379">
        <f>HYPERLINK("Melting_Curves/meltCurve_P64581_yqjD.pdf", "Melting_Curves/meltCurve_P64581_yqjD.pdf")</f>
        <v>0</v>
      </c>
    </row>
    <row r="1380" spans="1:28">
      <c r="A1380" t="s">
        <v>1406</v>
      </c>
      <c r="B1380">
        <v>0.999984544473304</v>
      </c>
      <c r="C1380">
        <v>0.85295869234961</v>
      </c>
      <c r="D1380">
        <v>0.907482687086141</v>
      </c>
      <c r="E1380">
        <v>0.703997139033148</v>
      </c>
      <c r="F1380">
        <v>0.716223700001045</v>
      </c>
      <c r="G1380">
        <v>0.558987744864951</v>
      </c>
      <c r="H1380">
        <v>0.439303598306748</v>
      </c>
      <c r="I1380">
        <v>0.321785412599916</v>
      </c>
      <c r="J1380">
        <v>0.201505051758866</v>
      </c>
      <c r="K1380">
        <v>0.159583205290345</v>
      </c>
      <c r="L1380">
        <v>410.098338707746</v>
      </c>
      <c r="M1380">
        <v>7.51186068976242</v>
      </c>
      <c r="N1380">
        <v>54.5934612754888</v>
      </c>
      <c r="O1380">
        <v>51.1263522279308</v>
      </c>
      <c r="P1380">
        <v>-0.0367843524790613</v>
      </c>
      <c r="Q1380">
        <v>0</v>
      </c>
      <c r="R1380">
        <v>0.969484374788205</v>
      </c>
      <c r="S1380" t="s">
        <v>3048</v>
      </c>
      <c r="T1380" t="s">
        <v>3312</v>
      </c>
      <c r="U1380" t="s">
        <v>3312</v>
      </c>
      <c r="V1380" t="s">
        <v>3312</v>
      </c>
      <c r="W1380" t="s">
        <v>4689</v>
      </c>
      <c r="X1380">
        <v>2</v>
      </c>
      <c r="Y1380" t="s">
        <v>6331</v>
      </c>
      <c r="Z1380" t="s">
        <v>7973</v>
      </c>
      <c r="AA1380">
        <v>0.5946805133326484</v>
      </c>
      <c r="AB1380">
        <f>HYPERLINK("Melting_Curves/meltCurve_P64585_yqjE.pdf", "Melting_Curves/meltCurve_P64585_yqjE.pdf")</f>
        <v>0</v>
      </c>
    </row>
    <row r="1381" spans="1:28">
      <c r="A1381" t="s">
        <v>1407</v>
      </c>
      <c r="B1381">
        <v>0.999984544473304</v>
      </c>
      <c r="C1381">
        <v>1.03683694661298</v>
      </c>
      <c r="D1381">
        <v>1.00680780566105</v>
      </c>
      <c r="E1381">
        <v>0.973409100577399</v>
      </c>
      <c r="F1381">
        <v>0.984307082080231</v>
      </c>
      <c r="G1381">
        <v>0.834254396620799</v>
      </c>
      <c r="H1381">
        <v>0.820736217958425</v>
      </c>
      <c r="I1381">
        <v>0.681862824103908</v>
      </c>
      <c r="J1381">
        <v>0.60940698647373</v>
      </c>
      <c r="K1381">
        <v>0.5881395442796969</v>
      </c>
      <c r="L1381">
        <v>774.180570327046</v>
      </c>
      <c r="M1381">
        <v>13.2002528024926</v>
      </c>
      <c r="O1381">
        <v>57.3519194794044</v>
      </c>
      <c r="P1381">
        <v>-0.0288052078738036</v>
      </c>
      <c r="Q1381">
        <v>0.499476545335393</v>
      </c>
      <c r="R1381">
        <v>0.975371879420971</v>
      </c>
      <c r="S1381" t="s">
        <v>3049</v>
      </c>
      <c r="T1381" t="s">
        <v>3312</v>
      </c>
      <c r="U1381" t="s">
        <v>3312</v>
      </c>
      <c r="V1381" t="s">
        <v>3312</v>
      </c>
      <c r="W1381" t="s">
        <v>4690</v>
      </c>
      <c r="X1381">
        <v>3</v>
      </c>
      <c r="Y1381" t="s">
        <v>6332</v>
      </c>
      <c r="Z1381" t="s">
        <v>7974</v>
      </c>
      <c r="AA1381">
        <v>0.859474125320137</v>
      </c>
      <c r="AB1381">
        <f>HYPERLINK("Melting_Curves/meltCurve_P64588_yqjI.pdf", "Melting_Curves/meltCurve_P64588_yqjI.pdf")</f>
        <v>0</v>
      </c>
    </row>
    <row r="1382" spans="1:28">
      <c r="A1382" t="s">
        <v>1408</v>
      </c>
      <c r="B1382">
        <v>0.999984544473304</v>
      </c>
      <c r="C1382">
        <v>1.180870953553</v>
      </c>
      <c r="D1382">
        <v>1.12472493756298</v>
      </c>
      <c r="E1382">
        <v>1.27474763089964</v>
      </c>
      <c r="F1382">
        <v>1.05651867148363</v>
      </c>
      <c r="G1382">
        <v>1.04030030808159</v>
      </c>
      <c r="H1382">
        <v>0.97188441688052</v>
      </c>
      <c r="I1382">
        <v>0.835905598130767</v>
      </c>
      <c r="J1382">
        <v>0.611139749477892</v>
      </c>
      <c r="K1382">
        <v>0.600144176336276</v>
      </c>
      <c r="L1382">
        <v>3866.55778532953</v>
      </c>
      <c r="M1382">
        <v>63.0196946441917</v>
      </c>
      <c r="O1382">
        <v>61.293066032827</v>
      </c>
      <c r="P1382">
        <v>-0.104765071254875</v>
      </c>
      <c r="Q1382">
        <v>0.592421399544642</v>
      </c>
      <c r="R1382">
        <v>0.71801964113093</v>
      </c>
      <c r="S1382" t="s">
        <v>3050</v>
      </c>
      <c r="T1382" t="s">
        <v>3312</v>
      </c>
      <c r="U1382" t="s">
        <v>3312</v>
      </c>
      <c r="V1382" t="s">
        <v>3312</v>
      </c>
      <c r="W1382" t="s">
        <v>4691</v>
      </c>
      <c r="X1382">
        <v>1</v>
      </c>
      <c r="Y1382" t="s">
        <v>6333</v>
      </c>
      <c r="Z1382" t="s">
        <v>7975</v>
      </c>
      <c r="AA1382">
        <v>0.9239162408649322</v>
      </c>
      <c r="AB1382">
        <f>HYPERLINK("Melting_Curves/meltCurve_P64594_yhaV.pdf", "Melting_Curves/meltCurve_P64594_yhaV.pdf")</f>
        <v>0</v>
      </c>
    </row>
    <row r="1383" spans="1:28">
      <c r="A1383" t="s">
        <v>1409</v>
      </c>
      <c r="B1383">
        <v>0.999984544473304</v>
      </c>
      <c r="C1383">
        <v>0.840569648045901</v>
      </c>
      <c r="D1383">
        <v>1.01740465830776</v>
      </c>
      <c r="E1383">
        <v>1.01968414081892</v>
      </c>
      <c r="F1383">
        <v>1.13495290072952</v>
      </c>
      <c r="G1383">
        <v>0.960587705136675</v>
      </c>
      <c r="H1383">
        <v>0.7738928788530069</v>
      </c>
      <c r="I1383">
        <v>0.355318478232475</v>
      </c>
      <c r="J1383">
        <v>0.206878134193018</v>
      </c>
      <c r="K1383">
        <v>0.182064188326219</v>
      </c>
      <c r="L1383">
        <v>2177.51702922906</v>
      </c>
      <c r="M1383">
        <v>36.9564497662033</v>
      </c>
      <c r="N1383">
        <v>59.5930488888323</v>
      </c>
      <c r="O1383">
        <v>58.7494371994753</v>
      </c>
      <c r="P1383">
        <v>-0.130468905568311</v>
      </c>
      <c r="Q1383">
        <v>0.170379941450203</v>
      </c>
      <c r="R1383">
        <v>0.961951833580543</v>
      </c>
      <c r="S1383" t="s">
        <v>3051</v>
      </c>
      <c r="T1383" t="s">
        <v>3312</v>
      </c>
      <c r="U1383" t="s">
        <v>3312</v>
      </c>
      <c r="V1383" t="s">
        <v>3312</v>
      </c>
      <c r="W1383" t="s">
        <v>4692</v>
      </c>
      <c r="X1383">
        <v>7</v>
      </c>
      <c r="Y1383" t="s">
        <v>6334</v>
      </c>
      <c r="Z1383" t="s">
        <v>7976</v>
      </c>
      <c r="AA1383">
        <v>0.7798506224574356</v>
      </c>
      <c r="AB1383">
        <f>HYPERLINK("Melting_Curves/meltCurve_P64596_yraP.pdf", "Melting_Curves/meltCurve_P64596_yraP.pdf")</f>
        <v>0</v>
      </c>
    </row>
    <row r="1384" spans="1:28">
      <c r="A1384" t="s">
        <v>1410</v>
      </c>
      <c r="B1384">
        <v>0.999984544473304</v>
      </c>
      <c r="C1384">
        <v>1.06051796870039</v>
      </c>
      <c r="D1384">
        <v>0.965701822679263</v>
      </c>
      <c r="E1384">
        <v>1.05424137878635</v>
      </c>
      <c r="F1384">
        <v>0.964721831424786</v>
      </c>
      <c r="G1384">
        <v>0.706368421678169</v>
      </c>
      <c r="H1384">
        <v>0.599462932207548</v>
      </c>
      <c r="I1384">
        <v>0.528642285866324</v>
      </c>
      <c r="J1384">
        <v>0.327262352069631</v>
      </c>
      <c r="K1384">
        <v>0.513103839400381</v>
      </c>
      <c r="L1384">
        <v>1317.68676802461</v>
      </c>
      <c r="M1384">
        <v>24.2617701354058</v>
      </c>
      <c r="N1384">
        <v>59.6197304325557</v>
      </c>
      <c r="O1384">
        <v>53.9463011764439</v>
      </c>
      <c r="P1384">
        <v>-0.0627000328314864</v>
      </c>
      <c r="Q1384">
        <v>0.442351754005119</v>
      </c>
      <c r="R1384">
        <v>0.943166739002447</v>
      </c>
      <c r="S1384" t="s">
        <v>3052</v>
      </c>
      <c r="T1384" t="s">
        <v>3312</v>
      </c>
      <c r="U1384" t="s">
        <v>3312</v>
      </c>
      <c r="V1384" t="s">
        <v>3312</v>
      </c>
      <c r="W1384" t="s">
        <v>4693</v>
      </c>
      <c r="X1384">
        <v>3</v>
      </c>
      <c r="Y1384" t="s">
        <v>6335</v>
      </c>
      <c r="Z1384" t="s">
        <v>7977</v>
      </c>
      <c r="AA1384">
        <v>0.769206436759687</v>
      </c>
      <c r="AB1384">
        <f>HYPERLINK("Melting_Curves/meltCurve_P64602_mlaB.pdf", "Melting_Curves/meltCurve_P64602_mlaB.pdf")</f>
        <v>0</v>
      </c>
    </row>
    <row r="1385" spans="1:28">
      <c r="A1385" t="s">
        <v>1411</v>
      </c>
      <c r="B1385">
        <v>0.999984544473304</v>
      </c>
      <c r="C1385">
        <v>0.957348914204922</v>
      </c>
      <c r="D1385">
        <v>0.980454949300989</v>
      </c>
      <c r="E1385">
        <v>1.09929254242278</v>
      </c>
      <c r="F1385">
        <v>1.03748012675892</v>
      </c>
      <c r="G1385">
        <v>0.986232244266521</v>
      </c>
      <c r="H1385">
        <v>0.692611019959595</v>
      </c>
      <c r="I1385">
        <v>0.601811336105223</v>
      </c>
      <c r="J1385">
        <v>0.458365676613983</v>
      </c>
      <c r="K1385">
        <v>0.311044033849193</v>
      </c>
      <c r="L1385">
        <v>1149.62043104541</v>
      </c>
      <c r="M1385">
        <v>19.1684878937175</v>
      </c>
      <c r="N1385">
        <v>62.3001482648614</v>
      </c>
      <c r="O1385">
        <v>59.3331717087545</v>
      </c>
      <c r="P1385">
        <v>-0.0601297209926301</v>
      </c>
      <c r="Q1385">
        <v>0.255538326926718</v>
      </c>
      <c r="R1385">
        <v>0.955911007833855</v>
      </c>
      <c r="S1385" t="s">
        <v>3053</v>
      </c>
      <c r="T1385" t="s">
        <v>3312</v>
      </c>
      <c r="U1385" t="s">
        <v>3312</v>
      </c>
      <c r="V1385" t="s">
        <v>3312</v>
      </c>
      <c r="W1385" t="s">
        <v>4694</v>
      </c>
      <c r="X1385">
        <v>5</v>
      </c>
      <c r="Y1385" t="s">
        <v>6336</v>
      </c>
      <c r="Z1385" t="s">
        <v>7978</v>
      </c>
      <c r="AA1385">
        <v>0.8255372448996164</v>
      </c>
      <c r="AB1385">
        <f>HYPERLINK("Melting_Curves/meltCurve_P64604_mlaD.pdf", "Melting_Curves/meltCurve_P64604_mlaD.pdf")</f>
        <v>0</v>
      </c>
    </row>
    <row r="1386" spans="1:28">
      <c r="A1386" t="s">
        <v>1412</v>
      </c>
      <c r="B1386">
        <v>0.999984544473304</v>
      </c>
      <c r="C1386">
        <v>1.24763872755675</v>
      </c>
      <c r="D1386">
        <v>0.529223548993786</v>
      </c>
      <c r="E1386">
        <v>0.952590001247492</v>
      </c>
      <c r="F1386">
        <v>0.750173974520026</v>
      </c>
      <c r="G1386">
        <v>0.498573499655492</v>
      </c>
      <c r="H1386">
        <v>0.65158273114759</v>
      </c>
      <c r="I1386">
        <v>0.440586258764988</v>
      </c>
      <c r="J1386">
        <v>0.349308047288734</v>
      </c>
      <c r="K1386">
        <v>0.201860851468256</v>
      </c>
      <c r="L1386">
        <v>384.904694368486</v>
      </c>
      <c r="M1386">
        <v>6.6598330438792</v>
      </c>
      <c r="N1386">
        <v>57.7949284176722</v>
      </c>
      <c r="O1386">
        <v>53.251580331314</v>
      </c>
      <c r="P1386">
        <v>-0.0313354231748487</v>
      </c>
      <c r="Q1386">
        <v>0</v>
      </c>
      <c r="R1386">
        <v>0.696624170289994</v>
      </c>
      <c r="S1386" t="s">
        <v>3054</v>
      </c>
      <c r="T1386" t="s">
        <v>3312</v>
      </c>
      <c r="U1386" t="s">
        <v>3312</v>
      </c>
      <c r="V1386" t="s">
        <v>3312</v>
      </c>
      <c r="W1386" t="s">
        <v>4695</v>
      </c>
      <c r="X1386">
        <v>1</v>
      </c>
      <c r="Y1386" t="s">
        <v>6337</v>
      </c>
      <c r="Z1386" t="s">
        <v>7979</v>
      </c>
      <c r="AA1386">
        <v>0.6620236006392776</v>
      </c>
      <c r="AB1386">
        <f>HYPERLINK("Melting_Curves/meltCurve_P64606_mlaE.pdf", "Melting_Curves/meltCurve_P64606_mlaE.pdf")</f>
        <v>0</v>
      </c>
    </row>
    <row r="1387" spans="1:28">
      <c r="A1387" t="s">
        <v>1413</v>
      </c>
      <c r="B1387">
        <v>0.999984544473304</v>
      </c>
      <c r="C1387">
        <v>0.914168925481895</v>
      </c>
      <c r="D1387">
        <v>1.13457833553907</v>
      </c>
      <c r="E1387">
        <v>0.968181501865222</v>
      </c>
      <c r="F1387">
        <v>1.85448272051644</v>
      </c>
      <c r="G1387">
        <v>0.892083307686355</v>
      </c>
      <c r="H1387">
        <v>0.843374840518391</v>
      </c>
      <c r="I1387">
        <v>0.548780414485935</v>
      </c>
      <c r="J1387">
        <v>0.316432426250335</v>
      </c>
      <c r="K1387">
        <v>0.251270954458174</v>
      </c>
      <c r="L1387">
        <v>1847.16473001615</v>
      </c>
      <c r="M1387">
        <v>30.6616923071554</v>
      </c>
      <c r="N1387">
        <v>61.3787224964262</v>
      </c>
      <c r="O1387">
        <v>59.9888904074064</v>
      </c>
      <c r="P1387">
        <v>-0.100125800703231</v>
      </c>
      <c r="Q1387">
        <v>0.216429446164605</v>
      </c>
      <c r="R1387">
        <v>0.587457661167889</v>
      </c>
      <c r="S1387" t="s">
        <v>3055</v>
      </c>
      <c r="T1387" t="s">
        <v>3312</v>
      </c>
      <c r="U1387" t="s">
        <v>3312</v>
      </c>
      <c r="V1387" t="s">
        <v>3312</v>
      </c>
      <c r="W1387" t="s">
        <v>4696</v>
      </c>
      <c r="X1387">
        <v>1</v>
      </c>
      <c r="Y1387" t="s">
        <v>6338</v>
      </c>
      <c r="Z1387" t="s">
        <v>7980</v>
      </c>
      <c r="AA1387">
        <v>0.82606217205107</v>
      </c>
      <c r="AB1387">
        <f>HYPERLINK("Melting_Curves/meltCurve_P64616_yhcO.pdf", "Melting_Curves/meltCurve_P64616_yhcO.pdf")</f>
        <v>0</v>
      </c>
    </row>
    <row r="1388" spans="1:28">
      <c r="A1388" t="s">
        <v>1414</v>
      </c>
      <c r="B1388">
        <v>0.999984544473304</v>
      </c>
      <c r="C1388">
        <v>0.8626092858777</v>
      </c>
      <c r="D1388">
        <v>0.802799128777461</v>
      </c>
      <c r="E1388">
        <v>0.624029581014597</v>
      </c>
      <c r="F1388">
        <v>0.481877118584353</v>
      </c>
      <c r="G1388">
        <v>0.286812218267603</v>
      </c>
      <c r="H1388">
        <v>0.201699924199071</v>
      </c>
      <c r="I1388">
        <v>0.144381638649335</v>
      </c>
      <c r="J1388">
        <v>0.0795091193274676</v>
      </c>
      <c r="K1388">
        <v>0.0946946339865634</v>
      </c>
      <c r="L1388">
        <v>469.672214512906</v>
      </c>
      <c r="M1388">
        <v>9.551535242109789</v>
      </c>
      <c r="N1388">
        <v>49.2018858763749</v>
      </c>
      <c r="O1388">
        <v>47.1618928490428</v>
      </c>
      <c r="P1388">
        <v>-0.0505165270588951</v>
      </c>
      <c r="Q1388">
        <v>0.00285172170634296</v>
      </c>
      <c r="R1388">
        <v>0.994930227099511</v>
      </c>
      <c r="S1388" t="s">
        <v>3056</v>
      </c>
      <c r="T1388" t="s">
        <v>3312</v>
      </c>
      <c r="U1388" t="s">
        <v>3312</v>
      </c>
      <c r="V1388" t="s">
        <v>3312</v>
      </c>
      <c r="W1388" t="s">
        <v>4697</v>
      </c>
      <c r="X1388">
        <v>3</v>
      </c>
      <c r="Y1388" t="s">
        <v>6339</v>
      </c>
      <c r="Z1388" t="s">
        <v>7981</v>
      </c>
      <c r="AA1388">
        <v>0.4457583015712746</v>
      </c>
      <c r="AB1388">
        <f>HYPERLINK("Melting_Curves/meltCurve_P64624_yheO.pdf", "Melting_Curves/meltCurve_P64624_yheO.pdf")</f>
        <v>0</v>
      </c>
    </row>
    <row r="1389" spans="1:28">
      <c r="A1389" t="s">
        <v>1415</v>
      </c>
      <c r="B1389">
        <v>0.999984544473304</v>
      </c>
      <c r="C1389">
        <v>0.859604105113792</v>
      </c>
      <c r="D1389">
        <v>0.479500795285593</v>
      </c>
      <c r="E1389">
        <v>0.960146783744398</v>
      </c>
      <c r="F1389">
        <v>0.967218483655866</v>
      </c>
      <c r="G1389">
        <v>0.646274267633458</v>
      </c>
      <c r="H1389">
        <v>0.814790296115083</v>
      </c>
      <c r="I1389">
        <v>0.764288052376097</v>
      </c>
      <c r="J1389">
        <v>0.428879811996635</v>
      </c>
      <c r="K1389">
        <v>0.5550770053373369</v>
      </c>
      <c r="L1389">
        <v>169.167692653741</v>
      </c>
      <c r="M1389">
        <v>2.16447414137465</v>
      </c>
      <c r="O1389">
        <v>48.6719039959558</v>
      </c>
      <c r="P1389">
        <v>-0.0119412767134091</v>
      </c>
      <c r="Q1389">
        <v>0</v>
      </c>
      <c r="R1389">
        <v>0.286128413188264</v>
      </c>
      <c r="S1389" t="s">
        <v>3057</v>
      </c>
      <c r="T1389" t="s">
        <v>3312</v>
      </c>
      <c r="U1389" t="s">
        <v>3312</v>
      </c>
      <c r="V1389" t="s">
        <v>3312</v>
      </c>
      <c r="W1389" t="s">
        <v>4698</v>
      </c>
      <c r="X1389">
        <v>1</v>
      </c>
      <c r="Y1389" t="s">
        <v>6340</v>
      </c>
      <c r="Z1389" t="s">
        <v>7982</v>
      </c>
      <c r="AA1389">
        <v>0.750455810352459</v>
      </c>
      <c r="AB1389">
        <f>HYPERLINK("Melting_Curves/meltCurve_P65292_ygdI.pdf", "Melting_Curves/meltCurve_P65292_ygdI.pdf")</f>
        <v>0</v>
      </c>
    </row>
    <row r="1390" spans="1:28">
      <c r="A1390" t="s">
        <v>1416</v>
      </c>
      <c r="B1390">
        <v>0.999984544473304</v>
      </c>
      <c r="C1390">
        <v>0.774017947560079</v>
      </c>
      <c r="D1390">
        <v>1.1067231329232</v>
      </c>
      <c r="E1390">
        <v>1.07034208185506</v>
      </c>
      <c r="F1390">
        <v>0.813488124125755</v>
      </c>
      <c r="G1390">
        <v>0.502257947663051</v>
      </c>
      <c r="H1390">
        <v>0.364140596495902</v>
      </c>
      <c r="I1390">
        <v>0.306527196154081</v>
      </c>
      <c r="J1390">
        <v>0.237564735371513</v>
      </c>
      <c r="K1390">
        <v>0.351150562938778</v>
      </c>
      <c r="L1390">
        <v>1609.43935091094</v>
      </c>
      <c r="M1390">
        <v>30.8653934763449</v>
      </c>
      <c r="N1390">
        <v>53.7596605420023</v>
      </c>
      <c r="O1390">
        <v>51.9263974177878</v>
      </c>
      <c r="P1390">
        <v>-0.103684113440129</v>
      </c>
      <c r="Q1390">
        <v>0.302272151252596</v>
      </c>
      <c r="R1390">
        <v>0.924055929785916</v>
      </c>
      <c r="S1390" t="s">
        <v>3058</v>
      </c>
      <c r="T1390" t="s">
        <v>3312</v>
      </c>
      <c r="U1390" t="s">
        <v>3312</v>
      </c>
      <c r="V1390" t="s">
        <v>3312</v>
      </c>
      <c r="W1390" t="s">
        <v>4699</v>
      </c>
      <c r="X1390">
        <v>1</v>
      </c>
      <c r="Y1390" t="s">
        <v>6341</v>
      </c>
      <c r="Z1390" t="s">
        <v>7983</v>
      </c>
      <c r="AA1390">
        <v>0.6586560017930173</v>
      </c>
      <c r="AB1390">
        <f>HYPERLINK("Melting_Curves/meltCurve_P65367_yqcA.pdf", "Melting_Curves/meltCurve_P65367_yqcA.pdf")</f>
        <v>0</v>
      </c>
    </row>
    <row r="1391" spans="1:28">
      <c r="A1391" t="s">
        <v>1417</v>
      </c>
      <c r="B1391">
        <v>0.999984544473304</v>
      </c>
      <c r="C1391">
        <v>0.984810942522359</v>
      </c>
      <c r="D1391">
        <v>0.8814770051879059</v>
      </c>
      <c r="E1391">
        <v>0.960739899180353</v>
      </c>
      <c r="F1391">
        <v>0.770248067098648</v>
      </c>
      <c r="G1391">
        <v>0.520697026014138</v>
      </c>
      <c r="H1391">
        <v>0.439295729874641</v>
      </c>
      <c r="I1391">
        <v>0.417460964549069</v>
      </c>
      <c r="J1391">
        <v>0.337330786578659</v>
      </c>
      <c r="K1391">
        <v>0.468356807543671</v>
      </c>
      <c r="L1391">
        <v>1297.5017125478</v>
      </c>
      <c r="M1391">
        <v>25.4271558495446</v>
      </c>
      <c r="N1391">
        <v>54.5379612234202</v>
      </c>
      <c r="O1391">
        <v>50.7157195288516</v>
      </c>
      <c r="P1391">
        <v>-0.07487291387851</v>
      </c>
      <c r="Q1391">
        <v>0.402656754224628</v>
      </c>
      <c r="R1391">
        <v>0.965185343791785</v>
      </c>
      <c r="S1391" t="s">
        <v>3059</v>
      </c>
      <c r="T1391" t="s">
        <v>3312</v>
      </c>
      <c r="U1391" t="s">
        <v>3312</v>
      </c>
      <c r="V1391" t="s">
        <v>3312</v>
      </c>
      <c r="W1391" t="s">
        <v>4700</v>
      </c>
      <c r="X1391">
        <v>2</v>
      </c>
      <c r="Y1391" t="s">
        <v>6342</v>
      </c>
      <c r="Z1391" t="s">
        <v>7984</v>
      </c>
      <c r="AA1391">
        <v>0.6870856810990964</v>
      </c>
      <c r="AB1391">
        <f>HYPERLINK("Melting_Curves/meltCurve_P65556_yfcD.pdf", "Melting_Curves/meltCurve_P65556_yfcD.pdf")</f>
        <v>0</v>
      </c>
    </row>
    <row r="1392" spans="1:28">
      <c r="A1392" t="s">
        <v>1418</v>
      </c>
      <c r="B1392">
        <v>0.999984544473304</v>
      </c>
      <c r="C1392">
        <v>0.926329580908454</v>
      </c>
      <c r="D1392">
        <v>1.11371991784758</v>
      </c>
      <c r="E1392">
        <v>0.957670673118013</v>
      </c>
      <c r="F1392">
        <v>1.17670085046203</v>
      </c>
      <c r="G1392">
        <v>1.12666342196689</v>
      </c>
      <c r="H1392">
        <v>1.00711630530614</v>
      </c>
      <c r="I1392">
        <v>0.904085346804076</v>
      </c>
      <c r="J1392">
        <v>0.792920318489879</v>
      </c>
      <c r="K1392">
        <v>0.519909679739383</v>
      </c>
      <c r="L1392">
        <v>1750.23681312233</v>
      </c>
      <c r="M1392">
        <v>26.0334774529263</v>
      </c>
      <c r="O1392">
        <v>66.83731707216781</v>
      </c>
      <c r="P1392">
        <v>-0.0973774133234767</v>
      </c>
      <c r="Q1392">
        <v>0</v>
      </c>
      <c r="R1392">
        <v>0.788465699199155</v>
      </c>
      <c r="S1392" t="s">
        <v>3060</v>
      </c>
      <c r="T1392" t="s">
        <v>3312</v>
      </c>
      <c r="U1392" t="s">
        <v>3312</v>
      </c>
      <c r="V1392" t="s">
        <v>3312</v>
      </c>
      <c r="W1392" t="s">
        <v>4701</v>
      </c>
      <c r="X1392">
        <v>9</v>
      </c>
      <c r="Y1392" t="s">
        <v>6343</v>
      </c>
      <c r="Z1392" t="s">
        <v>7985</v>
      </c>
      <c r="AA1392">
        <v>0.9489293575265459</v>
      </c>
      <c r="AB1392">
        <f>HYPERLINK("Melting_Curves/meltCurve_P65807_ygeY.pdf", "Melting_Curves/meltCurve_P65807_ygeY.pdf")</f>
        <v>0</v>
      </c>
    </row>
    <row r="1393" spans="1:28">
      <c r="A1393" t="s">
        <v>1419</v>
      </c>
      <c r="B1393">
        <v>0.999984544473304</v>
      </c>
      <c r="C1393">
        <v>0.957315933728681</v>
      </c>
      <c r="D1393">
        <v>0.959716768574027</v>
      </c>
      <c r="E1393">
        <v>0.973698122742325</v>
      </c>
      <c r="F1393">
        <v>1.21231383706259</v>
      </c>
      <c r="G1393">
        <v>1.08675154276067</v>
      </c>
      <c r="H1393">
        <v>1.08620902416384</v>
      </c>
      <c r="I1393">
        <v>1.00098874491268</v>
      </c>
      <c r="J1393">
        <v>0.93671896600244</v>
      </c>
      <c r="K1393">
        <v>0.724008140526354</v>
      </c>
      <c r="L1393">
        <v>15000</v>
      </c>
      <c r="M1393">
        <v>232.796838086576</v>
      </c>
      <c r="O1393">
        <v>64.42911144572069</v>
      </c>
      <c r="P1393">
        <v>-0.249338593366907</v>
      </c>
      <c r="Q1393">
        <v>0.723971104108537</v>
      </c>
      <c r="R1393">
        <v>0.554235443718336</v>
      </c>
      <c r="S1393" t="s">
        <v>3061</v>
      </c>
      <c r="T1393" t="s">
        <v>3312</v>
      </c>
      <c r="U1393" t="s">
        <v>3312</v>
      </c>
      <c r="V1393" t="s">
        <v>3312</v>
      </c>
      <c r="W1393" t="s">
        <v>4702</v>
      </c>
      <c r="X1393">
        <v>2</v>
      </c>
      <c r="Y1393" t="s">
        <v>6344</v>
      </c>
      <c r="Z1393" t="s">
        <v>7986</v>
      </c>
      <c r="AA1393">
        <v>0.9764247103441313</v>
      </c>
      <c r="AB1393">
        <f>HYPERLINK("Melting_Curves/meltCurve_P65870_queD.pdf", "Melting_Curves/meltCurve_P65870_queD.pdf")</f>
        <v>0</v>
      </c>
    </row>
    <row r="1394" spans="1:28">
      <c r="A1394" t="s">
        <v>1420</v>
      </c>
      <c r="B1394">
        <v>0.999984544473304</v>
      </c>
      <c r="C1394">
        <v>0.8561738187812989</v>
      </c>
      <c r="D1394">
        <v>1.06422288624183</v>
      </c>
      <c r="E1394">
        <v>0.834458013203763</v>
      </c>
      <c r="F1394">
        <v>1.02439593261656</v>
      </c>
      <c r="G1394">
        <v>0.724146553295073</v>
      </c>
      <c r="H1394">
        <v>0.203268655834825</v>
      </c>
      <c r="I1394">
        <v>0.06427911848635399</v>
      </c>
      <c r="J1394">
        <v>0.0442255998056686</v>
      </c>
      <c r="K1394">
        <v>0.0425914432164485</v>
      </c>
      <c r="L1394">
        <v>2217.43596730144</v>
      </c>
      <c r="M1394">
        <v>40.2773129386751</v>
      </c>
      <c r="N1394">
        <v>55.1798907121688</v>
      </c>
      <c r="O1394">
        <v>54.9190267040446</v>
      </c>
      <c r="P1394">
        <v>-0.175313953550741</v>
      </c>
      <c r="Q1394">
        <v>0.0438237758454581</v>
      </c>
      <c r="R1394">
        <v>0.969215304578915</v>
      </c>
      <c r="S1394" t="s">
        <v>3062</v>
      </c>
      <c r="T1394" t="s">
        <v>3312</v>
      </c>
      <c r="U1394" t="s">
        <v>3312</v>
      </c>
      <c r="V1394" t="s">
        <v>3312</v>
      </c>
      <c r="W1394" t="s">
        <v>4703</v>
      </c>
      <c r="X1394">
        <v>5</v>
      </c>
      <c r="Y1394" t="s">
        <v>6345</v>
      </c>
      <c r="Z1394" t="s">
        <v>7987</v>
      </c>
      <c r="AA1394">
        <v>0.6227946342514538</v>
      </c>
      <c r="AB1394">
        <f>HYPERLINK("Melting_Curves/meltCurve_P66899_ygeX.pdf", "Melting_Curves/meltCurve_P66899_ygeX.pdf")</f>
        <v>0</v>
      </c>
    </row>
    <row r="1395" spans="1:28">
      <c r="A1395" t="s">
        <v>1421</v>
      </c>
      <c r="B1395">
        <v>0.999984544473304</v>
      </c>
      <c r="C1395">
        <v>1.11728711694915</v>
      </c>
      <c r="D1395">
        <v>0.781211983366799</v>
      </c>
      <c r="E1395">
        <v>1.02900946502957</v>
      </c>
      <c r="F1395">
        <v>0.947554165976091</v>
      </c>
      <c r="G1395">
        <v>0.8506018724348871</v>
      </c>
      <c r="H1395">
        <v>0.825660990214473</v>
      </c>
      <c r="I1395">
        <v>0.179284527954625</v>
      </c>
      <c r="J1395">
        <v>0.0589162206955483</v>
      </c>
      <c r="K1395">
        <v>0.0463225065194364</v>
      </c>
      <c r="L1395">
        <v>3021.7171255241</v>
      </c>
      <c r="M1395">
        <v>51.2343842844437</v>
      </c>
      <c r="N1395">
        <v>59.0756514995832</v>
      </c>
      <c r="O1395">
        <v>58.8886594169372</v>
      </c>
      <c r="P1395">
        <v>-0.208700844898615</v>
      </c>
      <c r="Q1395">
        <v>0.0404800499526938</v>
      </c>
      <c r="R1395">
        <v>0.945863201937274</v>
      </c>
      <c r="S1395" t="s">
        <v>3063</v>
      </c>
      <c r="T1395" t="s">
        <v>3312</v>
      </c>
      <c r="U1395" t="s">
        <v>3312</v>
      </c>
      <c r="V1395" t="s">
        <v>3312</v>
      </c>
      <c r="W1395" t="s">
        <v>4704</v>
      </c>
      <c r="X1395">
        <v>7</v>
      </c>
      <c r="Y1395" t="s">
        <v>6346</v>
      </c>
      <c r="Z1395" t="s">
        <v>7988</v>
      </c>
      <c r="AA1395">
        <v>0.745703104308769</v>
      </c>
      <c r="AB1395">
        <f>HYPERLINK("Melting_Curves/meltCurve_P66948_bepA.pdf", "Melting_Curves/meltCurve_P66948_bepA.pdf")</f>
        <v>0</v>
      </c>
    </row>
    <row r="1396" spans="1:28">
      <c r="A1396" t="s">
        <v>1422</v>
      </c>
      <c r="B1396">
        <v>0.999984544473304</v>
      </c>
      <c r="C1396">
        <v>0.930135482611497</v>
      </c>
      <c r="D1396">
        <v>0.875649206217458</v>
      </c>
      <c r="E1396">
        <v>0.953192275417465</v>
      </c>
      <c r="F1396">
        <v>0.944625237138922</v>
      </c>
      <c r="G1396">
        <v>0.808195297322179</v>
      </c>
      <c r="H1396">
        <v>0.851481227910431</v>
      </c>
      <c r="I1396">
        <v>0.775329491961372</v>
      </c>
      <c r="J1396">
        <v>0.660855452638083</v>
      </c>
      <c r="K1396">
        <v>0.554410519717738</v>
      </c>
      <c r="L1396">
        <v>381.686217823633</v>
      </c>
      <c r="M1396">
        <v>5.27993345896437</v>
      </c>
      <c r="O1396">
        <v>63.8689554098247</v>
      </c>
      <c r="P1396">
        <v>-0.020772020531424</v>
      </c>
      <c r="Q1396">
        <v>0</v>
      </c>
      <c r="R1396">
        <v>0.863441357099514</v>
      </c>
      <c r="S1396" t="s">
        <v>3064</v>
      </c>
      <c r="T1396" t="s">
        <v>3312</v>
      </c>
      <c r="U1396" t="s">
        <v>3312</v>
      </c>
      <c r="V1396" t="s">
        <v>3312</v>
      </c>
      <c r="W1396" t="s">
        <v>4705</v>
      </c>
      <c r="X1396">
        <v>7</v>
      </c>
      <c r="Y1396" t="s">
        <v>6347</v>
      </c>
      <c r="Z1396" t="s">
        <v>7989</v>
      </c>
      <c r="AA1396">
        <v>0.8544710072461229</v>
      </c>
      <c r="AB1396">
        <f>HYPERLINK("Melting_Curves/meltCurve_P67080_yggS.pdf", "Melting_Curves/meltCurve_P67080_yggS.pdf")</f>
        <v>0</v>
      </c>
    </row>
    <row r="1397" spans="1:28">
      <c r="A1397" t="s">
        <v>1423</v>
      </c>
      <c r="B1397">
        <v>0.999984544473304</v>
      </c>
      <c r="C1397">
        <v>0.969004946911472</v>
      </c>
      <c r="D1397">
        <v>0.7367571276345301</v>
      </c>
      <c r="E1397">
        <v>0.843811556372597</v>
      </c>
      <c r="F1397">
        <v>0.620961753483635</v>
      </c>
      <c r="G1397">
        <v>0.479738136240348</v>
      </c>
      <c r="H1397">
        <v>0.368830625406473</v>
      </c>
      <c r="I1397">
        <v>0.313134883068632</v>
      </c>
      <c r="J1397">
        <v>0.213813238878404</v>
      </c>
      <c r="K1397">
        <v>0.258647750194659</v>
      </c>
      <c r="L1397">
        <v>435.458142498716</v>
      </c>
      <c r="M1397">
        <v>8.36975661997595</v>
      </c>
      <c r="N1397">
        <v>53.4713864800438</v>
      </c>
      <c r="O1397">
        <v>49.3117624532947</v>
      </c>
      <c r="P1397">
        <v>-0.0381776304631796</v>
      </c>
      <c r="Q1397">
        <v>0.101139602998747</v>
      </c>
      <c r="R1397">
        <v>0.9608823409417</v>
      </c>
      <c r="S1397" t="s">
        <v>3065</v>
      </c>
      <c r="T1397" t="s">
        <v>3312</v>
      </c>
      <c r="U1397" t="s">
        <v>3312</v>
      </c>
      <c r="V1397" t="s">
        <v>3312</v>
      </c>
      <c r="W1397" t="s">
        <v>4706</v>
      </c>
      <c r="X1397">
        <v>3</v>
      </c>
      <c r="Y1397" t="s">
        <v>6348</v>
      </c>
      <c r="Z1397" t="s">
        <v>7990</v>
      </c>
      <c r="AA1397">
        <v>0.5767165958969646</v>
      </c>
      <c r="AB1397">
        <f>HYPERLINK("Melting_Curves/meltCurve_P67095_yfcE.pdf", "Melting_Curves/meltCurve_P67095_yfcE.pdf")</f>
        <v>0</v>
      </c>
    </row>
    <row r="1398" spans="1:28">
      <c r="A1398" t="s">
        <v>1424</v>
      </c>
      <c r="B1398">
        <v>0.999984544473304</v>
      </c>
      <c r="C1398">
        <v>1.10551691889981</v>
      </c>
      <c r="D1398">
        <v>0.879145869432652</v>
      </c>
      <c r="E1398">
        <v>1.3598936455066</v>
      </c>
      <c r="F1398">
        <v>1.10546041080367</v>
      </c>
      <c r="G1398">
        <v>0.9797954934481961</v>
      </c>
      <c r="H1398">
        <v>1.05469066086726</v>
      </c>
      <c r="I1398">
        <v>1.00287394575388</v>
      </c>
      <c r="J1398">
        <v>0.858554423273196</v>
      </c>
      <c r="K1398">
        <v>0.830174897785089</v>
      </c>
      <c r="L1398">
        <v>15000</v>
      </c>
      <c r="M1398">
        <v>235.6155124318</v>
      </c>
      <c r="O1398">
        <v>63.6584334009415</v>
      </c>
      <c r="P1398">
        <v>-0.157142773536435</v>
      </c>
      <c r="Q1398">
        <v>0.830173048204669</v>
      </c>
      <c r="R1398">
        <v>0.212242686183909</v>
      </c>
      <c r="S1398" t="s">
        <v>3066</v>
      </c>
      <c r="T1398" t="s">
        <v>3312</v>
      </c>
      <c r="U1398" t="s">
        <v>3312</v>
      </c>
      <c r="V1398" t="s">
        <v>3312</v>
      </c>
      <c r="W1398" t="s">
        <v>4707</v>
      </c>
      <c r="X1398">
        <v>2</v>
      </c>
      <c r="Y1398" t="s">
        <v>6349</v>
      </c>
      <c r="Z1398" t="s">
        <v>7991</v>
      </c>
      <c r="AA1398">
        <v>0.9811311622674636</v>
      </c>
      <c r="AB1398">
        <f>HYPERLINK("Melting_Curves/meltCurve_P67244_yqhA.pdf", "Melting_Curves/meltCurve_P67244_yqhA.pdf")</f>
        <v>0</v>
      </c>
    </row>
    <row r="1399" spans="1:28">
      <c r="A1399" t="s">
        <v>1425</v>
      </c>
      <c r="B1399">
        <v>0.999984544473304</v>
      </c>
      <c r="C1399">
        <v>0.863088212996034</v>
      </c>
      <c r="D1399">
        <v>0.950043305100755</v>
      </c>
      <c r="E1399">
        <v>1.2383201998496</v>
      </c>
      <c r="F1399">
        <v>1.20466260659796</v>
      </c>
      <c r="G1399">
        <v>0.862735968444964</v>
      </c>
      <c r="H1399">
        <v>0.852910697292194</v>
      </c>
      <c r="I1399">
        <v>0.758759402102773</v>
      </c>
      <c r="J1399">
        <v>0.392705049607216</v>
      </c>
      <c r="K1399">
        <v>0.398470274118445</v>
      </c>
      <c r="L1399">
        <v>1393.35942582032</v>
      </c>
      <c r="M1399">
        <v>22.57049635488</v>
      </c>
      <c r="N1399">
        <v>63.7190355748034</v>
      </c>
      <c r="O1399">
        <v>61.2551829182526</v>
      </c>
      <c r="P1399">
        <v>-0.0688572595353325</v>
      </c>
      <c r="Q1399">
        <v>0.252514630741535</v>
      </c>
      <c r="R1399">
        <v>0.793490360806263</v>
      </c>
      <c r="S1399" t="s">
        <v>3067</v>
      </c>
      <c r="T1399" t="s">
        <v>3312</v>
      </c>
      <c r="U1399" t="s">
        <v>3312</v>
      </c>
      <c r="V1399" t="s">
        <v>3312</v>
      </c>
      <c r="W1399" t="s">
        <v>4708</v>
      </c>
      <c r="X1399">
        <v>3</v>
      </c>
      <c r="Y1399" t="s">
        <v>6350</v>
      </c>
      <c r="Z1399" t="s">
        <v>7992</v>
      </c>
      <c r="AA1399">
        <v>0.8649347986237593</v>
      </c>
      <c r="AB1399">
        <f>HYPERLINK("Melting_Curves/meltCurve_P67603_yqfB.pdf", "Melting_Curves/meltCurve_P67603_yqfB.pdf")</f>
        <v>0</v>
      </c>
    </row>
    <row r="1400" spans="1:28">
      <c r="A1400" t="s">
        <v>1426</v>
      </c>
      <c r="B1400">
        <v>0.999984544473304</v>
      </c>
      <c r="C1400">
        <v>0.881799455289161</v>
      </c>
      <c r="D1400">
        <v>0.657103836090271</v>
      </c>
      <c r="E1400">
        <v>0.394817222596137</v>
      </c>
      <c r="F1400">
        <v>0.143857892847007</v>
      </c>
      <c r="G1400">
        <v>0.0893517975065289</v>
      </c>
      <c r="H1400">
        <v>0.0433079072528403</v>
      </c>
      <c r="I1400">
        <v>0.03821766703907</v>
      </c>
      <c r="J1400">
        <v>0.022863341400369</v>
      </c>
      <c r="K1400">
        <v>0.0138272634541787</v>
      </c>
      <c r="L1400">
        <v>720.452555143978</v>
      </c>
      <c r="M1400">
        <v>16.0422162795587</v>
      </c>
      <c r="N1400">
        <v>44.9968439803767</v>
      </c>
      <c r="O1400">
        <v>44.229316529981</v>
      </c>
      <c r="P1400">
        <v>-0.0892977830722971</v>
      </c>
      <c r="Q1400">
        <v>0.0152797500704841</v>
      </c>
      <c r="R1400">
        <v>0.997850280603734</v>
      </c>
      <c r="S1400" t="s">
        <v>3068</v>
      </c>
      <c r="T1400" t="s">
        <v>3312</v>
      </c>
      <c r="U1400" t="s">
        <v>3312</v>
      </c>
      <c r="V1400" t="s">
        <v>3312</v>
      </c>
      <c r="W1400" t="s">
        <v>4709</v>
      </c>
      <c r="X1400">
        <v>1</v>
      </c>
      <c r="Y1400" t="s">
        <v>6351</v>
      </c>
      <c r="Z1400" t="s">
        <v>7993</v>
      </c>
      <c r="AA1400">
        <v>0.2954267339668221</v>
      </c>
      <c r="AB1400">
        <f>HYPERLINK("Melting_Curves/meltCurve_P67660_yhaJ.pdf", "Melting_Curves/meltCurve_P67660_yhaJ.pdf")</f>
        <v>0</v>
      </c>
    </row>
    <row r="1401" spans="1:28">
      <c r="A1401" t="s">
        <v>1427</v>
      </c>
      <c r="B1401">
        <v>0.999984544473304</v>
      </c>
      <c r="C1401">
        <v>0.8438021338167671</v>
      </c>
      <c r="D1401">
        <v>0.8620598761675961</v>
      </c>
      <c r="E1401">
        <v>0.9122691238263509</v>
      </c>
      <c r="F1401">
        <v>0.938418459459778</v>
      </c>
      <c r="G1401">
        <v>0.809891656120176</v>
      </c>
      <c r="H1401">
        <v>0.69815025176123</v>
      </c>
      <c r="I1401">
        <v>0.510814810579262</v>
      </c>
      <c r="J1401">
        <v>0.0725840929349417</v>
      </c>
      <c r="K1401">
        <v>0.0501125749043002</v>
      </c>
      <c r="L1401">
        <v>1222.04162370655</v>
      </c>
      <c r="M1401">
        <v>20.4983039944779</v>
      </c>
      <c r="N1401">
        <v>59.6167369178894</v>
      </c>
      <c r="O1401">
        <v>59.0580174980569</v>
      </c>
      <c r="P1401">
        <v>-0.08677444131465691</v>
      </c>
      <c r="Q1401">
        <v>0</v>
      </c>
      <c r="R1401">
        <v>0.915314217465336</v>
      </c>
      <c r="S1401" t="s">
        <v>3069</v>
      </c>
      <c r="T1401" t="s">
        <v>3312</v>
      </c>
      <c r="U1401" t="s">
        <v>3312</v>
      </c>
      <c r="V1401" t="s">
        <v>3312</v>
      </c>
      <c r="W1401" t="s">
        <v>4710</v>
      </c>
      <c r="X1401">
        <v>5</v>
      </c>
      <c r="Y1401" t="s">
        <v>6352</v>
      </c>
      <c r="Z1401" t="s">
        <v>7994</v>
      </c>
      <c r="AA1401">
        <v>0.756172436037218</v>
      </c>
      <c r="AB1401">
        <f>HYPERLINK("Melting_Curves/meltCurve_P67826_cutC.pdf", "Melting_Curves/meltCurve_P67826_cutC.pdf")</f>
        <v>0</v>
      </c>
    </row>
    <row r="1402" spans="1:28">
      <c r="A1402" t="s">
        <v>1428</v>
      </c>
      <c r="B1402">
        <v>0.999984544473304</v>
      </c>
      <c r="C1402">
        <v>0.796360365235017</v>
      </c>
      <c r="D1402">
        <v>0.899247148106449</v>
      </c>
      <c r="E1402">
        <v>0.836498697092882</v>
      </c>
      <c r="F1402">
        <v>0.717939017715621</v>
      </c>
      <c r="G1402">
        <v>0.587134001039314</v>
      </c>
      <c r="H1402">
        <v>0.224222557467621</v>
      </c>
      <c r="I1402">
        <v>0.104540846504529</v>
      </c>
      <c r="J1402">
        <v>0.0399019246552385</v>
      </c>
      <c r="K1402">
        <v>0.0213159648447433</v>
      </c>
      <c r="L1402">
        <v>779.310963585078</v>
      </c>
      <c r="M1402">
        <v>14.5754623770867</v>
      </c>
      <c r="N1402">
        <v>53.4673465061591</v>
      </c>
      <c r="O1402">
        <v>52.491105909983</v>
      </c>
      <c r="P1402">
        <v>-0.0694265705818416</v>
      </c>
      <c r="Q1402">
        <v>0</v>
      </c>
      <c r="R1402">
        <v>0.9509019647008921</v>
      </c>
      <c r="S1402" t="s">
        <v>3070</v>
      </c>
      <c r="T1402" t="s">
        <v>3312</v>
      </c>
      <c r="U1402" t="s">
        <v>3312</v>
      </c>
      <c r="V1402" t="s">
        <v>3312</v>
      </c>
      <c r="W1402" t="s">
        <v>4711</v>
      </c>
      <c r="X1402">
        <v>12</v>
      </c>
      <c r="Y1402" t="s">
        <v>6353</v>
      </c>
      <c r="Z1402" t="s">
        <v>7995</v>
      </c>
      <c r="AA1402">
        <v>0.5664487700205154</v>
      </c>
      <c r="AB1402">
        <f>HYPERLINK("Melting_Curves/meltCurve_P67910_hldD.pdf", "Melting_Curves/meltCurve_P67910_hldD.pdf")</f>
        <v>0</v>
      </c>
    </row>
    <row r="1403" spans="1:28">
      <c r="A1403" t="s">
        <v>1429</v>
      </c>
      <c r="B1403">
        <v>0.999984544473304</v>
      </c>
      <c r="C1403">
        <v>1.1603833362234</v>
      </c>
      <c r="D1403">
        <v>1.02386211724008</v>
      </c>
      <c r="E1403">
        <v>1.26343946343181</v>
      </c>
      <c r="F1403">
        <v>1.1913293773702</v>
      </c>
      <c r="G1403">
        <v>1.06672815682536</v>
      </c>
      <c r="H1403">
        <v>1.09764582265408</v>
      </c>
      <c r="I1403">
        <v>1.01133416807553</v>
      </c>
      <c r="J1403">
        <v>0.733370884947008</v>
      </c>
      <c r="K1403">
        <v>0.898071778111908</v>
      </c>
      <c r="L1403">
        <v>15000</v>
      </c>
      <c r="M1403">
        <v>240.902254405429</v>
      </c>
      <c r="O1403">
        <v>62.2616267546743</v>
      </c>
      <c r="P1403">
        <v>-0.178261636121141</v>
      </c>
      <c r="Q1403">
        <v>0.815711821264673</v>
      </c>
      <c r="R1403">
        <v>0.230548640980571</v>
      </c>
      <c r="S1403" t="s">
        <v>3071</v>
      </c>
      <c r="T1403" t="s">
        <v>3312</v>
      </c>
      <c r="U1403" t="s">
        <v>3312</v>
      </c>
      <c r="V1403" t="s">
        <v>3312</v>
      </c>
      <c r="W1403" t="s">
        <v>4712</v>
      </c>
      <c r="X1403">
        <v>10</v>
      </c>
      <c r="Y1403" t="s">
        <v>6354</v>
      </c>
      <c r="Z1403" t="s">
        <v>7996</v>
      </c>
      <c r="AA1403">
        <v>0.9709405094850246</v>
      </c>
      <c r="AB1403">
        <f>HYPERLINK("Melting_Curves/meltCurve_P68066_grcA.pdf", "Melting_Curves/meltCurve_P68066_grcA.pdf")</f>
        <v>0</v>
      </c>
    </row>
    <row r="1404" spans="1:28">
      <c r="A1404" t="s">
        <v>1430</v>
      </c>
      <c r="B1404">
        <v>0.999984544473304</v>
      </c>
      <c r="C1404">
        <v>0.7654031705455761</v>
      </c>
      <c r="D1404">
        <v>0.5049720152293939</v>
      </c>
      <c r="E1404">
        <v>0.300438284917178</v>
      </c>
      <c r="F1404">
        <v>0.174701378120413</v>
      </c>
      <c r="G1404">
        <v>0.163822746777736</v>
      </c>
      <c r="H1404">
        <v>0.106028447063657</v>
      </c>
      <c r="I1404">
        <v>0.07145037057884319</v>
      </c>
      <c r="J1404">
        <v>0.0282035902520706</v>
      </c>
      <c r="K1404">
        <v>0.045784207245266</v>
      </c>
      <c r="L1404">
        <v>642.479756345826</v>
      </c>
      <c r="M1404">
        <v>14.9249827676519</v>
      </c>
      <c r="N1404">
        <v>43.4532792917612</v>
      </c>
      <c r="O1404">
        <v>42.2966375033866</v>
      </c>
      <c r="P1404">
        <v>-0.0824832459198486</v>
      </c>
      <c r="Q1404">
        <v>0.0650831328629707</v>
      </c>
      <c r="R1404">
        <v>0.98736869641226</v>
      </c>
      <c r="S1404" t="s">
        <v>3072</v>
      </c>
      <c r="T1404" t="s">
        <v>3312</v>
      </c>
      <c r="U1404" t="s">
        <v>3312</v>
      </c>
      <c r="V1404" t="s">
        <v>3312</v>
      </c>
      <c r="W1404" t="s">
        <v>4713</v>
      </c>
      <c r="X1404">
        <v>1</v>
      </c>
      <c r="Y1404" t="s">
        <v>6355</v>
      </c>
      <c r="Z1404" t="s">
        <v>7997</v>
      </c>
      <c r="AA1404">
        <v>0.2784240668939626</v>
      </c>
      <c r="AB1404">
        <f>HYPERLINK("Melting_Curves/meltCurve_P68187_malK.pdf", "Melting_Curves/meltCurve_P68187_malK.pdf")</f>
        <v>0</v>
      </c>
    </row>
    <row r="1405" spans="1:28">
      <c r="A1405" t="s">
        <v>1431</v>
      </c>
      <c r="B1405">
        <v>0.999984544473304</v>
      </c>
      <c r="C1405">
        <v>1.1932279463057</v>
      </c>
      <c r="D1405">
        <v>0.741740254314837</v>
      </c>
      <c r="E1405">
        <v>0.909204108336694</v>
      </c>
      <c r="F1405">
        <v>1.16127912251983</v>
      </c>
      <c r="G1405">
        <v>0.964914329199556</v>
      </c>
      <c r="H1405">
        <v>1.06651740181459</v>
      </c>
      <c r="I1405">
        <v>1.46737458286316</v>
      </c>
      <c r="J1405">
        <v>1.9505028217525</v>
      </c>
      <c r="K1405">
        <v>2.12165367633061</v>
      </c>
      <c r="L1405">
        <v>5132.93222650052</v>
      </c>
      <c r="M1405">
        <v>87.5103458131815</v>
      </c>
      <c r="O1405">
        <v>58.6245613144456</v>
      </c>
      <c r="P1405">
        <v>0.186590714325025</v>
      </c>
      <c r="Q1405">
        <v>1.5</v>
      </c>
      <c r="R1405">
        <v>0.607843342867417</v>
      </c>
      <c r="S1405" t="s">
        <v>3073</v>
      </c>
      <c r="T1405" t="s">
        <v>3312</v>
      </c>
      <c r="U1405" t="s">
        <v>3312</v>
      </c>
      <c r="V1405" t="s">
        <v>3312</v>
      </c>
      <c r="W1405" t="s">
        <v>4714</v>
      </c>
      <c r="X1405">
        <v>3</v>
      </c>
      <c r="Y1405" t="s">
        <v>6356</v>
      </c>
      <c r="Z1405" t="s">
        <v>7998</v>
      </c>
      <c r="AA1405">
        <v>1.138660427081296</v>
      </c>
      <c r="AB1405">
        <f>HYPERLINK("Melting_Curves/meltCurve_P68191_sra.pdf", "Melting_Curves/meltCurve_P68191_sra.pdf")</f>
        <v>0</v>
      </c>
    </row>
    <row r="1406" spans="1:28">
      <c r="A1406" t="s">
        <v>1432</v>
      </c>
      <c r="B1406">
        <v>0.999984544473304</v>
      </c>
      <c r="C1406">
        <v>1.20335324751025</v>
      </c>
      <c r="D1406">
        <v>0.741323809321362</v>
      </c>
      <c r="E1406">
        <v>1.06098266542244</v>
      </c>
      <c r="F1406">
        <v>1.00179142334542</v>
      </c>
      <c r="G1406">
        <v>0.767937028834625</v>
      </c>
      <c r="H1406">
        <v>0.742330404157334</v>
      </c>
      <c r="I1406">
        <v>0.641860102488757</v>
      </c>
      <c r="J1406">
        <v>0.38644257110075</v>
      </c>
      <c r="K1406">
        <v>0.625021576154691</v>
      </c>
      <c r="L1406">
        <v>1069.79517595653</v>
      </c>
      <c r="M1406">
        <v>19.1403907950218</v>
      </c>
      <c r="O1406">
        <v>55.2926735334769</v>
      </c>
      <c r="P1406">
        <v>-0.0425449178263253</v>
      </c>
      <c r="Q1406">
        <v>0.508404984048092</v>
      </c>
      <c r="R1406">
        <v>0.703346153498037</v>
      </c>
      <c r="S1406" t="s">
        <v>3074</v>
      </c>
      <c r="T1406" t="s">
        <v>3312</v>
      </c>
      <c r="U1406" t="s">
        <v>3312</v>
      </c>
      <c r="V1406" t="s">
        <v>3312</v>
      </c>
      <c r="W1406" t="s">
        <v>4715</v>
      </c>
      <c r="X1406">
        <v>4</v>
      </c>
      <c r="Y1406" t="s">
        <v>6357</v>
      </c>
      <c r="Z1406" t="s">
        <v>7999</v>
      </c>
      <c r="AA1406">
        <v>0.8232766953099632</v>
      </c>
      <c r="AB1406">
        <f>HYPERLINK("Melting_Curves/meltCurve_P68206_yjbJ.pdf", "Melting_Curves/meltCurve_P68206_yjbJ.pdf")</f>
        <v>0</v>
      </c>
    </row>
    <row r="1407" spans="1:28">
      <c r="A1407" t="s">
        <v>1433</v>
      </c>
      <c r="B1407">
        <v>0.999984544473304</v>
      </c>
      <c r="C1407">
        <v>1.116840981588</v>
      </c>
      <c r="D1407">
        <v>0.550533503403514</v>
      </c>
      <c r="E1407">
        <v>2.60841685079658</v>
      </c>
      <c r="F1407">
        <v>3.81077307993882</v>
      </c>
      <c r="G1407">
        <v>4.31116823231505</v>
      </c>
      <c r="H1407">
        <v>4.933662881482</v>
      </c>
      <c r="I1407">
        <v>4.88430770242458</v>
      </c>
      <c r="J1407">
        <v>5.0747583394941</v>
      </c>
      <c r="K1407">
        <v>7.16690137776376</v>
      </c>
      <c r="L1407">
        <v>11164.2555296</v>
      </c>
      <c r="M1407">
        <v>250</v>
      </c>
      <c r="O1407">
        <v>44.6541641706293</v>
      </c>
      <c r="P1407">
        <v>0.699822748468709</v>
      </c>
      <c r="Q1407">
        <v>1.5</v>
      </c>
      <c r="R1407">
        <v>-0.969386577752067</v>
      </c>
      <c r="S1407" t="s">
        <v>3075</v>
      </c>
      <c r="T1407" t="s">
        <v>3312</v>
      </c>
      <c r="U1407" t="s">
        <v>3312</v>
      </c>
      <c r="V1407" t="s">
        <v>3312</v>
      </c>
      <c r="W1407" t="s">
        <v>4716</v>
      </c>
      <c r="X1407">
        <v>2</v>
      </c>
      <c r="Y1407" t="s">
        <v>6358</v>
      </c>
      <c r="Z1407" t="s">
        <v>8000</v>
      </c>
      <c r="AA1407">
        <v>1.372343778503926</v>
      </c>
      <c r="AB1407">
        <f>HYPERLINK("Melting_Curves/meltCurve_P68679_rpsU.pdf", "Melting_Curves/meltCurve_P68679_rpsU.pdf")</f>
        <v>0</v>
      </c>
    </row>
    <row r="1408" spans="1:28">
      <c r="A1408" t="s">
        <v>1434</v>
      </c>
      <c r="B1408">
        <v>0.999984544473304</v>
      </c>
      <c r="C1408">
        <v>0.785874614312285</v>
      </c>
      <c r="D1408">
        <v>0.924235965283623</v>
      </c>
      <c r="E1408">
        <v>0.9239588196013629</v>
      </c>
      <c r="F1408">
        <v>0.999558093761746</v>
      </c>
      <c r="G1408">
        <v>0.605241073979174</v>
      </c>
      <c r="H1408">
        <v>0.667695274214147</v>
      </c>
      <c r="I1408">
        <v>0.426661504133005</v>
      </c>
      <c r="J1408">
        <v>0.32886402359881</v>
      </c>
      <c r="K1408">
        <v>0.363064154103753</v>
      </c>
      <c r="L1408">
        <v>687.735900640405</v>
      </c>
      <c r="M1408">
        <v>12.1378471780515</v>
      </c>
      <c r="N1408">
        <v>59.5365096177283</v>
      </c>
      <c r="O1408">
        <v>55.1882704881414</v>
      </c>
      <c r="P1408">
        <v>-0.042797036685576</v>
      </c>
      <c r="Q1408">
        <v>0.221822524312011</v>
      </c>
      <c r="R1408">
        <v>0.849316359328135</v>
      </c>
      <c r="S1408" t="s">
        <v>3076</v>
      </c>
      <c r="T1408" t="s">
        <v>3312</v>
      </c>
      <c r="U1408" t="s">
        <v>3312</v>
      </c>
      <c r="V1408" t="s">
        <v>3312</v>
      </c>
      <c r="W1408" t="s">
        <v>4717</v>
      </c>
      <c r="X1408">
        <v>1</v>
      </c>
      <c r="Y1408" t="s">
        <v>6359</v>
      </c>
      <c r="Z1408" t="s">
        <v>8001</v>
      </c>
      <c r="AA1408">
        <v>0.7370233286910716</v>
      </c>
      <c r="AB1408">
        <f>HYPERLINK("Melting_Curves/meltCurve_P68688_grxA.pdf", "Melting_Curves/meltCurve_P68688_grxA.pdf")</f>
        <v>0</v>
      </c>
    </row>
    <row r="1409" spans="1:28">
      <c r="A1409" t="s">
        <v>1435</v>
      </c>
      <c r="B1409">
        <v>0.999984544473304</v>
      </c>
      <c r="C1409">
        <v>1.09988281038864</v>
      </c>
      <c r="D1409">
        <v>0.980920049538368</v>
      </c>
      <c r="E1409">
        <v>1.07607861035006</v>
      </c>
      <c r="F1409">
        <v>1.01407946342117</v>
      </c>
      <c r="G1409">
        <v>0.737617639453154</v>
      </c>
      <c r="H1409">
        <v>0.73206631407196</v>
      </c>
      <c r="I1409">
        <v>0.684560853447155</v>
      </c>
      <c r="J1409">
        <v>0.455035539065874</v>
      </c>
      <c r="K1409">
        <v>0.345136241545496</v>
      </c>
      <c r="L1409">
        <v>664.367506100616</v>
      </c>
      <c r="M1409">
        <v>10.4791211252196</v>
      </c>
      <c r="N1409">
        <v>63.3991572077833</v>
      </c>
      <c r="O1409">
        <v>61.2208678015697</v>
      </c>
      <c r="P1409">
        <v>-0.0428096737665693</v>
      </c>
      <c r="Q1409">
        <v>0</v>
      </c>
      <c r="R1409">
        <v>0.920671283527749</v>
      </c>
      <c r="S1409" t="s">
        <v>3077</v>
      </c>
      <c r="T1409" t="s">
        <v>3312</v>
      </c>
      <c r="U1409" t="s">
        <v>3312</v>
      </c>
      <c r="V1409" t="s">
        <v>3312</v>
      </c>
      <c r="W1409" t="s">
        <v>4718</v>
      </c>
      <c r="X1409">
        <v>2</v>
      </c>
      <c r="Y1409" t="s">
        <v>6360</v>
      </c>
      <c r="Z1409" t="s">
        <v>8002</v>
      </c>
      <c r="AA1409">
        <v>0.8161892795416565</v>
      </c>
      <c r="AB1409">
        <f>HYPERLINK("Melting_Curves/meltCurve_P68699_atpE.pdf", "Melting_Curves/meltCurve_P68699_atpE.pdf")</f>
        <v>0</v>
      </c>
    </row>
    <row r="1410" spans="1:28">
      <c r="A1410" t="s">
        <v>1436</v>
      </c>
      <c r="B1410">
        <v>0.999984544473304</v>
      </c>
      <c r="C1410">
        <v>1.25292207891378</v>
      </c>
      <c r="D1410">
        <v>1.12420203922739</v>
      </c>
      <c r="E1410">
        <v>0.925470754018304</v>
      </c>
      <c r="F1410">
        <v>0.8996041425893651</v>
      </c>
      <c r="G1410">
        <v>0.80307787954627</v>
      </c>
      <c r="H1410">
        <v>0.776526845800745</v>
      </c>
      <c r="I1410">
        <v>0.627825176052511</v>
      </c>
      <c r="J1410">
        <v>0.329026044574187</v>
      </c>
      <c r="K1410">
        <v>0.204485202165387</v>
      </c>
      <c r="L1410">
        <v>863.961654596357</v>
      </c>
      <c r="M1410">
        <v>14.0047970148736</v>
      </c>
      <c r="N1410">
        <v>61.6904091189161</v>
      </c>
      <c r="O1410">
        <v>60.4734400096646</v>
      </c>
      <c r="P1410">
        <v>-0.0579041302960626</v>
      </c>
      <c r="Q1410">
        <v>0</v>
      </c>
      <c r="R1410">
        <v>0.890259783506179</v>
      </c>
      <c r="S1410" t="s">
        <v>3078</v>
      </c>
      <c r="T1410" t="s">
        <v>3312</v>
      </c>
      <c r="U1410" t="s">
        <v>3312</v>
      </c>
      <c r="V1410" t="s">
        <v>3312</v>
      </c>
      <c r="W1410" t="s">
        <v>4719</v>
      </c>
      <c r="X1410">
        <v>10</v>
      </c>
      <c r="Y1410" t="s">
        <v>6361</v>
      </c>
      <c r="Z1410" t="s">
        <v>8003</v>
      </c>
      <c r="AA1410">
        <v>0.7998260516449629</v>
      </c>
      <c r="AB1410">
        <f>HYPERLINK("Melting_Curves/meltCurve_P68767_pepA.pdf", "Melting_Curves/meltCurve_P68767_pepA.pdf")</f>
        <v>0</v>
      </c>
    </row>
    <row r="1411" spans="1:28">
      <c r="A1411" t="s">
        <v>1437</v>
      </c>
      <c r="B1411">
        <v>0.999984544473304</v>
      </c>
      <c r="C1411">
        <v>1.00178090672763</v>
      </c>
      <c r="D1411">
        <v>0.667175735117537</v>
      </c>
      <c r="E1411">
        <v>1.41212918498744</v>
      </c>
      <c r="F1411">
        <v>0.888281679208572</v>
      </c>
      <c r="G1411">
        <v>0.668764102310877</v>
      </c>
      <c r="H1411">
        <v>0.479050919536374</v>
      </c>
      <c r="I1411">
        <v>0.286713501164594</v>
      </c>
      <c r="J1411">
        <v>0.190748253697906</v>
      </c>
      <c r="K1411">
        <v>0.210143847781614</v>
      </c>
      <c r="L1411">
        <v>1268.03648712719</v>
      </c>
      <c r="M1411">
        <v>22.9359366993674</v>
      </c>
      <c r="N1411">
        <v>56.4667414069332</v>
      </c>
      <c r="O1411">
        <v>54.8708834632519</v>
      </c>
      <c r="P1411">
        <v>-0.0845958096387376</v>
      </c>
      <c r="Q1411">
        <v>0.190482777191499</v>
      </c>
      <c r="R1411">
        <v>0.794176387191713</v>
      </c>
      <c r="S1411" t="s">
        <v>3079</v>
      </c>
      <c r="T1411" t="s">
        <v>3312</v>
      </c>
      <c r="U1411" t="s">
        <v>3312</v>
      </c>
      <c r="V1411" t="s">
        <v>3312</v>
      </c>
      <c r="W1411" t="s">
        <v>4720</v>
      </c>
      <c r="X1411">
        <v>3</v>
      </c>
      <c r="Y1411" t="s">
        <v>6362</v>
      </c>
      <c r="Z1411" t="s">
        <v>8004</v>
      </c>
      <c r="AA1411">
        <v>0.6915659157920476</v>
      </c>
      <c r="AB1411">
        <f>HYPERLINK("Melting_Curves/meltCurve_P68919_rplY.pdf", "Melting_Curves/meltCurve_P68919_rplY.pdf")</f>
        <v>0</v>
      </c>
    </row>
    <row r="1412" spans="1:28">
      <c r="A1412" t="s">
        <v>1438</v>
      </c>
      <c r="B1412">
        <v>0.999984544473304</v>
      </c>
      <c r="C1412">
        <v>0.904494714864493</v>
      </c>
      <c r="D1412">
        <v>1.23746082262348</v>
      </c>
      <c r="E1412">
        <v>1.19958203595175</v>
      </c>
      <c r="F1412">
        <v>1.16688043959846</v>
      </c>
      <c r="G1412">
        <v>1.00317297178609</v>
      </c>
      <c r="H1412">
        <v>1.11653194261739</v>
      </c>
      <c r="I1412">
        <v>0.94633038653831</v>
      </c>
      <c r="J1412">
        <v>0.822786893528434</v>
      </c>
      <c r="K1412">
        <v>0.350437865724162</v>
      </c>
      <c r="L1412">
        <v>3102.83783060672</v>
      </c>
      <c r="M1412">
        <v>46.9184054513099</v>
      </c>
      <c r="N1412">
        <v>66.13263605136559</v>
      </c>
      <c r="O1412">
        <v>66.01283694325021</v>
      </c>
      <c r="P1412">
        <v>-0.177686884795148</v>
      </c>
      <c r="Q1412">
        <v>0</v>
      </c>
      <c r="R1412">
        <v>0.751557986491972</v>
      </c>
      <c r="S1412" t="s">
        <v>3080</v>
      </c>
      <c r="T1412" t="s">
        <v>3312</v>
      </c>
      <c r="U1412" t="s">
        <v>3312</v>
      </c>
      <c r="V1412" t="s">
        <v>3312</v>
      </c>
      <c r="W1412" t="s">
        <v>4721</v>
      </c>
      <c r="X1412">
        <v>1</v>
      </c>
      <c r="Y1412" t="s">
        <v>6363</v>
      </c>
      <c r="Z1412" t="s">
        <v>8005</v>
      </c>
      <c r="AA1412">
        <v>0.9523466584230937</v>
      </c>
      <c r="AB1412">
        <f>HYPERLINK("Melting_Curves/meltCurve_P69054_sdhC.pdf", "Melting_Curves/meltCurve_P69054_sdhC.pdf")</f>
        <v>0</v>
      </c>
    </row>
    <row r="1413" spans="1:28">
      <c r="A1413" t="s">
        <v>1439</v>
      </c>
      <c r="B1413">
        <v>0.999984544473304</v>
      </c>
      <c r="C1413">
        <v>0.917891154838831</v>
      </c>
      <c r="D1413">
        <v>1.28306496139524</v>
      </c>
      <c r="E1413">
        <v>1.1293359457948</v>
      </c>
      <c r="F1413">
        <v>1.99961974267616</v>
      </c>
      <c r="G1413">
        <v>1.50439953172291</v>
      </c>
      <c r="H1413">
        <v>2.12155096799128</v>
      </c>
      <c r="I1413">
        <v>1.8262385556892</v>
      </c>
      <c r="J1413">
        <v>1.64360759488985</v>
      </c>
      <c r="K1413">
        <v>0.837103741801498</v>
      </c>
      <c r="L1413">
        <v>1227.02249994149</v>
      </c>
      <c r="M1413">
        <v>27.6808849320951</v>
      </c>
      <c r="O1413">
        <v>44.0980187682737</v>
      </c>
      <c r="P1413">
        <v>0.07846478706077049</v>
      </c>
      <c r="Q1413">
        <v>1.5</v>
      </c>
      <c r="R1413">
        <v>0.311213113217696</v>
      </c>
      <c r="S1413" t="s">
        <v>3081</v>
      </c>
      <c r="T1413" t="s">
        <v>3312</v>
      </c>
      <c r="U1413" t="s">
        <v>3312</v>
      </c>
      <c r="V1413" t="s">
        <v>3312</v>
      </c>
      <c r="W1413" t="s">
        <v>4722</v>
      </c>
      <c r="X1413">
        <v>1</v>
      </c>
      <c r="Y1413" t="s">
        <v>6364</v>
      </c>
      <c r="Z1413" t="s">
        <v>8006</v>
      </c>
      <c r="AA1413">
        <v>1.374577347721023</v>
      </c>
      <c r="AB1413">
        <f>HYPERLINK("Melting_Curves/meltCurve_P69222_infA.pdf", "Melting_Curves/meltCurve_P69222_infA.pdf")</f>
        <v>0</v>
      </c>
    </row>
    <row r="1414" spans="1:28">
      <c r="A1414" t="s">
        <v>1440</v>
      </c>
      <c r="B1414">
        <v>0.999984544473304</v>
      </c>
      <c r="C1414">
        <v>0.875290819821562</v>
      </c>
      <c r="D1414">
        <v>0.847016466274485</v>
      </c>
      <c r="E1414">
        <v>0.873868901755565</v>
      </c>
      <c r="F1414">
        <v>1.01858814434673</v>
      </c>
      <c r="G1414">
        <v>0.8370162863353789</v>
      </c>
      <c r="H1414">
        <v>0.6848516014183</v>
      </c>
      <c r="I1414">
        <v>0.333578828730934</v>
      </c>
      <c r="J1414">
        <v>0.120593945104851</v>
      </c>
      <c r="K1414">
        <v>0.0734879333767471</v>
      </c>
      <c r="L1414">
        <v>1286.27281384925</v>
      </c>
      <c r="M1414">
        <v>21.791049559745</v>
      </c>
      <c r="N1414">
        <v>59.027590166654</v>
      </c>
      <c r="O1414">
        <v>58.537214190088</v>
      </c>
      <c r="P1414">
        <v>-0.0930670998118253</v>
      </c>
      <c r="Q1414">
        <v>0</v>
      </c>
      <c r="R1414">
        <v>0.946784447987048</v>
      </c>
      <c r="S1414" t="s">
        <v>3082</v>
      </c>
      <c r="T1414" t="s">
        <v>3312</v>
      </c>
      <c r="U1414" t="s">
        <v>3312</v>
      </c>
      <c r="V1414" t="s">
        <v>3312</v>
      </c>
      <c r="W1414" t="s">
        <v>4723</v>
      </c>
      <c r="X1414">
        <v>5</v>
      </c>
      <c r="Y1414" t="s">
        <v>6365</v>
      </c>
      <c r="Z1414" t="s">
        <v>8007</v>
      </c>
      <c r="AA1414">
        <v>0.7388482614450751</v>
      </c>
      <c r="AB1414">
        <f>HYPERLINK("Melting_Curves/meltCurve_P69228_baeR.pdf", "Melting_Curves/meltCurve_P69228_baeR.pdf")</f>
        <v>0</v>
      </c>
    </row>
    <row r="1415" spans="1:28">
      <c r="A1415" t="s">
        <v>1441</v>
      </c>
      <c r="B1415">
        <v>0.999984544473304</v>
      </c>
      <c r="C1415">
        <v>1.07529779697614</v>
      </c>
      <c r="D1415">
        <v>0.894821203807981</v>
      </c>
      <c r="E1415">
        <v>0.8098957463615239</v>
      </c>
      <c r="F1415">
        <v>0.876502386197035</v>
      </c>
      <c r="G1415">
        <v>0.714388636076433</v>
      </c>
      <c r="H1415">
        <v>0.625512317501283</v>
      </c>
      <c r="I1415">
        <v>0.490455549486933</v>
      </c>
      <c r="J1415">
        <v>0.283786401913976</v>
      </c>
      <c r="K1415">
        <v>0.425904687189707</v>
      </c>
      <c r="L1415">
        <v>464.347311022501</v>
      </c>
      <c r="M1415">
        <v>7.8885352078717</v>
      </c>
      <c r="N1415">
        <v>60.4633537297155</v>
      </c>
      <c r="O1415">
        <v>55.4410138908836</v>
      </c>
      <c r="P1415">
        <v>-0.0322596675335664</v>
      </c>
      <c r="Q1415">
        <v>0.0941892715502024</v>
      </c>
      <c r="R1415">
        <v>0.922437839377937</v>
      </c>
      <c r="S1415" t="s">
        <v>3083</v>
      </c>
      <c r="T1415" t="s">
        <v>3312</v>
      </c>
      <c r="U1415" t="s">
        <v>3312</v>
      </c>
      <c r="V1415" t="s">
        <v>3312</v>
      </c>
      <c r="W1415" t="s">
        <v>4724</v>
      </c>
      <c r="X1415">
        <v>1</v>
      </c>
      <c r="Y1415" t="s">
        <v>6366</v>
      </c>
      <c r="Z1415" t="s">
        <v>8008</v>
      </c>
      <c r="AA1415">
        <v>0.7260688250780682</v>
      </c>
      <c r="AB1415">
        <f>HYPERLINK("Melting_Curves/meltCurve_P69346_yefM.pdf", "Melting_Curves/meltCurve_P69346_yefM.pdf")</f>
        <v>0</v>
      </c>
    </row>
    <row r="1416" spans="1:28">
      <c r="A1416" t="s">
        <v>1442</v>
      </c>
      <c r="B1416">
        <v>0.999984544473304</v>
      </c>
      <c r="C1416">
        <v>0.868970260742852</v>
      </c>
      <c r="D1416">
        <v>0.860778202831774</v>
      </c>
      <c r="E1416">
        <v>0.962021574397064</v>
      </c>
      <c r="F1416">
        <v>0.969415373142658</v>
      </c>
      <c r="G1416">
        <v>0.89120342195431</v>
      </c>
      <c r="H1416">
        <v>0.889752189326467</v>
      </c>
      <c r="I1416">
        <v>0.67168884575746</v>
      </c>
      <c r="J1416">
        <v>0.349742924831038</v>
      </c>
      <c r="K1416">
        <v>0.183334410431586</v>
      </c>
      <c r="L1416">
        <v>1406.18570414445</v>
      </c>
      <c r="M1416">
        <v>22.4670909434837</v>
      </c>
      <c r="N1416">
        <v>62.5886860231371</v>
      </c>
      <c r="O1416">
        <v>62.0991604772164</v>
      </c>
      <c r="P1416">
        <v>-0.09045030599225221</v>
      </c>
      <c r="Q1416">
        <v>0</v>
      </c>
      <c r="R1416">
        <v>0.933430572720836</v>
      </c>
      <c r="S1416" t="s">
        <v>3084</v>
      </c>
      <c r="T1416" t="s">
        <v>3312</v>
      </c>
      <c r="U1416" t="s">
        <v>3312</v>
      </c>
      <c r="V1416" t="s">
        <v>3312</v>
      </c>
      <c r="W1416" t="s">
        <v>4725</v>
      </c>
      <c r="X1416">
        <v>4</v>
      </c>
      <c r="Y1416" t="s">
        <v>6367</v>
      </c>
      <c r="Z1416" t="s">
        <v>8009</v>
      </c>
      <c r="AA1416">
        <v>0.8425179317072387</v>
      </c>
      <c r="AB1416">
        <f>HYPERLINK("Melting_Curves/meltCurve_P69411_rcsF.pdf", "Melting_Curves/meltCurve_P69411_rcsF.pdf")</f>
        <v>0</v>
      </c>
    </row>
    <row r="1417" spans="1:28">
      <c r="A1417" t="s">
        <v>1443</v>
      </c>
      <c r="B1417">
        <v>0.999984544473304</v>
      </c>
      <c r="C1417">
        <v>1.02998511156395</v>
      </c>
      <c r="D1417">
        <v>0.7830707309248141</v>
      </c>
      <c r="E1417">
        <v>0.916032202790854</v>
      </c>
      <c r="F1417">
        <v>0.953454765004552</v>
      </c>
      <c r="G1417">
        <v>0.747766307255144</v>
      </c>
      <c r="H1417">
        <v>0.683920706456339</v>
      </c>
      <c r="I1417">
        <v>0.624245815760652</v>
      </c>
      <c r="J1417">
        <v>0.523126209899067</v>
      </c>
      <c r="K1417">
        <v>0.494198641280009</v>
      </c>
      <c r="L1417">
        <v>355.749101859022</v>
      </c>
      <c r="M1417">
        <v>5.36924082890773</v>
      </c>
      <c r="N1417">
        <v>66.2568757050327</v>
      </c>
      <c r="O1417">
        <v>58.747907393996</v>
      </c>
      <c r="P1417">
        <v>-0.0229581162166683</v>
      </c>
      <c r="Q1417">
        <v>0</v>
      </c>
      <c r="R1417">
        <v>0.872115898697203</v>
      </c>
      <c r="S1417" t="s">
        <v>3085</v>
      </c>
      <c r="T1417" t="s">
        <v>3312</v>
      </c>
      <c r="U1417" t="s">
        <v>3312</v>
      </c>
      <c r="V1417" t="s">
        <v>3312</v>
      </c>
      <c r="W1417" t="s">
        <v>4726</v>
      </c>
      <c r="X1417">
        <v>4</v>
      </c>
      <c r="Y1417" t="s">
        <v>6368</v>
      </c>
      <c r="Z1417" t="s">
        <v>8010</v>
      </c>
      <c r="AA1417">
        <v>0.7848487176705427</v>
      </c>
      <c r="AB1417">
        <f>HYPERLINK("Melting_Curves/meltCurve_P69425_tatB.pdf", "Melting_Curves/meltCurve_P69425_tatB.pdf")</f>
        <v>0</v>
      </c>
    </row>
    <row r="1418" spans="1:28">
      <c r="A1418" t="s">
        <v>1444</v>
      </c>
      <c r="B1418">
        <v>0.999984544473304</v>
      </c>
      <c r="C1418">
        <v>0.844141148805851</v>
      </c>
      <c r="D1418">
        <v>0.8359657373553629</v>
      </c>
      <c r="E1418">
        <v>0.961808437171371</v>
      </c>
      <c r="F1418">
        <v>1.31778351519</v>
      </c>
      <c r="G1418">
        <v>0.871644630758276</v>
      </c>
      <c r="H1418">
        <v>1.07845189986268</v>
      </c>
      <c r="I1418">
        <v>1.17852409066067</v>
      </c>
      <c r="J1418">
        <v>1.10197982730568</v>
      </c>
      <c r="K1418">
        <v>0.853632501631966</v>
      </c>
      <c r="L1418">
        <v>15000</v>
      </c>
      <c r="M1418">
        <v>222.117172098781</v>
      </c>
      <c r="Q1418">
        <v>0</v>
      </c>
      <c r="R1418">
        <v>0.0885378290452058</v>
      </c>
      <c r="S1418" t="s">
        <v>3086</v>
      </c>
      <c r="T1418" t="s">
        <v>3312</v>
      </c>
      <c r="U1418" t="s">
        <v>3312</v>
      </c>
      <c r="V1418" t="s">
        <v>3312</v>
      </c>
      <c r="W1418" t="s">
        <v>4727</v>
      </c>
      <c r="X1418">
        <v>2</v>
      </c>
      <c r="Y1418" t="s">
        <v>6369</v>
      </c>
      <c r="Z1418" t="s">
        <v>8011</v>
      </c>
      <c r="AA1418">
        <v>0.9984358616481689</v>
      </c>
      <c r="AB1418">
        <f>HYPERLINK("Melting_Curves/meltCurve_P69428_tatA.pdf", "Melting_Curves/meltCurve_P69428_tatA.pdf")</f>
        <v>0</v>
      </c>
    </row>
    <row r="1419" spans="1:28">
      <c r="A1419" t="s">
        <v>1445</v>
      </c>
      <c r="B1419">
        <v>0.999984544473304</v>
      </c>
      <c r="C1419">
        <v>0.879951546556092</v>
      </c>
      <c r="D1419">
        <v>1.1592746426593</v>
      </c>
      <c r="E1419">
        <v>1.05642423852149</v>
      </c>
      <c r="F1419">
        <v>1.28412660477365</v>
      </c>
      <c r="G1419">
        <v>1.07404376004532</v>
      </c>
      <c r="H1419">
        <v>0.864162805082526</v>
      </c>
      <c r="I1419">
        <v>0.838649890305968</v>
      </c>
      <c r="J1419">
        <v>0.576737135230571</v>
      </c>
      <c r="K1419">
        <v>0.705120359392917</v>
      </c>
      <c r="L1419">
        <v>1973.54548982529</v>
      </c>
      <c r="M1419">
        <v>32.8982777188034</v>
      </c>
      <c r="O1419">
        <v>59.7689813812312</v>
      </c>
      <c r="P1419">
        <v>-0.0499989454325884</v>
      </c>
      <c r="Q1419">
        <v>0.6366530764297</v>
      </c>
      <c r="R1419">
        <v>0.624429074796822</v>
      </c>
      <c r="S1419" t="s">
        <v>3087</v>
      </c>
      <c r="T1419" t="s">
        <v>3312</v>
      </c>
      <c r="U1419" t="s">
        <v>3312</v>
      </c>
      <c r="V1419" t="s">
        <v>3312</v>
      </c>
      <c r="W1419" t="s">
        <v>4728</v>
      </c>
      <c r="X1419">
        <v>10</v>
      </c>
      <c r="Y1419" t="s">
        <v>6370</v>
      </c>
      <c r="Z1419" t="s">
        <v>8012</v>
      </c>
      <c r="AA1419">
        <v>0.9163934832888704</v>
      </c>
      <c r="AB1419">
        <f>HYPERLINK("Melting_Curves/meltCurve_P69441_adk.pdf", "Melting_Curves/meltCurve_P69441_adk.pdf")</f>
        <v>0</v>
      </c>
    </row>
    <row r="1420" spans="1:28">
      <c r="A1420" t="s">
        <v>1446</v>
      </c>
      <c r="B1420">
        <v>0.999984544473304</v>
      </c>
      <c r="C1420">
        <v>0.529074588621624</v>
      </c>
      <c r="D1420">
        <v>0.282985691205433</v>
      </c>
      <c r="E1420">
        <v>0.140766984130772</v>
      </c>
      <c r="F1420">
        <v>0.105981694286493</v>
      </c>
      <c r="G1420">
        <v>0.0737405982626278</v>
      </c>
      <c r="H1420">
        <v>0.0684922273018109</v>
      </c>
      <c r="I1420">
        <v>0.0448974218530631</v>
      </c>
      <c r="J1420">
        <v>0.0413486686909515</v>
      </c>
      <c r="K1420">
        <v>0.036177475054798</v>
      </c>
      <c r="L1420">
        <v>962.876444188581</v>
      </c>
      <c r="M1420">
        <v>23.8594765641296</v>
      </c>
      <c r="N1420">
        <v>40.6039540438496</v>
      </c>
      <c r="O1420">
        <v>40.0758581852705</v>
      </c>
      <c r="P1420">
        <v>-0.138757305406447</v>
      </c>
      <c r="Q1420">
        <v>0.0677535618575036</v>
      </c>
      <c r="R1420">
        <v>0.976982279011756</v>
      </c>
      <c r="S1420" t="s">
        <v>3088</v>
      </c>
      <c r="T1420" t="s">
        <v>3312</v>
      </c>
      <c r="U1420" t="s">
        <v>3312</v>
      </c>
      <c r="V1420" t="s">
        <v>3312</v>
      </c>
      <c r="W1420" t="s">
        <v>4729</v>
      </c>
      <c r="X1420">
        <v>4</v>
      </c>
      <c r="Y1420" t="s">
        <v>6371</v>
      </c>
      <c r="Z1420" t="s">
        <v>8013</v>
      </c>
      <c r="AA1420">
        <v>0.1839286654370059</v>
      </c>
      <c r="AB1420">
        <f>HYPERLINK("Melting_Curves/meltCurve_P69451_fadD.pdf", "Melting_Curves/meltCurve_P69451_fadD.pdf")</f>
        <v>0</v>
      </c>
    </row>
    <row r="1421" spans="1:28">
      <c r="A1421" t="s">
        <v>1447</v>
      </c>
      <c r="B1421">
        <v>0.999984544473304</v>
      </c>
      <c r="C1421">
        <v>0.803673439415687</v>
      </c>
      <c r="D1421">
        <v>1.06038172809167</v>
      </c>
      <c r="E1421">
        <v>1.05671694169807</v>
      </c>
      <c r="F1421">
        <v>1.07390328372462</v>
      </c>
      <c r="G1421">
        <v>0.684965065631837</v>
      </c>
      <c r="H1421">
        <v>0.216669601312776</v>
      </c>
      <c r="I1421">
        <v>0.0881385933569768</v>
      </c>
      <c r="J1421">
        <v>0.0447903698772001</v>
      </c>
      <c r="K1421">
        <v>0.0411709503132909</v>
      </c>
      <c r="L1421">
        <v>2162.69967315508</v>
      </c>
      <c r="M1421">
        <v>39.3918049842284</v>
      </c>
      <c r="N1421">
        <v>55.0623932554327</v>
      </c>
      <c r="O1421">
        <v>54.7613634614317</v>
      </c>
      <c r="P1421">
        <v>-0.170102504771217</v>
      </c>
      <c r="Q1421">
        <v>0.0541156772601947</v>
      </c>
      <c r="R1421">
        <v>0.970057318907284</v>
      </c>
      <c r="S1421" t="s">
        <v>3089</v>
      </c>
      <c r="T1421" t="s">
        <v>3312</v>
      </c>
      <c r="U1421" t="s">
        <v>3312</v>
      </c>
      <c r="V1421" t="s">
        <v>3312</v>
      </c>
      <c r="W1421" t="s">
        <v>4730</v>
      </c>
      <c r="X1421">
        <v>4</v>
      </c>
      <c r="Y1421" t="s">
        <v>6372</v>
      </c>
      <c r="Z1421" t="s">
        <v>8014</v>
      </c>
      <c r="AA1421">
        <v>0.6222115027225262</v>
      </c>
      <c r="AB1421">
        <f>HYPERLINK("Melting_Curves/meltCurve_P69503_apt.pdf", "Melting_Curves/meltCurve_P69503_apt.pdf")</f>
        <v>0</v>
      </c>
    </row>
    <row r="1422" spans="1:28">
      <c r="A1422" t="s">
        <v>1448</v>
      </c>
      <c r="B1422">
        <v>0.999984544473304</v>
      </c>
      <c r="C1422">
        <v>0.867949407744887</v>
      </c>
      <c r="D1422">
        <v>0.723658908944158</v>
      </c>
      <c r="E1422">
        <v>0.688523794500442</v>
      </c>
      <c r="F1422">
        <v>0.9151435853656</v>
      </c>
      <c r="G1422">
        <v>0.59897950093449</v>
      </c>
      <c r="H1422">
        <v>0.7355952808056671</v>
      </c>
      <c r="I1422">
        <v>0.71433000601165</v>
      </c>
      <c r="J1422">
        <v>0.576190273622652</v>
      </c>
      <c r="K1422">
        <v>0.4790560296369</v>
      </c>
      <c r="L1422">
        <v>166.908030094379</v>
      </c>
      <c r="M1422">
        <v>2.24230646081773</v>
      </c>
      <c r="O1422">
        <v>47.30795891733</v>
      </c>
      <c r="P1422">
        <v>-0.0126530936420703</v>
      </c>
      <c r="Q1422">
        <v>0</v>
      </c>
      <c r="R1422">
        <v>0.599288765167478</v>
      </c>
      <c r="S1422" t="s">
        <v>3090</v>
      </c>
      <c r="T1422" t="s">
        <v>3312</v>
      </c>
      <c r="U1422" t="s">
        <v>3312</v>
      </c>
      <c r="V1422" t="s">
        <v>3312</v>
      </c>
      <c r="W1422" t="s">
        <v>4731</v>
      </c>
      <c r="X1422">
        <v>2</v>
      </c>
      <c r="Y1422" t="s">
        <v>6373</v>
      </c>
      <c r="Z1422" t="s">
        <v>8015</v>
      </c>
      <c r="AA1422">
        <v>0.7284628652831724</v>
      </c>
      <c r="AB1422">
        <f>HYPERLINK("Melting_Curves/meltCurve_P69506_ytfE.pdf", "Melting_Curves/meltCurve_P69506_ytfE.pdf")</f>
        <v>0</v>
      </c>
    </row>
    <row r="1423" spans="1:28">
      <c r="A1423" t="s">
        <v>1449</v>
      </c>
      <c r="B1423">
        <v>0.999984544473304</v>
      </c>
      <c r="C1423">
        <v>1.20580597905527</v>
      </c>
      <c r="D1423">
        <v>1.41192577848996</v>
      </c>
      <c r="E1423">
        <v>1.05151714253032</v>
      </c>
      <c r="F1423">
        <v>1.07157113946734</v>
      </c>
      <c r="G1423">
        <v>0.918958764083125</v>
      </c>
      <c r="H1423">
        <v>0.903070846874068</v>
      </c>
      <c r="I1423">
        <v>0.926185989595224</v>
      </c>
      <c r="J1423">
        <v>0.916697227500045</v>
      </c>
      <c r="K1423">
        <v>0.442790720662556</v>
      </c>
      <c r="L1423">
        <v>3695.14747563249</v>
      </c>
      <c r="M1423">
        <v>55.3735969897216</v>
      </c>
      <c r="N1423">
        <v>66.7312167497445</v>
      </c>
      <c r="O1423">
        <v>66.6443547237883</v>
      </c>
      <c r="P1423">
        <v>-0.207720634099543</v>
      </c>
      <c r="Q1423">
        <v>0</v>
      </c>
      <c r="R1423">
        <v>0.5676668125604249</v>
      </c>
      <c r="S1423" t="s">
        <v>3091</v>
      </c>
      <c r="T1423" t="s">
        <v>3312</v>
      </c>
      <c r="U1423" t="s">
        <v>3312</v>
      </c>
      <c r="V1423" t="s">
        <v>3312</v>
      </c>
      <c r="W1423" t="s">
        <v>4732</v>
      </c>
      <c r="X1423">
        <v>1</v>
      </c>
      <c r="Y1423" t="s">
        <v>6374</v>
      </c>
      <c r="Z1423" t="s">
        <v>8016</v>
      </c>
      <c r="AA1423">
        <v>0.9685551009408518</v>
      </c>
      <c r="AB1423">
        <f>HYPERLINK("Melting_Curves/meltCurve_P69739_hyaA.pdf", "Melting_Curves/meltCurve_P69739_hyaA.pdf")</f>
        <v>0</v>
      </c>
    </row>
    <row r="1424" spans="1:28">
      <c r="A1424" t="s">
        <v>1450</v>
      </c>
      <c r="B1424">
        <v>0.999984544473304</v>
      </c>
      <c r="C1424">
        <v>0.981264641757408</v>
      </c>
      <c r="D1424">
        <v>0.8569101966103591</v>
      </c>
      <c r="E1424">
        <v>0.793254880679153</v>
      </c>
      <c r="F1424">
        <v>0.557453486671351</v>
      </c>
      <c r="G1424">
        <v>0.441743547508096</v>
      </c>
      <c r="H1424">
        <v>0.256567612173608</v>
      </c>
      <c r="I1424">
        <v>0.223914753939361</v>
      </c>
      <c r="J1424">
        <v>0.120981524927985</v>
      </c>
      <c r="K1424">
        <v>0.108561190204185</v>
      </c>
      <c r="L1424">
        <v>534.170332034113</v>
      </c>
      <c r="M1424">
        <v>10.3251260508735</v>
      </c>
      <c r="N1424">
        <v>51.968939183643</v>
      </c>
      <c r="O1424">
        <v>49.9071328864694</v>
      </c>
      <c r="P1424">
        <v>-0.0505689395907728</v>
      </c>
      <c r="Q1424">
        <v>0.02270818196785</v>
      </c>
      <c r="R1424">
        <v>0.9939581012549979</v>
      </c>
      <c r="S1424" t="s">
        <v>3092</v>
      </c>
      <c r="T1424" t="s">
        <v>3312</v>
      </c>
      <c r="U1424" t="s">
        <v>3312</v>
      </c>
      <c r="V1424" t="s">
        <v>3312</v>
      </c>
      <c r="W1424" t="s">
        <v>4733</v>
      </c>
      <c r="X1424">
        <v>1</v>
      </c>
      <c r="Y1424" t="s">
        <v>6375</v>
      </c>
      <c r="Z1424" t="s">
        <v>8017</v>
      </c>
      <c r="AA1424">
        <v>0.5293052691221818</v>
      </c>
      <c r="AB1424">
        <f>HYPERLINK("Melting_Curves/meltCurve_P69741_hybO.pdf", "Melting_Curves/meltCurve_P69741_hybO.pdf")</f>
        <v>0</v>
      </c>
    </row>
    <row r="1425" spans="1:28">
      <c r="A1425" t="s">
        <v>1451</v>
      </c>
      <c r="B1425">
        <v>0.999984544473304</v>
      </c>
      <c r="C1425">
        <v>1.03319675295299</v>
      </c>
      <c r="D1425">
        <v>1.17152539087776</v>
      </c>
      <c r="E1425">
        <v>1.18610725247</v>
      </c>
      <c r="F1425">
        <v>1.24334231757808</v>
      </c>
      <c r="G1425">
        <v>1.03372983137983</v>
      </c>
      <c r="H1425">
        <v>1.26985393831032</v>
      </c>
      <c r="I1425">
        <v>1.17451430212434</v>
      </c>
      <c r="J1425">
        <v>1.01596087587191</v>
      </c>
      <c r="K1425">
        <v>0.980602775760511</v>
      </c>
      <c r="L1425">
        <v>10019.4971856652</v>
      </c>
      <c r="M1425">
        <v>250</v>
      </c>
      <c r="O1425">
        <v>40.075424601601</v>
      </c>
      <c r="P1425">
        <v>0.209689899144085</v>
      </c>
      <c r="Q1425">
        <v>1.13445458576805</v>
      </c>
      <c r="R1425">
        <v>0.213940123353026</v>
      </c>
      <c r="S1425" t="s">
        <v>3093</v>
      </c>
      <c r="T1425" t="s">
        <v>3312</v>
      </c>
      <c r="U1425" t="s">
        <v>3312</v>
      </c>
      <c r="V1425" t="s">
        <v>3312</v>
      </c>
      <c r="W1425" t="s">
        <v>4734</v>
      </c>
      <c r="X1425">
        <v>5</v>
      </c>
      <c r="Y1425" t="s">
        <v>6376</v>
      </c>
      <c r="Z1425" t="s">
        <v>8018</v>
      </c>
      <c r="AA1425">
        <v>1.12065013869016</v>
      </c>
      <c r="AB1425">
        <f>HYPERLINK("Melting_Curves/meltCurve_P69776_lpp.pdf", "Melting_Curves/meltCurve_P69776_lpp.pdf")</f>
        <v>0</v>
      </c>
    </row>
    <row r="1426" spans="1:28">
      <c r="A1426" t="s">
        <v>1452</v>
      </c>
      <c r="B1426">
        <v>0.999984544473304</v>
      </c>
      <c r="C1426">
        <v>1.22868512614707</v>
      </c>
      <c r="D1426">
        <v>0.919618160507475</v>
      </c>
      <c r="E1426">
        <v>1.11161668423329</v>
      </c>
      <c r="F1426">
        <v>1.15595517337329</v>
      </c>
      <c r="G1426">
        <v>0.898397480666639</v>
      </c>
      <c r="H1426">
        <v>0.993732321646027</v>
      </c>
      <c r="I1426">
        <v>0.8943413696907559</v>
      </c>
      <c r="J1426">
        <v>0.7385974418215741</v>
      </c>
      <c r="K1426">
        <v>0.7552905162100521</v>
      </c>
      <c r="L1426">
        <v>15000</v>
      </c>
      <c r="M1426">
        <v>245.568718421306</v>
      </c>
      <c r="O1426">
        <v>61.0786473463287</v>
      </c>
      <c r="P1426">
        <v>-0.254356127364864</v>
      </c>
      <c r="Q1426">
        <v>0.746942879694939</v>
      </c>
      <c r="R1426">
        <v>0.5507729855432349</v>
      </c>
      <c r="S1426" t="s">
        <v>3094</v>
      </c>
      <c r="T1426" t="s">
        <v>3312</v>
      </c>
      <c r="U1426" t="s">
        <v>3312</v>
      </c>
      <c r="V1426" t="s">
        <v>3312</v>
      </c>
      <c r="W1426" t="s">
        <v>4735</v>
      </c>
      <c r="X1426">
        <v>8</v>
      </c>
      <c r="Y1426" t="s">
        <v>6377</v>
      </c>
      <c r="Z1426" t="s">
        <v>8019</v>
      </c>
      <c r="AA1426">
        <v>0.9501142734210316</v>
      </c>
      <c r="AB1426">
        <f>HYPERLINK("Melting_Curves/meltCurve_P69783_crr.pdf", "Melting_Curves/meltCurve_P69783_crr.pdf")</f>
        <v>0</v>
      </c>
    </row>
    <row r="1427" spans="1:28">
      <c r="A1427" t="s">
        <v>1453</v>
      </c>
      <c r="B1427">
        <v>0.999984544473304</v>
      </c>
      <c r="C1427">
        <v>1.30067490785258</v>
      </c>
      <c r="D1427">
        <v>0.933552521537253</v>
      </c>
      <c r="E1427">
        <v>0.389985456140946</v>
      </c>
      <c r="F1427">
        <v>0.0884760281130518</v>
      </c>
      <c r="G1427">
        <v>0.0436084236687096</v>
      </c>
      <c r="H1427">
        <v>0.0243162818329532</v>
      </c>
      <c r="I1427">
        <v>0.0156815315797405</v>
      </c>
      <c r="J1427">
        <v>0.0114519748463484</v>
      </c>
      <c r="K1427">
        <v>0.009820225459793429</v>
      </c>
      <c r="L1427">
        <v>1816.13697153489</v>
      </c>
      <c r="M1427">
        <v>39.4637255077145</v>
      </c>
      <c r="N1427">
        <v>46.0804614904467</v>
      </c>
      <c r="O1427">
        <v>45.9027180461803</v>
      </c>
      <c r="P1427">
        <v>-0.20954623457458</v>
      </c>
      <c r="Q1427">
        <v>0.0250570046645291</v>
      </c>
      <c r="R1427">
        <v>0.958816179100869</v>
      </c>
      <c r="S1427" t="s">
        <v>3095</v>
      </c>
      <c r="T1427" t="s">
        <v>3312</v>
      </c>
      <c r="U1427" t="s">
        <v>3312</v>
      </c>
      <c r="V1427" t="s">
        <v>3312</v>
      </c>
      <c r="W1427" t="s">
        <v>4736</v>
      </c>
      <c r="X1427">
        <v>8</v>
      </c>
      <c r="Y1427" t="s">
        <v>6378</v>
      </c>
      <c r="Z1427" t="s">
        <v>8020</v>
      </c>
      <c r="AA1427">
        <v>0.3213924088470889</v>
      </c>
      <c r="AB1427">
        <f>HYPERLINK("Melting_Curves/meltCurve_P69786_ptsG.pdf", "Melting_Curves/meltCurve_P69786_ptsG.pdf")</f>
        <v>0</v>
      </c>
    </row>
    <row r="1428" spans="1:28">
      <c r="A1428" t="s">
        <v>1454</v>
      </c>
      <c r="B1428">
        <v>0.999984544473304</v>
      </c>
      <c r="C1428">
        <v>0.974814027630803</v>
      </c>
      <c r="D1428">
        <v>1.0424094980275</v>
      </c>
      <c r="E1428">
        <v>1.04350302659584</v>
      </c>
      <c r="F1428">
        <v>1.27016520362862</v>
      </c>
      <c r="G1428">
        <v>0.912723496098257</v>
      </c>
      <c r="H1428">
        <v>0.802656724120297</v>
      </c>
      <c r="I1428">
        <v>0.41465970824426</v>
      </c>
      <c r="J1428">
        <v>0.212995319669539</v>
      </c>
      <c r="K1428">
        <v>0.119192094246902</v>
      </c>
      <c r="L1428">
        <v>1755.63801659358</v>
      </c>
      <c r="M1428">
        <v>29.3424468874013</v>
      </c>
      <c r="N1428">
        <v>60.2335970418788</v>
      </c>
      <c r="O1428">
        <v>59.5568836369631</v>
      </c>
      <c r="P1428">
        <v>-0.112245182953527</v>
      </c>
      <c r="Q1428">
        <v>0.0887026358565223</v>
      </c>
      <c r="R1428">
        <v>0.940110111877358</v>
      </c>
      <c r="S1428" t="s">
        <v>3096</v>
      </c>
      <c r="T1428" t="s">
        <v>3312</v>
      </c>
      <c r="U1428" t="s">
        <v>3312</v>
      </c>
      <c r="V1428" t="s">
        <v>3312</v>
      </c>
      <c r="W1428" t="s">
        <v>4737</v>
      </c>
      <c r="X1428">
        <v>3</v>
      </c>
      <c r="Y1428" t="s">
        <v>6379</v>
      </c>
      <c r="Z1428" t="s">
        <v>8021</v>
      </c>
      <c r="AA1428">
        <v>0.7857591798345351</v>
      </c>
      <c r="AB1428">
        <f>HYPERLINK("Melting_Curves/meltCurve_P69795_chbB.pdf", "Melting_Curves/meltCurve_P69795_chbB.pdf")</f>
        <v>0</v>
      </c>
    </row>
    <row r="1429" spans="1:28">
      <c r="A1429" t="s">
        <v>1455</v>
      </c>
      <c r="B1429">
        <v>0.999984544473304</v>
      </c>
      <c r="C1429">
        <v>0.978280879355293</v>
      </c>
      <c r="D1429">
        <v>0.82641384374459</v>
      </c>
      <c r="E1429">
        <v>0.85850385557654</v>
      </c>
      <c r="F1429">
        <v>0.797565093314856</v>
      </c>
      <c r="G1429">
        <v>0.536520738553299</v>
      </c>
      <c r="H1429">
        <v>0.38817945635643</v>
      </c>
      <c r="I1429">
        <v>0.271250083745769</v>
      </c>
      <c r="J1429">
        <v>0.181614220915658</v>
      </c>
      <c r="K1429">
        <v>0.138580588012862</v>
      </c>
      <c r="L1429">
        <v>552.249806774736</v>
      </c>
      <c r="M1429">
        <v>10.0429582598076</v>
      </c>
      <c r="N1429">
        <v>54.9887564971233</v>
      </c>
      <c r="O1429">
        <v>52.9419767924868</v>
      </c>
      <c r="P1429">
        <v>-0.0474470550726363</v>
      </c>
      <c r="Q1429">
        <v>0</v>
      </c>
      <c r="R1429">
        <v>0.980360441247577</v>
      </c>
      <c r="S1429" t="s">
        <v>3097</v>
      </c>
      <c r="T1429" t="s">
        <v>3312</v>
      </c>
      <c r="U1429" t="s">
        <v>3312</v>
      </c>
      <c r="V1429" t="s">
        <v>3312</v>
      </c>
      <c r="W1429" t="s">
        <v>4738</v>
      </c>
      <c r="X1429">
        <v>14</v>
      </c>
      <c r="Y1429" t="s">
        <v>6380</v>
      </c>
      <c r="Z1429" t="s">
        <v>8022</v>
      </c>
      <c r="AA1429">
        <v>0.6119312313576369</v>
      </c>
      <c r="AB1429">
        <f>HYPERLINK("Melting_Curves/meltCurve_P69797_manX.pdf", "Melting_Curves/meltCurve_P69797_manX.pdf")</f>
        <v>0</v>
      </c>
    </row>
    <row r="1430" spans="1:28">
      <c r="A1430" t="s">
        <v>1456</v>
      </c>
      <c r="B1430">
        <v>0.999984544473304</v>
      </c>
      <c r="C1430">
        <v>1.06713839185773</v>
      </c>
      <c r="D1430">
        <v>0.700540669181726</v>
      </c>
      <c r="E1430">
        <v>0.729303663938772</v>
      </c>
      <c r="F1430">
        <v>0.66332877170273</v>
      </c>
      <c r="G1430">
        <v>0.425643969053464</v>
      </c>
      <c r="H1430">
        <v>0.371191644199481</v>
      </c>
      <c r="I1430">
        <v>0.173236034430023</v>
      </c>
      <c r="J1430">
        <v>0.0963975703284087</v>
      </c>
      <c r="K1430">
        <v>0.0614915398270418</v>
      </c>
      <c r="L1430">
        <v>485.846144173022</v>
      </c>
      <c r="M1430">
        <v>9.32228398903972</v>
      </c>
      <c r="N1430">
        <v>52.1166427169797</v>
      </c>
      <c r="O1430">
        <v>49.8870220819611</v>
      </c>
      <c r="P1430">
        <v>-0.0467466817665533</v>
      </c>
      <c r="Q1430">
        <v>0</v>
      </c>
      <c r="R1430">
        <v>0.94456639807036</v>
      </c>
      <c r="S1430" t="s">
        <v>3098</v>
      </c>
      <c r="T1430" t="s">
        <v>3312</v>
      </c>
      <c r="U1430" t="s">
        <v>3312</v>
      </c>
      <c r="V1430" t="s">
        <v>3312</v>
      </c>
      <c r="W1430" t="s">
        <v>4739</v>
      </c>
      <c r="X1430">
        <v>1</v>
      </c>
      <c r="Y1430" t="s">
        <v>6381</v>
      </c>
      <c r="Z1430" t="s">
        <v>8023</v>
      </c>
      <c r="AA1430">
        <v>0.5308028172123269</v>
      </c>
      <c r="AB1430">
        <f>HYPERLINK("Melting_Curves/meltCurve_P69801_manY.pdf", "Melting_Curves/meltCurve_P69801_manY.pdf")</f>
        <v>0</v>
      </c>
    </row>
    <row r="1431" spans="1:28">
      <c r="A1431" t="s">
        <v>1457</v>
      </c>
      <c r="B1431">
        <v>0.999984544473304</v>
      </c>
      <c r="C1431">
        <v>0.85314316617273</v>
      </c>
      <c r="D1431">
        <v>1.22209653016279</v>
      </c>
      <c r="E1431">
        <v>0.874755455606874</v>
      </c>
      <c r="F1431">
        <v>0.949250142566932</v>
      </c>
      <c r="G1431">
        <v>0.683775225239374</v>
      </c>
      <c r="H1431">
        <v>0.728165016420784</v>
      </c>
      <c r="I1431">
        <v>0.703633825961562</v>
      </c>
      <c r="J1431">
        <v>0.631038197763078</v>
      </c>
      <c r="K1431">
        <v>0.463872485228617</v>
      </c>
      <c r="L1431">
        <v>493.54413566804</v>
      </c>
      <c r="M1431">
        <v>8.227039938241941</v>
      </c>
      <c r="O1431">
        <v>56.7590178262304</v>
      </c>
      <c r="P1431">
        <v>-0.0244006715301666</v>
      </c>
      <c r="Q1431">
        <v>0.32731628433723</v>
      </c>
      <c r="R1431">
        <v>0.723353316261123</v>
      </c>
      <c r="S1431" t="s">
        <v>3099</v>
      </c>
      <c r="T1431" t="s">
        <v>3312</v>
      </c>
      <c r="U1431" t="s">
        <v>3312</v>
      </c>
      <c r="V1431" t="s">
        <v>3312</v>
      </c>
      <c r="W1431" t="s">
        <v>4740</v>
      </c>
      <c r="X1431">
        <v>6</v>
      </c>
      <c r="Y1431" t="s">
        <v>6382</v>
      </c>
      <c r="Z1431" t="s">
        <v>8024</v>
      </c>
      <c r="AA1431">
        <v>0.815246029845858</v>
      </c>
      <c r="AB1431">
        <f>HYPERLINK("Melting_Curves/meltCurve_P69805_manZ.pdf", "Melting_Curves/meltCurve_P69805_manZ.pdf")</f>
        <v>0</v>
      </c>
    </row>
    <row r="1432" spans="1:28">
      <c r="A1432" t="s">
        <v>1458</v>
      </c>
      <c r="B1432">
        <v>0.999984544473304</v>
      </c>
      <c r="C1432">
        <v>0.909843509456021</v>
      </c>
      <c r="D1432">
        <v>1.02062278291009</v>
      </c>
      <c r="E1432">
        <v>0.852879980022476</v>
      </c>
      <c r="F1432">
        <v>0.926284417494349</v>
      </c>
      <c r="G1432">
        <v>0.69201661299051</v>
      </c>
      <c r="H1432">
        <v>0.620534767217201</v>
      </c>
      <c r="I1432">
        <v>0.529258347977459</v>
      </c>
      <c r="J1432">
        <v>0.435203289592032</v>
      </c>
      <c r="K1432">
        <v>0.380439760922367</v>
      </c>
      <c r="L1432">
        <v>498.835789024498</v>
      </c>
      <c r="M1432">
        <v>8.48277291507679</v>
      </c>
      <c r="N1432">
        <v>61.6192374345398</v>
      </c>
      <c r="O1432">
        <v>55.8106585541601</v>
      </c>
      <c r="P1432">
        <v>-0.0319259142029204</v>
      </c>
      <c r="Q1432">
        <v>0.160562247975041</v>
      </c>
      <c r="R1432">
        <v>0.955234925874165</v>
      </c>
      <c r="S1432" t="s">
        <v>3100</v>
      </c>
      <c r="T1432" t="s">
        <v>3312</v>
      </c>
      <c r="U1432" t="s">
        <v>3312</v>
      </c>
      <c r="V1432" t="s">
        <v>3312</v>
      </c>
      <c r="W1432" t="s">
        <v>4741</v>
      </c>
      <c r="X1432">
        <v>8</v>
      </c>
      <c r="Y1432" t="s">
        <v>6383</v>
      </c>
      <c r="Z1432" t="s">
        <v>8025</v>
      </c>
      <c r="AA1432">
        <v>0.749316247812264</v>
      </c>
      <c r="AB1432">
        <f>HYPERLINK("Melting_Curves/meltCurve_P69811_fruB.pdf", "Melting_Curves/meltCurve_P69811_fruB.pdf")</f>
        <v>0</v>
      </c>
    </row>
    <row r="1433" spans="1:28">
      <c r="A1433" t="s">
        <v>1459</v>
      </c>
      <c r="B1433">
        <v>0.999984544473304</v>
      </c>
      <c r="C1433">
        <v>1.00631398152749</v>
      </c>
      <c r="D1433">
        <v>0.91453770313865</v>
      </c>
      <c r="E1433">
        <v>0.9320682642171469</v>
      </c>
      <c r="F1433">
        <v>1.08395022667828</v>
      </c>
      <c r="G1433">
        <v>0.7977465566722221</v>
      </c>
      <c r="H1433">
        <v>0.691184330073663</v>
      </c>
      <c r="I1433">
        <v>0.621331448455731</v>
      </c>
      <c r="J1433">
        <v>0.5328773227158951</v>
      </c>
      <c r="K1433">
        <v>0.657220057505255</v>
      </c>
      <c r="L1433">
        <v>3946.13841253787</v>
      </c>
      <c r="M1433">
        <v>73.4562953470052</v>
      </c>
      <c r="O1433">
        <v>53.6811271679775</v>
      </c>
      <c r="P1433">
        <v>-0.128551752649609</v>
      </c>
      <c r="Q1433">
        <v>0.624222723233428</v>
      </c>
      <c r="R1433">
        <v>0.898408124007736</v>
      </c>
      <c r="S1433" t="s">
        <v>3101</v>
      </c>
      <c r="T1433" t="s">
        <v>3312</v>
      </c>
      <c r="U1433" t="s">
        <v>3312</v>
      </c>
      <c r="V1433" t="s">
        <v>3312</v>
      </c>
      <c r="W1433" t="s">
        <v>4742</v>
      </c>
      <c r="X1433">
        <v>1</v>
      </c>
      <c r="Y1433" t="s">
        <v>6384</v>
      </c>
      <c r="Z1433" t="s">
        <v>8026</v>
      </c>
      <c r="AA1433">
        <v>0.8340785413515133</v>
      </c>
      <c r="AB1433">
        <f>HYPERLINK("Melting_Curves/meltCurve_P69820_ulaC.pdf", "Melting_Curves/meltCurve_P69820_ulaC.pdf")</f>
        <v>0</v>
      </c>
    </row>
    <row r="1434" spans="1:28">
      <c r="A1434" t="s">
        <v>1460</v>
      </c>
      <c r="B1434">
        <v>0.999984544473304</v>
      </c>
      <c r="C1434">
        <v>0.815674565313681</v>
      </c>
      <c r="D1434">
        <v>1.52794659875377</v>
      </c>
      <c r="E1434">
        <v>0.957291031709559</v>
      </c>
      <c r="F1434">
        <v>1.13706428376101</v>
      </c>
      <c r="G1434">
        <v>0.860124666476942</v>
      </c>
      <c r="H1434">
        <v>0.290654087603104</v>
      </c>
      <c r="I1434">
        <v>0.208917908761205</v>
      </c>
      <c r="J1434">
        <v>0.116819211144546</v>
      </c>
      <c r="K1434">
        <v>0.131174685252745</v>
      </c>
      <c r="L1434">
        <v>2806.5785509258</v>
      </c>
      <c r="M1434">
        <v>50.481648641031</v>
      </c>
      <c r="N1434">
        <v>55.9847404515474</v>
      </c>
      <c r="O1434">
        <v>55.5089772690948</v>
      </c>
      <c r="P1434">
        <v>-0.193746085374907</v>
      </c>
      <c r="Q1434">
        <v>0.147837762517063</v>
      </c>
      <c r="R1434">
        <v>0.842179136099426</v>
      </c>
      <c r="S1434" t="s">
        <v>3102</v>
      </c>
      <c r="T1434" t="s">
        <v>3312</v>
      </c>
      <c r="U1434" t="s">
        <v>3312</v>
      </c>
      <c r="V1434" t="s">
        <v>3312</v>
      </c>
      <c r="W1434" t="s">
        <v>4743</v>
      </c>
      <c r="X1434">
        <v>1</v>
      </c>
      <c r="Y1434" t="s">
        <v>6385</v>
      </c>
      <c r="Z1434" t="s">
        <v>8027</v>
      </c>
      <c r="AA1434">
        <v>0.678106229554056</v>
      </c>
      <c r="AB1434">
        <f>HYPERLINK("Melting_Curves/meltCurve_P69822_ulaB.pdf", "Melting_Curves/meltCurve_P69822_ulaB.pdf")</f>
        <v>0</v>
      </c>
    </row>
    <row r="1435" spans="1:28">
      <c r="A1435" t="s">
        <v>1461</v>
      </c>
      <c r="B1435">
        <v>0.999984544473304</v>
      </c>
      <c r="C1435">
        <v>1.12878353740155</v>
      </c>
      <c r="D1435">
        <v>0.719589492835738</v>
      </c>
      <c r="E1435">
        <v>0.6473496224502679</v>
      </c>
      <c r="F1435">
        <v>0.525740503767354</v>
      </c>
      <c r="G1435">
        <v>0.295772366206376</v>
      </c>
      <c r="H1435">
        <v>0.250552176669077</v>
      </c>
      <c r="I1435">
        <v>0.182044998521329</v>
      </c>
      <c r="J1435">
        <v>0.168268573517461</v>
      </c>
      <c r="K1435">
        <v>0.190892919575185</v>
      </c>
      <c r="L1435">
        <v>621.3987530897519</v>
      </c>
      <c r="M1435">
        <v>12.9224215406258</v>
      </c>
      <c r="N1435">
        <v>49.4441553300975</v>
      </c>
      <c r="O1435">
        <v>46.9789781595581</v>
      </c>
      <c r="P1435">
        <v>-0.0585093881415933</v>
      </c>
      <c r="Q1435">
        <v>0.149319096271824</v>
      </c>
      <c r="R1435">
        <v>0.949335450102416</v>
      </c>
      <c r="S1435" t="s">
        <v>3103</v>
      </c>
      <c r="T1435" t="s">
        <v>3312</v>
      </c>
      <c r="U1435" t="s">
        <v>3312</v>
      </c>
      <c r="V1435" t="s">
        <v>3312</v>
      </c>
      <c r="W1435" t="s">
        <v>4744</v>
      </c>
      <c r="X1435">
        <v>4</v>
      </c>
      <c r="Y1435" t="s">
        <v>6386</v>
      </c>
      <c r="Z1435" t="s">
        <v>8028</v>
      </c>
      <c r="AA1435">
        <v>0.4874450168039566</v>
      </c>
      <c r="AB1435">
        <f>HYPERLINK("Melting_Curves/meltCurve_P69828_gatA.pdf", "Melting_Curves/meltCurve_P69828_gatA.pdf")</f>
        <v>0</v>
      </c>
    </row>
    <row r="1436" spans="1:28">
      <c r="A1436" t="s">
        <v>1462</v>
      </c>
      <c r="B1436">
        <v>0.999984544473304</v>
      </c>
      <c r="C1436">
        <v>1.08458956868003</v>
      </c>
      <c r="D1436">
        <v>0.840048373373965</v>
      </c>
      <c r="E1436">
        <v>0.980343546305022</v>
      </c>
      <c r="F1436">
        <v>0.935078332041549</v>
      </c>
      <c r="G1436">
        <v>0.764999156870027</v>
      </c>
      <c r="H1436">
        <v>0.712018526733277</v>
      </c>
      <c r="I1436">
        <v>0.527852937909571</v>
      </c>
      <c r="J1436">
        <v>0.351025829161515</v>
      </c>
      <c r="K1436">
        <v>0.338782008804492</v>
      </c>
      <c r="L1436">
        <v>608.831114432436</v>
      </c>
      <c r="M1436">
        <v>9.89966062760648</v>
      </c>
      <c r="N1436">
        <v>61.5413836087548</v>
      </c>
      <c r="O1436">
        <v>59.1484990141182</v>
      </c>
      <c r="P1436">
        <v>-0.0417252883696952</v>
      </c>
      <c r="Q1436">
        <v>0.00330311609976166</v>
      </c>
      <c r="R1436">
        <v>0.941963908690741</v>
      </c>
      <c r="S1436" t="s">
        <v>3104</v>
      </c>
      <c r="T1436" t="s">
        <v>3312</v>
      </c>
      <c r="U1436" t="s">
        <v>3312</v>
      </c>
      <c r="V1436" t="s">
        <v>3312</v>
      </c>
      <c r="W1436" t="s">
        <v>4745</v>
      </c>
      <c r="X1436">
        <v>3</v>
      </c>
      <c r="Y1436" t="s">
        <v>6387</v>
      </c>
      <c r="Z1436" t="s">
        <v>8029</v>
      </c>
      <c r="AA1436">
        <v>0.7732485576498399</v>
      </c>
      <c r="AB1436">
        <f>HYPERLINK("Melting_Curves/meltCurve_P69829_ptsN.pdf", "Melting_Curves/meltCurve_P69829_ptsN.pdf")</f>
        <v>0</v>
      </c>
    </row>
    <row r="1437" spans="1:28">
      <c r="A1437" t="s">
        <v>1463</v>
      </c>
      <c r="B1437">
        <v>0.999984544473304</v>
      </c>
      <c r="C1437">
        <v>1.21169927772212</v>
      </c>
      <c r="D1437">
        <v>0.679719768243822</v>
      </c>
      <c r="E1437">
        <v>0.515214608924157</v>
      </c>
      <c r="F1437">
        <v>0.228402910254858</v>
      </c>
      <c r="G1437">
        <v>0.133679705975643</v>
      </c>
      <c r="H1437">
        <v>0.06411336369963209</v>
      </c>
      <c r="I1437">
        <v>0.038056695694806</v>
      </c>
      <c r="J1437">
        <v>0.0268681306998501</v>
      </c>
      <c r="K1437">
        <v>0.0253686416411126</v>
      </c>
      <c r="L1437">
        <v>855.014332278795</v>
      </c>
      <c r="M1437">
        <v>18.456659231863</v>
      </c>
      <c r="N1437">
        <v>46.5081278875285</v>
      </c>
      <c r="O1437">
        <v>45.7919606649814</v>
      </c>
      <c r="P1437">
        <v>-0.09724608927118331</v>
      </c>
      <c r="Q1437">
        <v>0.0349520677037035</v>
      </c>
      <c r="R1437">
        <v>0.949950516435625</v>
      </c>
      <c r="S1437" t="s">
        <v>3105</v>
      </c>
      <c r="T1437" t="s">
        <v>3312</v>
      </c>
      <c r="U1437" t="s">
        <v>3312</v>
      </c>
      <c r="V1437" t="s">
        <v>3312</v>
      </c>
      <c r="W1437" t="s">
        <v>4746</v>
      </c>
      <c r="X1437">
        <v>2</v>
      </c>
      <c r="Y1437" t="s">
        <v>6388</v>
      </c>
      <c r="Z1437" t="s">
        <v>8030</v>
      </c>
      <c r="AA1437">
        <v>0.3497428420797293</v>
      </c>
      <c r="AB1437">
        <f>HYPERLINK("Melting_Curves/meltCurve_P69831_gatC.pdf", "Melting_Curves/meltCurve_P69831_gatC.pdf")</f>
        <v>0</v>
      </c>
    </row>
    <row r="1438" spans="1:28">
      <c r="A1438" t="s">
        <v>1464</v>
      </c>
      <c r="B1438">
        <v>0.999984544473304</v>
      </c>
      <c r="C1438">
        <v>0.733791542958515</v>
      </c>
      <c r="D1438">
        <v>0.881022192990673</v>
      </c>
      <c r="E1438">
        <v>0.688650410981181</v>
      </c>
      <c r="F1438">
        <v>0.696323956717352</v>
      </c>
      <c r="G1438">
        <v>0.465390241871083</v>
      </c>
      <c r="H1438">
        <v>0.364649101343617</v>
      </c>
      <c r="I1438">
        <v>0.356814652290299</v>
      </c>
      <c r="J1438">
        <v>0.277566245079124</v>
      </c>
      <c r="K1438">
        <v>0.272039876623854</v>
      </c>
      <c r="L1438">
        <v>309.261282455234</v>
      </c>
      <c r="M1438">
        <v>5.74157316885138</v>
      </c>
      <c r="N1438">
        <v>53.9598689045686</v>
      </c>
      <c r="O1438">
        <v>48.4025856826001</v>
      </c>
      <c r="P1438">
        <v>-0.0296157650313142</v>
      </c>
      <c r="Q1438">
        <v>0.00510033170354186</v>
      </c>
      <c r="R1438">
        <v>0.925774551392925</v>
      </c>
      <c r="S1438" t="s">
        <v>3106</v>
      </c>
      <c r="T1438" t="s">
        <v>3312</v>
      </c>
      <c r="U1438" t="s">
        <v>3312</v>
      </c>
      <c r="V1438" t="s">
        <v>3312</v>
      </c>
      <c r="W1438" t="s">
        <v>4747</v>
      </c>
      <c r="X1438">
        <v>2</v>
      </c>
      <c r="Y1438" t="s">
        <v>6389</v>
      </c>
      <c r="Z1438" t="s">
        <v>8031</v>
      </c>
      <c r="AA1438">
        <v>0.5711905296791979</v>
      </c>
      <c r="AB1438">
        <f>HYPERLINK("Melting_Curves/meltCurve_P69853_dmsD.pdf", "Melting_Curves/meltCurve_P69853_dmsD.pdf")</f>
        <v>0</v>
      </c>
    </row>
    <row r="1439" spans="1:28">
      <c r="A1439" t="s">
        <v>1465</v>
      </c>
      <c r="B1439">
        <v>0.999984544473304</v>
      </c>
      <c r="C1439">
        <v>0.560351449155447</v>
      </c>
      <c r="D1439">
        <v>0.28999013865714</v>
      </c>
      <c r="E1439">
        <v>0.16319767729974</v>
      </c>
      <c r="F1439">
        <v>0.174147479548372</v>
      </c>
      <c r="G1439">
        <v>0.120865847173164</v>
      </c>
      <c r="H1439">
        <v>0.09017205809595839</v>
      </c>
      <c r="I1439">
        <v>0.06915817545186741</v>
      </c>
      <c r="J1439">
        <v>0.0536066367099887</v>
      </c>
      <c r="K1439">
        <v>0.0584899322497021</v>
      </c>
      <c r="L1439">
        <v>1001.32103474991</v>
      </c>
      <c r="M1439">
        <v>24.8064936450572</v>
      </c>
      <c r="N1439">
        <v>40.7290641476424</v>
      </c>
      <c r="O1439">
        <v>40.1057045391697</v>
      </c>
      <c r="P1439">
        <v>-0.139268271949985</v>
      </c>
      <c r="Q1439">
        <v>0.09936897675584901</v>
      </c>
      <c r="R1439">
        <v>0.973417320697612</v>
      </c>
      <c r="S1439" t="s">
        <v>3107</v>
      </c>
      <c r="T1439" t="s">
        <v>3312</v>
      </c>
      <c r="U1439" t="s">
        <v>3312</v>
      </c>
      <c r="V1439" t="s">
        <v>3312</v>
      </c>
      <c r="W1439" t="s">
        <v>4748</v>
      </c>
      <c r="X1439">
        <v>1</v>
      </c>
      <c r="Y1439" t="s">
        <v>6390</v>
      </c>
      <c r="Z1439" t="s">
        <v>8032</v>
      </c>
      <c r="AA1439">
        <v>0.2108313868189297</v>
      </c>
      <c r="AB1439">
        <f>HYPERLINK("Melting_Curves/meltCurve_P69874_potA.pdf", "Melting_Curves/meltCurve_P69874_potA.pdf")</f>
        <v>0</v>
      </c>
    </row>
    <row r="1440" spans="1:28">
      <c r="A1440" t="s">
        <v>1466</v>
      </c>
      <c r="B1440">
        <v>0.999984544473304</v>
      </c>
      <c r="C1440">
        <v>1.07027690308397</v>
      </c>
      <c r="D1440">
        <v>1.25600587029346</v>
      </c>
      <c r="E1440">
        <v>0.977062350561273</v>
      </c>
      <c r="F1440">
        <v>0.694034143751596</v>
      </c>
      <c r="G1440">
        <v>0.542062526802258</v>
      </c>
      <c r="H1440">
        <v>0.252252808094214</v>
      </c>
      <c r="I1440">
        <v>0.212259353944312</v>
      </c>
      <c r="J1440">
        <v>0.166266124770922</v>
      </c>
      <c r="K1440">
        <v>0.12019767297874</v>
      </c>
      <c r="L1440">
        <v>1058.69272473186</v>
      </c>
      <c r="M1440">
        <v>20.0445881061173</v>
      </c>
      <c r="N1440">
        <v>53.6448689074936</v>
      </c>
      <c r="O1440">
        <v>52.299627091588</v>
      </c>
      <c r="P1440">
        <v>-0.0830706349040255</v>
      </c>
      <c r="Q1440">
        <v>0.133048201374386</v>
      </c>
      <c r="R1440">
        <v>0.946744425860383</v>
      </c>
      <c r="S1440" t="s">
        <v>3108</v>
      </c>
      <c r="T1440" t="s">
        <v>3312</v>
      </c>
      <c r="U1440" t="s">
        <v>3312</v>
      </c>
      <c r="V1440" t="s">
        <v>3312</v>
      </c>
      <c r="W1440" t="s">
        <v>4749</v>
      </c>
      <c r="X1440">
        <v>15</v>
      </c>
      <c r="Y1440" t="s">
        <v>6391</v>
      </c>
      <c r="Z1440" t="s">
        <v>8033</v>
      </c>
      <c r="AA1440">
        <v>0.6010766740440239</v>
      </c>
      <c r="AB1440">
        <f>HYPERLINK("Melting_Curves/meltCurve_P69908_gadA.pdf", "Melting_Curves/meltCurve_P69908_gadA.pdf")</f>
        <v>0</v>
      </c>
    </row>
    <row r="1441" spans="1:28">
      <c r="A1441" t="s">
        <v>1467</v>
      </c>
      <c r="B1441">
        <v>0.999984544473304</v>
      </c>
      <c r="C1441">
        <v>1.02015424358245</v>
      </c>
      <c r="D1441">
        <v>0.895189260652267</v>
      </c>
      <c r="E1441">
        <v>1.06081658653434</v>
      </c>
      <c r="F1441">
        <v>0.515375856345117</v>
      </c>
      <c r="G1441">
        <v>0.411800033012935</v>
      </c>
      <c r="H1441">
        <v>0.162282217139423</v>
      </c>
      <c r="I1441">
        <v>0.157123869931511</v>
      </c>
      <c r="J1441">
        <v>0.106905325447028</v>
      </c>
      <c r="K1441">
        <v>0.158312351051949</v>
      </c>
      <c r="L1441">
        <v>1247.44649714394</v>
      </c>
      <c r="M1441">
        <v>24.5943658118692</v>
      </c>
      <c r="N1441">
        <v>51.4173065197267</v>
      </c>
      <c r="O1441">
        <v>50.3890755220237</v>
      </c>
      <c r="P1441">
        <v>-0.104737225287564</v>
      </c>
      <c r="Q1441">
        <v>0.14166762090785</v>
      </c>
      <c r="R1441">
        <v>0.96196019004099</v>
      </c>
      <c r="S1441" t="s">
        <v>3109</v>
      </c>
      <c r="T1441" t="s">
        <v>3312</v>
      </c>
      <c r="U1441" t="s">
        <v>3312</v>
      </c>
      <c r="V1441" t="s">
        <v>3312</v>
      </c>
      <c r="W1441" t="s">
        <v>4750</v>
      </c>
      <c r="X1441">
        <v>15</v>
      </c>
      <c r="Y1441" t="s">
        <v>6392</v>
      </c>
      <c r="Z1441" t="s">
        <v>8034</v>
      </c>
      <c r="AA1441">
        <v>0.5420267234866981</v>
      </c>
      <c r="AB1441">
        <f>HYPERLINK("Melting_Curves/meltCurve_P69910_gadB.pdf", "Melting_Curves/meltCurve_P69910_gadB.pdf")</f>
        <v>0</v>
      </c>
    </row>
    <row r="1442" spans="1:28">
      <c r="A1442" t="s">
        <v>1468</v>
      </c>
      <c r="B1442">
        <v>0.999984544473304</v>
      </c>
      <c r="C1442">
        <v>1.51828979563555</v>
      </c>
      <c r="D1442">
        <v>0.909660223475551</v>
      </c>
      <c r="E1442">
        <v>1.71891742606436</v>
      </c>
      <c r="F1442">
        <v>1.15741123498542</v>
      </c>
      <c r="G1442">
        <v>1.16528311518248</v>
      </c>
      <c r="H1442">
        <v>1.22986769173984</v>
      </c>
      <c r="I1442">
        <v>1.1545494719456</v>
      </c>
      <c r="J1442">
        <v>1.1637352481457</v>
      </c>
      <c r="K1442">
        <v>1.52695137950091</v>
      </c>
      <c r="L1442">
        <v>9483.195589801049</v>
      </c>
      <c r="M1442">
        <v>250</v>
      </c>
      <c r="O1442">
        <v>37.9303466137468</v>
      </c>
      <c r="P1442">
        <v>0.465887638698167</v>
      </c>
      <c r="Q1442">
        <v>1.28274053564492</v>
      </c>
      <c r="R1442">
        <v>0.124186305306441</v>
      </c>
      <c r="S1442" t="s">
        <v>3110</v>
      </c>
      <c r="T1442" t="s">
        <v>3312</v>
      </c>
      <c r="U1442" t="s">
        <v>3312</v>
      </c>
      <c r="V1442" t="s">
        <v>3312</v>
      </c>
      <c r="W1442" t="s">
        <v>4751</v>
      </c>
      <c r="X1442">
        <v>2</v>
      </c>
      <c r="Y1442" t="s">
        <v>6393</v>
      </c>
      <c r="Z1442" t="s">
        <v>8035</v>
      </c>
      <c r="AA1442">
        <v>1.273928063284251</v>
      </c>
      <c r="AB1442">
        <f>HYPERLINK("Melting_Curves/meltCurve_P69913_csrA.pdf", "Melting_Curves/meltCurve_P69913_csrA.pdf")</f>
        <v>0</v>
      </c>
    </row>
    <row r="1443" spans="1:28">
      <c r="A1443" t="s">
        <v>1469</v>
      </c>
      <c r="B1443">
        <v>0.999984544473304</v>
      </c>
      <c r="C1443">
        <v>1.36247491717595</v>
      </c>
      <c r="D1443">
        <v>1.51579514938163</v>
      </c>
      <c r="E1443">
        <v>1.46864693787999</v>
      </c>
      <c r="F1443">
        <v>1.12671547956384</v>
      </c>
      <c r="G1443">
        <v>1.35393853686677</v>
      </c>
      <c r="H1443">
        <v>0.883988270075984</v>
      </c>
      <c r="I1443">
        <v>0.76905818970719</v>
      </c>
      <c r="J1443">
        <v>0.521196269211835</v>
      </c>
      <c r="K1443">
        <v>0.255271611129652</v>
      </c>
      <c r="L1443">
        <v>1725.7199064919</v>
      </c>
      <c r="M1443">
        <v>27.0631577297046</v>
      </c>
      <c r="N1443">
        <v>64.09183206451</v>
      </c>
      <c r="O1443">
        <v>63.4212763949827</v>
      </c>
      <c r="P1443">
        <v>-0.09983248365332929</v>
      </c>
      <c r="Q1443">
        <v>0.0641977017015127</v>
      </c>
      <c r="R1443">
        <v>0.520074542617692</v>
      </c>
      <c r="S1443" t="s">
        <v>3111</v>
      </c>
      <c r="T1443" t="s">
        <v>3312</v>
      </c>
      <c r="U1443" t="s">
        <v>3312</v>
      </c>
      <c r="V1443" t="s">
        <v>3312</v>
      </c>
      <c r="W1443" t="s">
        <v>4752</v>
      </c>
      <c r="X1443">
        <v>9</v>
      </c>
      <c r="Y1443" t="s">
        <v>6394</v>
      </c>
      <c r="Z1443" t="s">
        <v>8036</v>
      </c>
      <c r="AA1443">
        <v>0.886960578454438</v>
      </c>
      <c r="AB1443">
        <f>HYPERLINK("Melting_Curves/meltCurve_P69922_fucI.pdf", "Melting_Curves/meltCurve_P69922_fucI.pdf")</f>
        <v>0</v>
      </c>
    </row>
    <row r="1444" spans="1:28">
      <c r="A1444" t="s">
        <v>1470</v>
      </c>
      <c r="B1444">
        <v>0.999984544473304</v>
      </c>
      <c r="C1444">
        <v>0.882373725705112</v>
      </c>
      <c r="D1444">
        <v>0.802587773651201</v>
      </c>
      <c r="E1444">
        <v>0.6774831406963721</v>
      </c>
      <c r="F1444">
        <v>0.711099855015623</v>
      </c>
      <c r="G1444">
        <v>0.569032375887221</v>
      </c>
      <c r="H1444">
        <v>0.471760602105916</v>
      </c>
      <c r="I1444">
        <v>0.418329152702385</v>
      </c>
      <c r="J1444">
        <v>0.322794689523675</v>
      </c>
      <c r="K1444">
        <v>0.333048030414076</v>
      </c>
      <c r="L1444">
        <v>291.611727651494</v>
      </c>
      <c r="M1444">
        <v>5.25362397899365</v>
      </c>
      <c r="N1444">
        <v>56.3794142703157</v>
      </c>
      <c r="O1444">
        <v>48.9878795942057</v>
      </c>
      <c r="P1444">
        <v>-0.0258970475383316</v>
      </c>
      <c r="Q1444">
        <v>0.0390485650435688</v>
      </c>
      <c r="R1444">
        <v>0.970433429165616</v>
      </c>
      <c r="S1444" t="s">
        <v>3112</v>
      </c>
      <c r="T1444" t="s">
        <v>3312</v>
      </c>
      <c r="U1444" t="s">
        <v>3312</v>
      </c>
      <c r="V1444" t="s">
        <v>3312</v>
      </c>
      <c r="W1444" t="s">
        <v>4753</v>
      </c>
      <c r="X1444">
        <v>5</v>
      </c>
      <c r="Y1444" t="s">
        <v>6395</v>
      </c>
      <c r="Z1444" t="s">
        <v>8037</v>
      </c>
      <c r="AA1444">
        <v>0.6148621270261607</v>
      </c>
      <c r="AB1444">
        <f>HYPERLINK("Melting_Curves/meltCurve_P69924_nrdB.pdf", "Melting_Curves/meltCurve_P69924_nrdB.pdf")</f>
        <v>0</v>
      </c>
    </row>
    <row r="1445" spans="1:28">
      <c r="A1445" t="s">
        <v>1471</v>
      </c>
      <c r="B1445">
        <v>0.999984544473304</v>
      </c>
      <c r="C1445">
        <v>0.79211799719292</v>
      </c>
      <c r="D1445">
        <v>0.61201186049255</v>
      </c>
      <c r="E1445">
        <v>0.504081505242462</v>
      </c>
      <c r="F1445">
        <v>0.433388639092651</v>
      </c>
      <c r="G1445">
        <v>0.270511120253457</v>
      </c>
      <c r="H1445">
        <v>0.234178746361043</v>
      </c>
      <c r="I1445">
        <v>0.266132621315246</v>
      </c>
      <c r="J1445">
        <v>0.149769244287246</v>
      </c>
      <c r="K1445">
        <v>0.16361254996039</v>
      </c>
      <c r="L1445">
        <v>441.1417824069</v>
      </c>
      <c r="M1445">
        <v>9.79278503500764</v>
      </c>
      <c r="N1445">
        <v>46.7121047218943</v>
      </c>
      <c r="O1445">
        <v>43.289648428855</v>
      </c>
      <c r="P1445">
        <v>-0.0482498386606357</v>
      </c>
      <c r="Q1445">
        <v>0.14728299164662</v>
      </c>
      <c r="R1445">
        <v>0.971034321933772</v>
      </c>
      <c r="S1445" t="s">
        <v>3113</v>
      </c>
      <c r="T1445" t="s">
        <v>3312</v>
      </c>
      <c r="U1445" t="s">
        <v>3312</v>
      </c>
      <c r="V1445" t="s">
        <v>3312</v>
      </c>
      <c r="W1445" t="s">
        <v>4754</v>
      </c>
      <c r="X1445">
        <v>1</v>
      </c>
      <c r="Y1445" t="s">
        <v>6396</v>
      </c>
      <c r="Z1445" t="s">
        <v>8038</v>
      </c>
      <c r="AA1445">
        <v>0.4195800698725342</v>
      </c>
      <c r="AB1445">
        <f>HYPERLINK("Melting_Curves/meltCurve_P75682_yagE.pdf", "Melting_Curves/meltCurve_P75682_yagE.pdf")</f>
        <v>0</v>
      </c>
    </row>
    <row r="1446" spans="1:28">
      <c r="A1446" t="s">
        <v>1472</v>
      </c>
      <c r="B1446">
        <v>0.999984544473304</v>
      </c>
      <c r="C1446">
        <v>1.07231167441527</v>
      </c>
      <c r="D1446">
        <v>1.0891254784586</v>
      </c>
      <c r="E1446">
        <v>1.04566346783442</v>
      </c>
      <c r="F1446">
        <v>1.11902497708763</v>
      </c>
      <c r="G1446">
        <v>0.972449912797845</v>
      </c>
      <c r="H1446">
        <v>0.9313062932957979</v>
      </c>
      <c r="I1446">
        <v>0.804764400815195</v>
      </c>
      <c r="J1446">
        <v>0.485528260629982</v>
      </c>
      <c r="K1446">
        <v>0.163902500229137</v>
      </c>
      <c r="L1446">
        <v>1973.03490115701</v>
      </c>
      <c r="M1446">
        <v>30.9180940281212</v>
      </c>
      <c r="N1446">
        <v>63.8149002489101</v>
      </c>
      <c r="O1446">
        <v>63.5497346575598</v>
      </c>
      <c r="P1446">
        <v>-0.121630259348895</v>
      </c>
      <c r="Q1446">
        <v>0</v>
      </c>
      <c r="R1446">
        <v>0.962419339045164</v>
      </c>
      <c r="S1446" t="s">
        <v>3114</v>
      </c>
      <c r="T1446" t="s">
        <v>3312</v>
      </c>
      <c r="U1446" t="s">
        <v>3312</v>
      </c>
      <c r="V1446" t="s">
        <v>3312</v>
      </c>
      <c r="W1446" t="s">
        <v>4755</v>
      </c>
      <c r="X1446">
        <v>13</v>
      </c>
      <c r="Y1446" t="s">
        <v>6397</v>
      </c>
      <c r="Z1446" t="s">
        <v>8039</v>
      </c>
      <c r="AA1446">
        <v>0.884302509312887</v>
      </c>
      <c r="AB1446">
        <f>HYPERLINK("Melting_Curves/meltCurve_P75691_yahK.pdf", "Melting_Curves/meltCurve_P75691_yahK.pdf")</f>
        <v>0</v>
      </c>
    </row>
    <row r="1447" spans="1:28">
      <c r="A1447" t="s">
        <v>1473</v>
      </c>
      <c r="B1447">
        <v>0.999984544473304</v>
      </c>
      <c r="C1447">
        <v>0.840185766315496</v>
      </c>
      <c r="D1447">
        <v>1.17015469327072</v>
      </c>
      <c r="E1447">
        <v>0.960366699119263</v>
      </c>
      <c r="F1447">
        <v>2.46920105161066</v>
      </c>
      <c r="G1447">
        <v>1.48442195829244</v>
      </c>
      <c r="H1447">
        <v>2.27056893683754</v>
      </c>
      <c r="I1447">
        <v>2.39047903704653</v>
      </c>
      <c r="J1447">
        <v>1.84699592018889</v>
      </c>
      <c r="K1447">
        <v>1.45864748134008</v>
      </c>
      <c r="L1447">
        <v>12007.9146610528</v>
      </c>
      <c r="M1447">
        <v>250</v>
      </c>
      <c r="O1447">
        <v>48.0286072440606</v>
      </c>
      <c r="P1447">
        <v>0.650654187971425</v>
      </c>
      <c r="Q1447">
        <v>1.5</v>
      </c>
      <c r="R1447">
        <v>0.274975364057053</v>
      </c>
      <c r="S1447" t="s">
        <v>3115</v>
      </c>
      <c r="T1447" t="s">
        <v>3312</v>
      </c>
      <c r="U1447" t="s">
        <v>3312</v>
      </c>
      <c r="V1447" t="s">
        <v>3312</v>
      </c>
      <c r="W1447" t="s">
        <v>4756</v>
      </c>
      <c r="X1447">
        <v>2</v>
      </c>
      <c r="Y1447" t="s">
        <v>6398</v>
      </c>
      <c r="Z1447" t="s">
        <v>8040</v>
      </c>
      <c r="AA1447">
        <v>1.316096875189781</v>
      </c>
      <c r="AB1447">
        <f>HYPERLINK("Melting_Curves/meltCurve_P75694_yahO.pdf", "Melting_Curves/meltCurve_P75694_yahO.pdf")</f>
        <v>0</v>
      </c>
    </row>
    <row r="1448" spans="1:28">
      <c r="A1448" t="s">
        <v>1474</v>
      </c>
      <c r="B1448">
        <v>0.999984544473304</v>
      </c>
      <c r="C1448">
        <v>1.0407110710001</v>
      </c>
      <c r="D1448">
        <v>0.999320798984119</v>
      </c>
      <c r="E1448">
        <v>0.786980402541426</v>
      </c>
      <c r="F1448">
        <v>0.849496725281926</v>
      </c>
      <c r="G1448">
        <v>0.923750342993965</v>
      </c>
      <c r="H1448">
        <v>0.635770188528873</v>
      </c>
      <c r="I1448">
        <v>0.657897397495801</v>
      </c>
      <c r="J1448">
        <v>0.476849111186061</v>
      </c>
      <c r="K1448">
        <v>0.346738675294236</v>
      </c>
      <c r="L1448">
        <v>497.41678101963</v>
      </c>
      <c r="M1448">
        <v>7.83268411928071</v>
      </c>
      <c r="N1448">
        <v>63.5052773284084</v>
      </c>
      <c r="O1448">
        <v>59.7650362157615</v>
      </c>
      <c r="P1448">
        <v>-0.032804586730743</v>
      </c>
      <c r="Q1448">
        <v>0</v>
      </c>
      <c r="R1448">
        <v>0.888155920479278</v>
      </c>
      <c r="S1448" t="s">
        <v>3116</v>
      </c>
      <c r="T1448" t="s">
        <v>3312</v>
      </c>
      <c r="U1448" t="s">
        <v>3312</v>
      </c>
      <c r="V1448" t="s">
        <v>3312</v>
      </c>
      <c r="W1448" t="s">
        <v>4757</v>
      </c>
      <c r="X1448">
        <v>2</v>
      </c>
      <c r="Y1448" t="s">
        <v>6399</v>
      </c>
      <c r="Z1448" t="s">
        <v>8041</v>
      </c>
      <c r="AA1448">
        <v>0.7895675118736148</v>
      </c>
      <c r="AB1448">
        <f>HYPERLINK("Melting_Curves/meltCurve_P75713_allE.pdf", "Melting_Curves/meltCurve_P75713_allE.pdf")</f>
        <v>0</v>
      </c>
    </row>
    <row r="1449" spans="1:28">
      <c r="A1449" t="s">
        <v>1475</v>
      </c>
      <c r="B1449">
        <v>0.999984544473304</v>
      </c>
      <c r="C1449">
        <v>0.276827707671345</v>
      </c>
      <c r="D1449">
        <v>0.821898210874401</v>
      </c>
      <c r="E1449">
        <v>0.166859784699474</v>
      </c>
      <c r="F1449">
        <v>0.0558354750249966</v>
      </c>
      <c r="G1449">
        <v>0.0400874189170807</v>
      </c>
      <c r="H1449">
        <v>0.0326996248602637</v>
      </c>
      <c r="I1449">
        <v>0.009869495362633899</v>
      </c>
      <c r="J1449">
        <v>0.0104911630702417</v>
      </c>
      <c r="K1449">
        <v>0.008901014219845351</v>
      </c>
      <c r="L1449">
        <v>496.203173639125</v>
      </c>
      <c r="M1449">
        <v>11.7521904629676</v>
      </c>
      <c r="N1449">
        <v>42.2221867777769</v>
      </c>
      <c r="O1449">
        <v>41.0552848994544</v>
      </c>
      <c r="P1449">
        <v>-0.0715818937371354</v>
      </c>
      <c r="Q1449">
        <v>0</v>
      </c>
      <c r="R1449">
        <v>0.723983023956553</v>
      </c>
      <c r="S1449" t="s">
        <v>3117</v>
      </c>
      <c r="T1449" t="s">
        <v>3312</v>
      </c>
      <c r="U1449" t="s">
        <v>3312</v>
      </c>
      <c r="V1449" t="s">
        <v>3312</v>
      </c>
      <c r="W1449" t="s">
        <v>4758</v>
      </c>
      <c r="X1449">
        <v>2</v>
      </c>
      <c r="Y1449" t="s">
        <v>6400</v>
      </c>
      <c r="Z1449" t="s">
        <v>8042</v>
      </c>
      <c r="AA1449">
        <v>0.2203084587800935</v>
      </c>
      <c r="AB1449">
        <f>HYPERLINK("Melting_Curves/meltCurve_P75728_ubiF.pdf", "Melting_Curves/meltCurve_P75728_ubiF.pdf")</f>
        <v>0</v>
      </c>
    </row>
    <row r="1450" spans="1:28">
      <c r="A1450" t="s">
        <v>1476</v>
      </c>
      <c r="B1450">
        <v>0.999984544473304</v>
      </c>
      <c r="C1450">
        <v>0.765402515419177</v>
      </c>
      <c r="D1450">
        <v>0.854894058712701</v>
      </c>
      <c r="E1450">
        <v>0.63852399355418</v>
      </c>
      <c r="F1450">
        <v>0.429606279675819</v>
      </c>
      <c r="G1450">
        <v>0.417056638614393</v>
      </c>
      <c r="H1450">
        <v>0.302849260378426</v>
      </c>
      <c r="I1450">
        <v>0.219974748464498</v>
      </c>
      <c r="J1450">
        <v>0.239786996632016</v>
      </c>
      <c r="K1450">
        <v>0.197371437432048</v>
      </c>
      <c r="L1450">
        <v>429.632650417958</v>
      </c>
      <c r="M1450">
        <v>8.937123769036811</v>
      </c>
      <c r="N1450">
        <v>49.8434802442352</v>
      </c>
      <c r="O1450">
        <v>45.8487414173737</v>
      </c>
      <c r="P1450">
        <v>-0.0421348802527393</v>
      </c>
      <c r="Q1450">
        <v>0.136012134003783</v>
      </c>
      <c r="R1450">
        <v>0.961789200925948</v>
      </c>
      <c r="S1450" t="s">
        <v>3118</v>
      </c>
      <c r="T1450" t="s">
        <v>3312</v>
      </c>
      <c r="U1450" t="s">
        <v>3312</v>
      </c>
      <c r="V1450" t="s">
        <v>3312</v>
      </c>
      <c r="W1450" t="s">
        <v>4759</v>
      </c>
      <c r="X1450">
        <v>1</v>
      </c>
      <c r="Y1450" t="s">
        <v>6401</v>
      </c>
      <c r="Z1450" t="s">
        <v>8043</v>
      </c>
      <c r="AA1450">
        <v>0.4943870360356446</v>
      </c>
      <c r="AB1450">
        <f>HYPERLINK("Melting_Curves/meltCurve_P75736_ybfF.pdf", "Melting_Curves/meltCurve_P75736_ybfF.pdf")</f>
        <v>0</v>
      </c>
    </row>
    <row r="1451" spans="1:28">
      <c r="A1451" t="s">
        <v>1477</v>
      </c>
      <c r="B1451">
        <v>0.999984544473304</v>
      </c>
      <c r="C1451">
        <v>0.835101941429385</v>
      </c>
      <c r="D1451">
        <v>0.960826570056706</v>
      </c>
      <c r="E1451">
        <v>0.7217251289672379</v>
      </c>
      <c r="F1451">
        <v>0.430073072978958</v>
      </c>
      <c r="G1451">
        <v>0.169440346448724</v>
      </c>
      <c r="H1451">
        <v>0.0813207598352549</v>
      </c>
      <c r="I1451">
        <v>0.0646424642564089</v>
      </c>
      <c r="J1451">
        <v>0.0408223198682076</v>
      </c>
      <c r="K1451">
        <v>0.0283689314990744</v>
      </c>
      <c r="L1451">
        <v>857.694890935846</v>
      </c>
      <c r="M1451">
        <v>17.4757625191358</v>
      </c>
      <c r="N1451">
        <v>49.1886840738597</v>
      </c>
      <c r="O1451">
        <v>48.4499928589716</v>
      </c>
      <c r="P1451">
        <v>-0.08845743504896129</v>
      </c>
      <c r="Q1451">
        <v>0.0190931024553185</v>
      </c>
      <c r="R1451">
        <v>0.983698473837634</v>
      </c>
      <c r="S1451" t="s">
        <v>3119</v>
      </c>
      <c r="T1451" t="s">
        <v>3312</v>
      </c>
      <c r="U1451" t="s">
        <v>3312</v>
      </c>
      <c r="V1451" t="s">
        <v>3312</v>
      </c>
      <c r="W1451" t="s">
        <v>4760</v>
      </c>
      <c r="X1451">
        <v>4</v>
      </c>
      <c r="Y1451" t="s">
        <v>6402</v>
      </c>
      <c r="Z1451" t="s">
        <v>8044</v>
      </c>
      <c r="AA1451">
        <v>0.4304435430075023</v>
      </c>
      <c r="AB1451">
        <f>HYPERLINK("Melting_Curves/meltCurve_P75745_ybgK.pdf", "Melting_Curves/meltCurve_P75745_ybgK.pdf")</f>
        <v>0</v>
      </c>
    </row>
    <row r="1452" spans="1:28">
      <c r="A1452" t="s">
        <v>1478</v>
      </c>
      <c r="B1452">
        <v>0.999984544473304</v>
      </c>
      <c r="C1452">
        <v>0.682826704739341</v>
      </c>
      <c r="D1452">
        <v>0.448524799055666</v>
      </c>
      <c r="E1452">
        <v>0.176323996751089</v>
      </c>
      <c r="F1452">
        <v>0.0969454965648705</v>
      </c>
      <c r="G1452">
        <v>0.0549472840477829</v>
      </c>
      <c r="H1452">
        <v>0.0431926764839454</v>
      </c>
      <c r="I1452">
        <v>0.0334845036122226</v>
      </c>
      <c r="J1452">
        <v>0.0235051877566393</v>
      </c>
      <c r="K1452">
        <v>0.0172889731650526</v>
      </c>
      <c r="L1452">
        <v>744.844795442548</v>
      </c>
      <c r="M1452">
        <v>17.6793663088749</v>
      </c>
      <c r="N1452">
        <v>42.2768627909304</v>
      </c>
      <c r="O1452">
        <v>41.6027954096824</v>
      </c>
      <c r="P1452">
        <v>-0.103095799851163</v>
      </c>
      <c r="Q1452">
        <v>0.0296380000370102</v>
      </c>
      <c r="R1452">
        <v>0.990741138612624</v>
      </c>
      <c r="S1452" t="s">
        <v>3120</v>
      </c>
      <c r="T1452" t="s">
        <v>3312</v>
      </c>
      <c r="U1452" t="s">
        <v>3312</v>
      </c>
      <c r="V1452" t="s">
        <v>3312</v>
      </c>
      <c r="W1452" t="s">
        <v>4761</v>
      </c>
      <c r="X1452">
        <v>2</v>
      </c>
      <c r="Y1452" t="s">
        <v>6403</v>
      </c>
      <c r="Z1452" t="s">
        <v>8045</v>
      </c>
      <c r="AA1452">
        <v>0.2147821510241777</v>
      </c>
      <c r="AB1452">
        <f>HYPERLINK("Melting_Curves/meltCurve_P75767_ybhK.pdf", "Melting_Curves/meltCurve_P75767_ybhK.pdf")</f>
        <v>0</v>
      </c>
    </row>
    <row r="1453" spans="1:28">
      <c r="A1453" t="s">
        <v>1479</v>
      </c>
      <c r="B1453">
        <v>0.999984544473304</v>
      </c>
      <c r="C1453">
        <v>0.80494944076502</v>
      </c>
      <c r="D1453">
        <v>0.553963667112241</v>
      </c>
      <c r="E1453">
        <v>0.256032197227382</v>
      </c>
      <c r="F1453">
        <v>0.111284796827116</v>
      </c>
      <c r="G1453">
        <v>0.052831953588126</v>
      </c>
      <c r="H1453">
        <v>0.037727171135336</v>
      </c>
      <c r="I1453">
        <v>0.0293317379838019</v>
      </c>
      <c r="J1453">
        <v>0.0211713698190506</v>
      </c>
      <c r="K1453">
        <v>0.0236244968021111</v>
      </c>
      <c r="L1453">
        <v>753.70735609717</v>
      </c>
      <c r="M1453">
        <v>17.3546130238298</v>
      </c>
      <c r="N1453">
        <v>43.5426456783563</v>
      </c>
      <c r="O1453">
        <v>42.8654725263217</v>
      </c>
      <c r="P1453">
        <v>-0.0989954916404666</v>
      </c>
      <c r="Q1453">
        <v>0.0219901931037221</v>
      </c>
      <c r="R1453">
        <v>0.997824278986872</v>
      </c>
      <c r="S1453" t="s">
        <v>3121</v>
      </c>
      <c r="T1453" t="s">
        <v>3312</v>
      </c>
      <c r="U1453" t="s">
        <v>3312</v>
      </c>
      <c r="V1453" t="s">
        <v>3312</v>
      </c>
      <c r="W1453" t="s">
        <v>4762</v>
      </c>
      <c r="X1453">
        <v>2</v>
      </c>
      <c r="Y1453" t="s">
        <v>6404</v>
      </c>
      <c r="Z1453" t="s">
        <v>8046</v>
      </c>
      <c r="AA1453">
        <v>0.249914614125917</v>
      </c>
      <c r="AB1453">
        <f>HYPERLINK("Melting_Curves/meltCurve_P75777_ybhG.pdf", "Melting_Curves/meltCurve_P75777_ybhG.pdf")</f>
        <v>0</v>
      </c>
    </row>
    <row r="1454" spans="1:28">
      <c r="A1454" t="s">
        <v>1480</v>
      </c>
      <c r="B1454">
        <v>0.999984544473304</v>
      </c>
      <c r="C1454">
        <v>0.724243577507888</v>
      </c>
      <c r="D1454">
        <v>0.684046554470882</v>
      </c>
      <c r="E1454">
        <v>0.261995492236511</v>
      </c>
      <c r="F1454">
        <v>0.236671902271731</v>
      </c>
      <c r="G1454">
        <v>0.0472212493492524</v>
      </c>
      <c r="H1454">
        <v>0.0275593586353834</v>
      </c>
      <c r="I1454">
        <v>0</v>
      </c>
      <c r="J1454">
        <v>0</v>
      </c>
      <c r="K1454">
        <v>0.0235908963852116</v>
      </c>
      <c r="L1454">
        <v>613.8857532799379</v>
      </c>
      <c r="M1454">
        <v>13.86542773945</v>
      </c>
      <c r="N1454">
        <v>44.2745699531661</v>
      </c>
      <c r="O1454">
        <v>43.3841043103285</v>
      </c>
      <c r="P1454">
        <v>-0.07991023384720659</v>
      </c>
      <c r="Q1454">
        <v>0</v>
      </c>
      <c r="R1454">
        <v>0.973293640709213</v>
      </c>
      <c r="S1454" t="s">
        <v>3122</v>
      </c>
      <c r="T1454" t="s">
        <v>3312</v>
      </c>
      <c r="U1454" t="s">
        <v>3312</v>
      </c>
      <c r="V1454" t="s">
        <v>3312</v>
      </c>
      <c r="W1454" t="s">
        <v>4763</v>
      </c>
      <c r="X1454">
        <v>1</v>
      </c>
      <c r="Y1454" t="s">
        <v>6405</v>
      </c>
      <c r="Z1454" t="s">
        <v>8047</v>
      </c>
      <c r="AA1454">
        <v>0.2712252542993472</v>
      </c>
      <c r="AB1454">
        <f>HYPERLINK("Melting_Curves/meltCurve_P75782_rlmF.pdf", "Melting_Curves/meltCurve_P75782_rlmF.pdf")</f>
        <v>0</v>
      </c>
    </row>
    <row r="1455" spans="1:28">
      <c r="A1455" t="s">
        <v>1481</v>
      </c>
      <c r="B1455">
        <v>0.999984544473304</v>
      </c>
      <c r="C1455">
        <v>1.03524165955071</v>
      </c>
      <c r="D1455">
        <v>0.479218161578306</v>
      </c>
      <c r="E1455">
        <v>0.517326288479127</v>
      </c>
      <c r="F1455">
        <v>0.176641850530737</v>
      </c>
      <c r="G1455">
        <v>0.0720156332162023</v>
      </c>
      <c r="H1455">
        <v>0.06948762026317321</v>
      </c>
      <c r="I1455">
        <v>0.0246579468040744</v>
      </c>
      <c r="J1455">
        <v>0.0528813006903954</v>
      </c>
      <c r="K1455">
        <v>0.0386786010152075</v>
      </c>
      <c r="L1455">
        <v>683.203070396699</v>
      </c>
      <c r="M1455">
        <v>15.1852763245611</v>
      </c>
      <c r="N1455">
        <v>45.1584893226896</v>
      </c>
      <c r="O1455">
        <v>44.2325443177087</v>
      </c>
      <c r="P1455">
        <v>-0.0834864178252092</v>
      </c>
      <c r="Q1455">
        <v>0.0273575079496754</v>
      </c>
      <c r="R1455">
        <v>0.940586371366517</v>
      </c>
      <c r="S1455" t="s">
        <v>3123</v>
      </c>
      <c r="T1455" t="s">
        <v>3312</v>
      </c>
      <c r="U1455" t="s">
        <v>3312</v>
      </c>
      <c r="V1455" t="s">
        <v>3312</v>
      </c>
      <c r="W1455" t="s">
        <v>4764</v>
      </c>
      <c r="X1455">
        <v>3</v>
      </c>
      <c r="Y1455" t="s">
        <v>6406</v>
      </c>
      <c r="Z1455" t="s">
        <v>8048</v>
      </c>
      <c r="AA1455">
        <v>0.3090247159962104</v>
      </c>
      <c r="AB1455">
        <f>HYPERLINK("Melting_Curves/meltCurve_P75792_ybiV.pdf", "Melting_Curves/meltCurve_P75792_ybiV.pdf")</f>
        <v>0</v>
      </c>
    </row>
    <row r="1456" spans="1:28">
      <c r="A1456" t="s">
        <v>1482</v>
      </c>
      <c r="B1456">
        <v>0.999984544473304</v>
      </c>
      <c r="C1456">
        <v>1.10390153269742</v>
      </c>
      <c r="D1456">
        <v>0.9185210486293121</v>
      </c>
      <c r="E1456">
        <v>0.912385678204815</v>
      </c>
      <c r="F1456">
        <v>0.96637866472545</v>
      </c>
      <c r="G1456">
        <v>0.935918494569666</v>
      </c>
      <c r="H1456">
        <v>0.646178709002165</v>
      </c>
      <c r="I1456">
        <v>0.0803750627481311</v>
      </c>
      <c r="J1456">
        <v>0.0280493500164375</v>
      </c>
      <c r="K1456">
        <v>0.0252456212922518</v>
      </c>
      <c r="L1456">
        <v>2897.75858925252</v>
      </c>
      <c r="M1456">
        <v>49.9426726246675</v>
      </c>
      <c r="N1456">
        <v>58.0596462285759</v>
      </c>
      <c r="O1456">
        <v>57.9289196000623</v>
      </c>
      <c r="P1456">
        <v>-0.212073375615475</v>
      </c>
      <c r="Q1456">
        <v>0.0160585753379811</v>
      </c>
      <c r="R1456">
        <v>0.983677878268213</v>
      </c>
      <c r="S1456" t="s">
        <v>3124</v>
      </c>
      <c r="T1456" t="s">
        <v>3312</v>
      </c>
      <c r="U1456" t="s">
        <v>3312</v>
      </c>
      <c r="V1456" t="s">
        <v>3312</v>
      </c>
      <c r="W1456" t="s">
        <v>4765</v>
      </c>
      <c r="X1456">
        <v>8</v>
      </c>
      <c r="Y1456" t="s">
        <v>6407</v>
      </c>
      <c r="Z1456" t="s">
        <v>8049</v>
      </c>
      <c r="AA1456">
        <v>0.7079871475335036</v>
      </c>
      <c r="AB1456">
        <f>HYPERLINK("Melting_Curves/meltCurve_P75797_gsiB.pdf", "Melting_Curves/meltCurve_P75797_gsiB.pdf")</f>
        <v>0</v>
      </c>
    </row>
    <row r="1457" spans="1:28">
      <c r="A1457" t="s">
        <v>1483</v>
      </c>
      <c r="B1457">
        <v>0.999984544473304</v>
      </c>
      <c r="C1457">
        <v>0.966988481178252</v>
      </c>
      <c r="D1457">
        <v>0.833107319067948</v>
      </c>
      <c r="E1457">
        <v>1.02962442156007</v>
      </c>
      <c r="F1457">
        <v>1.04861772463323</v>
      </c>
      <c r="G1457">
        <v>0.848216600912525</v>
      </c>
      <c r="H1457">
        <v>0.813383337344563</v>
      </c>
      <c r="I1457">
        <v>0.7278235425053809</v>
      </c>
      <c r="J1457">
        <v>0.598966516960781</v>
      </c>
      <c r="K1457">
        <v>0.692126007511327</v>
      </c>
      <c r="L1457">
        <v>1205.80645519263</v>
      </c>
      <c r="M1457">
        <v>21.3847086136232</v>
      </c>
      <c r="O1457">
        <v>55.9002377983854</v>
      </c>
      <c r="P1457">
        <v>-0.0342086135307231</v>
      </c>
      <c r="Q1457">
        <v>0.642319672270671</v>
      </c>
      <c r="R1457">
        <v>0.783028565410405</v>
      </c>
      <c r="S1457" t="s">
        <v>3125</v>
      </c>
      <c r="T1457" t="s">
        <v>3312</v>
      </c>
      <c r="U1457" t="s">
        <v>3312</v>
      </c>
      <c r="V1457" t="s">
        <v>3312</v>
      </c>
      <c r="W1457" t="s">
        <v>4766</v>
      </c>
      <c r="X1457">
        <v>7</v>
      </c>
      <c r="Y1457" t="s">
        <v>6408</v>
      </c>
      <c r="Z1457" t="s">
        <v>8050</v>
      </c>
      <c r="AA1457">
        <v>0.876774716351075</v>
      </c>
      <c r="AB1457">
        <f>HYPERLINK("Melting_Curves/meltCurve_P75818_ybjP.pdf", "Melting_Curves/meltCurve_P75818_ybjP.pdf")</f>
        <v>0</v>
      </c>
    </row>
    <row r="1458" spans="1:28">
      <c r="A1458" t="s">
        <v>1484</v>
      </c>
      <c r="B1458">
        <v>0.999984544473304</v>
      </c>
      <c r="C1458">
        <v>1.03285100559857</v>
      </c>
      <c r="D1458">
        <v>0.627253909305826</v>
      </c>
      <c r="E1458">
        <v>0.855836519128093</v>
      </c>
      <c r="F1458">
        <v>0.563478943617817</v>
      </c>
      <c r="G1458">
        <v>0.522946134125099</v>
      </c>
      <c r="H1458">
        <v>0.690465164991475</v>
      </c>
      <c r="I1458">
        <v>0.598168460234125</v>
      </c>
      <c r="J1458">
        <v>0.528011364019131</v>
      </c>
      <c r="K1458">
        <v>0.298807689289411</v>
      </c>
      <c r="L1458">
        <v>331.159082846122</v>
      </c>
      <c r="M1458">
        <v>6.67632265219512</v>
      </c>
      <c r="N1458">
        <v>61.3650632640697</v>
      </c>
      <c r="O1458">
        <v>45.7195388969608</v>
      </c>
      <c r="P1458">
        <v>-0.0233811510432973</v>
      </c>
      <c r="Q1458">
        <v>0.360950754686996</v>
      </c>
      <c r="R1458">
        <v>0.682402066632011</v>
      </c>
      <c r="S1458" t="s">
        <v>3126</v>
      </c>
      <c r="T1458" t="s">
        <v>3312</v>
      </c>
      <c r="U1458" t="s">
        <v>3312</v>
      </c>
      <c r="V1458" t="s">
        <v>3312</v>
      </c>
      <c r="W1458" t="s">
        <v>4767</v>
      </c>
      <c r="X1458">
        <v>1</v>
      </c>
      <c r="Y1458" t="s">
        <v>6409</v>
      </c>
      <c r="Z1458" t="s">
        <v>8051</v>
      </c>
      <c r="AA1458">
        <v>0.660571124643396</v>
      </c>
      <c r="AB1458">
        <f>HYPERLINK("Melting_Curves/meltCurve_P75823_ltaE.pdf", "Melting_Curves/meltCurve_P75823_ltaE.pdf")</f>
        <v>0</v>
      </c>
    </row>
    <row r="1459" spans="1:28">
      <c r="A1459" t="s">
        <v>1485</v>
      </c>
      <c r="B1459">
        <v>0.999984544473304</v>
      </c>
      <c r="C1459">
        <v>0.761711997336498</v>
      </c>
      <c r="D1459">
        <v>0.63576193306235</v>
      </c>
      <c r="E1459">
        <v>0.506617166812965</v>
      </c>
      <c r="F1459">
        <v>0.377394383316517</v>
      </c>
      <c r="G1459">
        <v>0.329921681610269</v>
      </c>
      <c r="H1459">
        <v>0.222230274835063</v>
      </c>
      <c r="I1459">
        <v>0.187470136986762</v>
      </c>
      <c r="J1459">
        <v>0.142670016238356</v>
      </c>
      <c r="K1459">
        <v>0.186096584638848</v>
      </c>
      <c r="L1459">
        <v>432.719854915826</v>
      </c>
      <c r="M1459">
        <v>9.58297093227333</v>
      </c>
      <c r="N1459">
        <v>46.6307292502517</v>
      </c>
      <c r="O1459">
        <v>43.3200750059528</v>
      </c>
      <c r="P1459">
        <v>-0.0480973975460535</v>
      </c>
      <c r="Q1459">
        <v>0.130795131839236</v>
      </c>
      <c r="R1459">
        <v>0.9783851712455121</v>
      </c>
      <c r="S1459" t="s">
        <v>3127</v>
      </c>
      <c r="T1459" t="s">
        <v>3312</v>
      </c>
      <c r="U1459" t="s">
        <v>3312</v>
      </c>
      <c r="V1459" t="s">
        <v>3312</v>
      </c>
      <c r="W1459" t="s">
        <v>4768</v>
      </c>
      <c r="X1459">
        <v>3</v>
      </c>
      <c r="Y1459" t="s">
        <v>6410</v>
      </c>
      <c r="Z1459" t="s">
        <v>8052</v>
      </c>
      <c r="AA1459">
        <v>0.4126269844554279</v>
      </c>
      <c r="AB1459">
        <f>HYPERLINK("Melting_Curves/meltCurve_P75863_ycbX.pdf", "Melting_Curves/meltCurve_P75863_ycbX.pdf")</f>
        <v>0</v>
      </c>
    </row>
    <row r="1460" spans="1:28">
      <c r="A1460" t="s">
        <v>1486</v>
      </c>
      <c r="B1460">
        <v>0.999984544473304</v>
      </c>
      <c r="C1460">
        <v>1.10154396036366</v>
      </c>
      <c r="D1460">
        <v>0.362446426231769</v>
      </c>
      <c r="E1460">
        <v>0.15587156681108</v>
      </c>
      <c r="F1460">
        <v>0.144089486789945</v>
      </c>
      <c r="G1460">
        <v>0.126185516253446</v>
      </c>
      <c r="H1460">
        <v>0.0842143614261321</v>
      </c>
      <c r="I1460">
        <v>0.058769381417549</v>
      </c>
      <c r="J1460">
        <v>0.060157241210612</v>
      </c>
      <c r="K1460">
        <v>0.06903673031187731</v>
      </c>
      <c r="L1460">
        <v>10711.8727779352</v>
      </c>
      <c r="M1460">
        <v>250</v>
      </c>
      <c r="N1460">
        <v>42.8856859494515</v>
      </c>
      <c r="O1460">
        <v>42.8447623192448</v>
      </c>
      <c r="P1460">
        <v>-1.3132288760743</v>
      </c>
      <c r="Q1460">
        <v>0.099760611241238</v>
      </c>
      <c r="R1460">
        <v>0.985570116974989</v>
      </c>
      <c r="S1460" t="s">
        <v>3128</v>
      </c>
      <c r="T1460" t="s">
        <v>3312</v>
      </c>
      <c r="U1460" t="s">
        <v>3312</v>
      </c>
      <c r="V1460" t="s">
        <v>3312</v>
      </c>
      <c r="W1460" t="s">
        <v>4769</v>
      </c>
      <c r="X1460">
        <v>2</v>
      </c>
      <c r="Y1460" t="s">
        <v>6411</v>
      </c>
      <c r="Z1460" t="s">
        <v>8053</v>
      </c>
      <c r="AA1460">
        <v>0.2752997003947143</v>
      </c>
      <c r="AB1460">
        <f>HYPERLINK("Melting_Curves/meltCurve_P75864_rlmL.pdf", "Melting_Curves/meltCurve_P75864_rlmL.pdf")</f>
        <v>0</v>
      </c>
    </row>
    <row r="1461" spans="1:28">
      <c r="A1461" t="s">
        <v>1487</v>
      </c>
      <c r="B1461">
        <v>0.999984544473304</v>
      </c>
      <c r="C1461">
        <v>1.03247749095947</v>
      </c>
      <c r="D1461">
        <v>1.08957391095269</v>
      </c>
      <c r="E1461">
        <v>1.0995010199557</v>
      </c>
      <c r="F1461">
        <v>1.16270857785227</v>
      </c>
      <c r="G1461">
        <v>0.930603721606483</v>
      </c>
      <c r="H1461">
        <v>0.663506667651746</v>
      </c>
      <c r="I1461">
        <v>0.261302523575464</v>
      </c>
      <c r="J1461">
        <v>0.125127959551446</v>
      </c>
      <c r="K1461">
        <v>0.08654710527823931</v>
      </c>
      <c r="L1461">
        <v>1943.31914395984</v>
      </c>
      <c r="M1461">
        <v>33.2903566648994</v>
      </c>
      <c r="N1461">
        <v>58.6763957265531</v>
      </c>
      <c r="O1461">
        <v>58.1653932073327</v>
      </c>
      <c r="P1461">
        <v>-0.131834951911672</v>
      </c>
      <c r="Q1461">
        <v>0.0786280581529267</v>
      </c>
      <c r="R1461">
        <v>0.97154628673762</v>
      </c>
      <c r="S1461" t="s">
        <v>3129</v>
      </c>
      <c r="T1461" t="s">
        <v>3312</v>
      </c>
      <c r="U1461" t="s">
        <v>3312</v>
      </c>
      <c r="V1461" t="s">
        <v>3312</v>
      </c>
      <c r="W1461" t="s">
        <v>4770</v>
      </c>
      <c r="X1461">
        <v>5</v>
      </c>
      <c r="Y1461" t="s">
        <v>6412</v>
      </c>
      <c r="Z1461" t="s">
        <v>8054</v>
      </c>
      <c r="AA1461">
        <v>0.7394458071021132</v>
      </c>
      <c r="AB1461">
        <f>HYPERLINK("Melting_Curves/meltCurve_P75874_yccU.pdf", "Melting_Curves/meltCurve_P75874_yccU.pdf")</f>
        <v>0</v>
      </c>
    </row>
    <row r="1462" spans="1:28">
      <c r="A1462" t="s">
        <v>1488</v>
      </c>
      <c r="B1462">
        <v>0.999984544473304</v>
      </c>
      <c r="C1462">
        <v>1.11225098269011</v>
      </c>
      <c r="D1462">
        <v>1.08713269397277</v>
      </c>
      <c r="E1462">
        <v>0.993120463386826</v>
      </c>
      <c r="F1462">
        <v>1.02805535132845</v>
      </c>
      <c r="G1462">
        <v>0.902213356015536</v>
      </c>
      <c r="H1462">
        <v>0.775520568313826</v>
      </c>
      <c r="I1462">
        <v>0.547943412685628</v>
      </c>
      <c r="J1462">
        <v>0.409273193509164</v>
      </c>
      <c r="K1462">
        <v>0.2460599804677</v>
      </c>
      <c r="L1462">
        <v>1017.60025393117</v>
      </c>
      <c r="M1462">
        <v>16.5791639046718</v>
      </c>
      <c r="N1462">
        <v>61.9946813166162</v>
      </c>
      <c r="O1462">
        <v>60.5061209537967</v>
      </c>
      <c r="P1462">
        <v>-0.063300943389461</v>
      </c>
      <c r="Q1462">
        <v>0.0759885600210556</v>
      </c>
      <c r="R1462">
        <v>0.971122242675296</v>
      </c>
      <c r="S1462" t="s">
        <v>3130</v>
      </c>
      <c r="T1462" t="s">
        <v>3312</v>
      </c>
      <c r="U1462" t="s">
        <v>3312</v>
      </c>
      <c r="V1462" t="s">
        <v>3312</v>
      </c>
      <c r="W1462" t="s">
        <v>4771</v>
      </c>
      <c r="X1462">
        <v>3</v>
      </c>
      <c r="Y1462" t="s">
        <v>6413</v>
      </c>
      <c r="Z1462" t="s">
        <v>8055</v>
      </c>
      <c r="AA1462">
        <v>0.8151735378841823</v>
      </c>
      <c r="AB1462">
        <f>HYPERLINK("Melting_Curves/meltCurve_P75876_rlmI.pdf", "Melting_Curves/meltCurve_P75876_rlmI.pdf")</f>
        <v>0</v>
      </c>
    </row>
    <row r="1463" spans="1:28">
      <c r="A1463" t="s">
        <v>1489</v>
      </c>
      <c r="B1463">
        <v>0.999984544473304</v>
      </c>
      <c r="C1463">
        <v>0.862488156859747</v>
      </c>
      <c r="D1463">
        <v>0.943794984919014</v>
      </c>
      <c r="E1463">
        <v>0.864788328416632</v>
      </c>
      <c r="F1463">
        <v>0.469843550887837</v>
      </c>
      <c r="G1463">
        <v>0.0773868300420463</v>
      </c>
      <c r="H1463">
        <v>0.0581014465677659</v>
      </c>
      <c r="I1463">
        <v>0.0407654918034376</v>
      </c>
      <c r="J1463">
        <v>0.0290806929933364</v>
      </c>
      <c r="K1463">
        <v>0.0345358057420735</v>
      </c>
      <c r="L1463">
        <v>1453.71041662454</v>
      </c>
      <c r="M1463">
        <v>29.2380425921413</v>
      </c>
      <c r="N1463">
        <v>49.8139665834852</v>
      </c>
      <c r="O1463">
        <v>49.4889810181344</v>
      </c>
      <c r="P1463">
        <v>-0.14373090036221</v>
      </c>
      <c r="Q1463">
        <v>0.0268781697836229</v>
      </c>
      <c r="R1463">
        <v>0.985881982897058</v>
      </c>
      <c r="S1463" t="s">
        <v>3131</v>
      </c>
      <c r="T1463" t="s">
        <v>3312</v>
      </c>
      <c r="U1463" t="s">
        <v>3312</v>
      </c>
      <c r="V1463" t="s">
        <v>3312</v>
      </c>
      <c r="W1463" t="s">
        <v>4772</v>
      </c>
      <c r="X1463">
        <v>5</v>
      </c>
      <c r="Y1463" t="s">
        <v>6414</v>
      </c>
      <c r="Z1463" t="s">
        <v>8056</v>
      </c>
      <c r="AA1463">
        <v>0.4457294639337811</v>
      </c>
      <c r="AB1463">
        <f>HYPERLINK("Melting_Curves/meltCurve_P75913_ghrA.pdf", "Melting_Curves/meltCurve_P75913_ghrA.pdf")</f>
        <v>0</v>
      </c>
    </row>
    <row r="1464" spans="1:28">
      <c r="A1464" t="s">
        <v>1490</v>
      </c>
      <c r="B1464">
        <v>0.999984544473304</v>
      </c>
      <c r="C1464">
        <v>0.649707003435012</v>
      </c>
      <c r="D1464">
        <v>0.394151612640362</v>
      </c>
      <c r="E1464">
        <v>0.184923520624697</v>
      </c>
      <c r="F1464">
        <v>0.110996575044319</v>
      </c>
      <c r="G1464">
        <v>0.0678862846734417</v>
      </c>
      <c r="H1464">
        <v>0.0624557012622195</v>
      </c>
      <c r="I1464">
        <v>0.0512452498680276</v>
      </c>
      <c r="J1464">
        <v>0.0472529394174185</v>
      </c>
      <c r="K1464">
        <v>0.0431888781841618</v>
      </c>
      <c r="L1464">
        <v>778.532165690686</v>
      </c>
      <c r="M1464">
        <v>18.7306444479511</v>
      </c>
      <c r="N1464">
        <v>41.8302157057847</v>
      </c>
      <c r="O1464">
        <v>41.0995439059642</v>
      </c>
      <c r="P1464">
        <v>-0.10755203846016</v>
      </c>
      <c r="Q1464">
        <v>0.0560595340423018</v>
      </c>
      <c r="R1464">
        <v>0.988211621252418</v>
      </c>
      <c r="S1464" t="s">
        <v>3132</v>
      </c>
      <c r="T1464" t="s">
        <v>3312</v>
      </c>
      <c r="U1464" t="s">
        <v>3312</v>
      </c>
      <c r="V1464" t="s">
        <v>3312</v>
      </c>
      <c r="W1464" t="s">
        <v>4773</v>
      </c>
      <c r="X1464">
        <v>5</v>
      </c>
      <c r="Y1464" t="s">
        <v>6415</v>
      </c>
      <c r="Z1464" t="s">
        <v>8057</v>
      </c>
      <c r="AA1464">
        <v>0.2170841667975661</v>
      </c>
      <c r="AB1464">
        <f>HYPERLINK("Melting_Curves/meltCurve_P75914_ycdX.pdf", "Melting_Curves/meltCurve_P75914_ycdX.pdf")</f>
        <v>0</v>
      </c>
    </row>
    <row r="1465" spans="1:28">
      <c r="A1465" t="s">
        <v>1491</v>
      </c>
      <c r="B1465">
        <v>0.999984544473304</v>
      </c>
      <c r="C1465">
        <v>1.23601333803225</v>
      </c>
      <c r="D1465">
        <v>0.534178253737211</v>
      </c>
      <c r="E1465">
        <v>1.05458789450854</v>
      </c>
      <c r="F1465">
        <v>0.728713753328843</v>
      </c>
      <c r="G1465">
        <v>0.535727129485012</v>
      </c>
      <c r="H1465">
        <v>0.438717286894593</v>
      </c>
      <c r="I1465">
        <v>0.308783882331116</v>
      </c>
      <c r="J1465">
        <v>0.232182419424919</v>
      </c>
      <c r="K1465">
        <v>0.343149374489192</v>
      </c>
      <c r="L1465">
        <v>661.458087325629</v>
      </c>
      <c r="M1465">
        <v>12.5541433393766</v>
      </c>
      <c r="N1465">
        <v>55.2043272671737</v>
      </c>
      <c r="O1465">
        <v>51.4051581046584</v>
      </c>
      <c r="P1465">
        <v>-0.0477641345745105</v>
      </c>
      <c r="Q1465">
        <v>0.217843515061245</v>
      </c>
      <c r="R1465">
        <v>0.739199377004746</v>
      </c>
      <c r="S1465" t="s">
        <v>3133</v>
      </c>
      <c r="T1465" t="s">
        <v>3312</v>
      </c>
      <c r="U1465" t="s">
        <v>3312</v>
      </c>
      <c r="V1465" t="s">
        <v>3312</v>
      </c>
      <c r="W1465" t="s">
        <v>4774</v>
      </c>
      <c r="X1465">
        <v>2</v>
      </c>
      <c r="Y1465" t="s">
        <v>6416</v>
      </c>
      <c r="Z1465" t="s">
        <v>8058</v>
      </c>
      <c r="AA1465">
        <v>0.6435466732139445</v>
      </c>
      <c r="AB1465">
        <f>HYPERLINK("Melting_Curves/meltCurve_P75915_ycdY.pdf", "Melting_Curves/meltCurve_P75915_ycdY.pdf")</f>
        <v>0</v>
      </c>
    </row>
    <row r="1466" spans="1:28">
      <c r="A1466" t="s">
        <v>1492</v>
      </c>
      <c r="B1466">
        <v>0.999984544473304</v>
      </c>
      <c r="C1466">
        <v>0.819903030446447</v>
      </c>
      <c r="D1466">
        <v>0.917584816228302</v>
      </c>
      <c r="E1466">
        <v>0.8157558213981631</v>
      </c>
      <c r="F1466">
        <v>0.797882313725926</v>
      </c>
      <c r="G1466">
        <v>0.5103217108020141</v>
      </c>
      <c r="H1466">
        <v>0.266619533710127</v>
      </c>
      <c r="I1466">
        <v>0.0956787702498984</v>
      </c>
      <c r="J1466">
        <v>0.05061738747211</v>
      </c>
      <c r="K1466">
        <v>0</v>
      </c>
      <c r="L1466">
        <v>834.347432042656</v>
      </c>
      <c r="M1466">
        <v>15.5626648516971</v>
      </c>
      <c r="N1466">
        <v>53.6121185249566</v>
      </c>
      <c r="O1466">
        <v>52.7503015081764</v>
      </c>
      <c r="P1466">
        <v>-0.0737627195200295</v>
      </c>
      <c r="Q1466">
        <v>0</v>
      </c>
      <c r="R1466">
        <v>0.962885433974793</v>
      </c>
      <c r="S1466" t="s">
        <v>3134</v>
      </c>
      <c r="T1466" t="s">
        <v>3312</v>
      </c>
      <c r="U1466" t="s">
        <v>3312</v>
      </c>
      <c r="V1466" t="s">
        <v>3312</v>
      </c>
      <c r="W1466" t="s">
        <v>4775</v>
      </c>
      <c r="X1466">
        <v>2</v>
      </c>
      <c r="Y1466" t="s">
        <v>6417</v>
      </c>
      <c r="Z1466" t="s">
        <v>8059</v>
      </c>
      <c r="AA1466">
        <v>0.570097530038612</v>
      </c>
      <c r="AB1466">
        <f>HYPERLINK("Melting_Curves/meltCurve_P75931_yceM.pdf", "Melting_Curves/meltCurve_P75931_yceM.pdf")</f>
        <v>0</v>
      </c>
    </row>
    <row r="1467" spans="1:28">
      <c r="A1467" t="s">
        <v>1493</v>
      </c>
      <c r="B1467">
        <v>0.999984544473304</v>
      </c>
      <c r="C1467">
        <v>0.791159314798921</v>
      </c>
      <c r="D1467">
        <v>1.10444868067057</v>
      </c>
      <c r="E1467">
        <v>0.96543432748021</v>
      </c>
      <c r="F1467">
        <v>1.7652073544306</v>
      </c>
      <c r="G1467">
        <v>1.58955061956446</v>
      </c>
      <c r="H1467">
        <v>2.16042858956593</v>
      </c>
      <c r="I1467">
        <v>2.22272891864112</v>
      </c>
      <c r="J1467">
        <v>2.62010247694134</v>
      </c>
      <c r="K1467">
        <v>2.64110733407428</v>
      </c>
      <c r="L1467">
        <v>12035.7881298904</v>
      </c>
      <c r="M1467">
        <v>250</v>
      </c>
      <c r="O1467">
        <v>48.1400717935753</v>
      </c>
      <c r="P1467">
        <v>0.649147351632943</v>
      </c>
      <c r="Q1467">
        <v>1.5</v>
      </c>
      <c r="R1467">
        <v>0.178497722211857</v>
      </c>
      <c r="S1467" t="s">
        <v>3135</v>
      </c>
      <c r="T1467" t="s">
        <v>3312</v>
      </c>
      <c r="U1467" t="s">
        <v>3312</v>
      </c>
      <c r="V1467" t="s">
        <v>3312</v>
      </c>
      <c r="W1467" t="s">
        <v>4776</v>
      </c>
      <c r="X1467">
        <v>1</v>
      </c>
      <c r="Y1467" t="s">
        <v>6418</v>
      </c>
      <c r="Z1467" t="s">
        <v>8060</v>
      </c>
      <c r="AA1467">
        <v>1.314238546098942</v>
      </c>
      <c r="AB1467">
        <f>HYPERLINK("Melting_Curves/meltCurve_P75937_flgE.pdf", "Melting_Curves/meltCurve_P75937_flgE.pdf")</f>
        <v>0</v>
      </c>
    </row>
    <row r="1468" spans="1:28">
      <c r="A1468" t="s">
        <v>1494</v>
      </c>
      <c r="B1468">
        <v>0.999984544473304</v>
      </c>
      <c r="C1468">
        <v>1.01117030309252</v>
      </c>
      <c r="D1468">
        <v>0.751133818596197</v>
      </c>
      <c r="E1468">
        <v>0.822921212806786</v>
      </c>
      <c r="F1468">
        <v>0.984387154383406</v>
      </c>
      <c r="G1468">
        <v>0.763486459295204</v>
      </c>
      <c r="H1468">
        <v>0.527785785472117</v>
      </c>
      <c r="I1468">
        <v>0.514499655632367</v>
      </c>
      <c r="J1468">
        <v>0.373042039774268</v>
      </c>
      <c r="K1468">
        <v>0.399541397084264</v>
      </c>
      <c r="L1468">
        <v>406.937635037458</v>
      </c>
      <c r="M1468">
        <v>6.6476606538763</v>
      </c>
      <c r="N1468">
        <v>61.2151635050857</v>
      </c>
      <c r="O1468">
        <v>56.3875378825985</v>
      </c>
      <c r="P1468">
        <v>-0.0295390843486682</v>
      </c>
      <c r="Q1468">
        <v>0</v>
      </c>
      <c r="R1468">
        <v>0.842411315024945</v>
      </c>
      <c r="S1468" t="s">
        <v>3136</v>
      </c>
      <c r="T1468" t="s">
        <v>3312</v>
      </c>
      <c r="U1468" t="s">
        <v>3312</v>
      </c>
      <c r="V1468" t="s">
        <v>3312</v>
      </c>
      <c r="W1468" t="s">
        <v>4777</v>
      </c>
      <c r="X1468">
        <v>2</v>
      </c>
      <c r="Y1468" t="s">
        <v>6419</v>
      </c>
      <c r="Z1468" t="s">
        <v>8061</v>
      </c>
      <c r="AA1468">
        <v>0.7302223857126331</v>
      </c>
      <c r="AB1468">
        <f>HYPERLINK("Melting_Curves/meltCurve_P75952_comR.pdf", "Melting_Curves/meltCurve_P75952_comR.pdf")</f>
        <v>0</v>
      </c>
    </row>
    <row r="1469" spans="1:28">
      <c r="A1469" t="s">
        <v>1495</v>
      </c>
      <c r="B1469">
        <v>0.999984544473304</v>
      </c>
      <c r="C1469">
        <v>0.78815334014712</v>
      </c>
      <c r="D1469">
        <v>0.598042720392906</v>
      </c>
      <c r="E1469">
        <v>0.337109075903151</v>
      </c>
      <c r="F1469">
        <v>0.147139155625234</v>
      </c>
      <c r="G1469">
        <v>0.0847264496493576</v>
      </c>
      <c r="H1469">
        <v>0.07478737068239701</v>
      </c>
      <c r="I1469">
        <v>0.0532759877415046</v>
      </c>
      <c r="J1469">
        <v>0.0411663764942606</v>
      </c>
      <c r="K1469">
        <v>0.0589899536086446</v>
      </c>
      <c r="L1469">
        <v>671.220539659465</v>
      </c>
      <c r="M1469">
        <v>15.3053465997254</v>
      </c>
      <c r="N1469">
        <v>44.1048364943133</v>
      </c>
      <c r="O1469">
        <v>43.127085620735</v>
      </c>
      <c r="P1469">
        <v>-0.0850504595805557</v>
      </c>
      <c r="Q1469">
        <v>0.0414759085336093</v>
      </c>
      <c r="R1469">
        <v>0.995197894257656</v>
      </c>
      <c r="S1469" t="s">
        <v>3137</v>
      </c>
      <c r="T1469" t="s">
        <v>3312</v>
      </c>
      <c r="U1469" t="s">
        <v>3312</v>
      </c>
      <c r="V1469" t="s">
        <v>3312</v>
      </c>
      <c r="W1469" t="s">
        <v>4778</v>
      </c>
      <c r="X1469">
        <v>1</v>
      </c>
      <c r="Y1469" t="s">
        <v>6420</v>
      </c>
      <c r="Z1469" t="s">
        <v>8062</v>
      </c>
      <c r="AA1469">
        <v>0.2835077316394419</v>
      </c>
      <c r="AB1469">
        <f>HYPERLINK("Melting_Curves/meltCurve_P75959_nagK.pdf", "Melting_Curves/meltCurve_P75959_nagK.pdf")</f>
        <v>0</v>
      </c>
    </row>
    <row r="1470" spans="1:28">
      <c r="A1470" t="s">
        <v>1496</v>
      </c>
      <c r="B1470">
        <v>0.999984544473304</v>
      </c>
      <c r="C1470">
        <v>0.905900474795307</v>
      </c>
      <c r="D1470">
        <v>0.815978147439948</v>
      </c>
      <c r="E1470">
        <v>0.643529895255375</v>
      </c>
      <c r="F1470">
        <v>0.689315818788781</v>
      </c>
      <c r="G1470">
        <v>0.47420047975556</v>
      </c>
      <c r="H1470">
        <v>0.218657517173224</v>
      </c>
      <c r="I1470">
        <v>0.0979978256987433</v>
      </c>
      <c r="J1470">
        <v>0.06996397714220511</v>
      </c>
      <c r="K1470">
        <v>0.08028420092384379</v>
      </c>
      <c r="L1470">
        <v>515.195277481633</v>
      </c>
      <c r="M1470">
        <v>10.0179585864512</v>
      </c>
      <c r="N1470">
        <v>51.4271716808343</v>
      </c>
      <c r="O1470">
        <v>49.5039783496735</v>
      </c>
      <c r="P1470">
        <v>-0.050616123179487</v>
      </c>
      <c r="Q1470">
        <v>0</v>
      </c>
      <c r="R1470">
        <v>0.95898976935205</v>
      </c>
      <c r="S1470" t="s">
        <v>3138</v>
      </c>
      <c r="T1470" t="s">
        <v>3312</v>
      </c>
      <c r="U1470" t="s">
        <v>3312</v>
      </c>
      <c r="V1470" t="s">
        <v>3312</v>
      </c>
      <c r="W1470" t="s">
        <v>4779</v>
      </c>
      <c r="X1470">
        <v>3</v>
      </c>
      <c r="Y1470" t="s">
        <v>6421</v>
      </c>
      <c r="Z1470" t="s">
        <v>8063</v>
      </c>
      <c r="AA1470">
        <v>0.5097701214931425</v>
      </c>
      <c r="AB1470">
        <f>HYPERLINK("Melting_Curves/meltCurve_P75960_cobB.pdf", "Melting_Curves/meltCurve_P75960_cobB.pdf")</f>
        <v>0</v>
      </c>
    </row>
    <row r="1471" spans="1:28">
      <c r="A1471" t="s">
        <v>1497</v>
      </c>
      <c r="B1471">
        <v>0.999984544473304</v>
      </c>
      <c r="C1471">
        <v>0.905011311974721</v>
      </c>
      <c r="D1471">
        <v>0.839766387295705</v>
      </c>
      <c r="E1471">
        <v>0.475738181533661</v>
      </c>
      <c r="F1471">
        <v>0.228052390059125</v>
      </c>
      <c r="G1471">
        <v>0.156635003845535</v>
      </c>
      <c r="H1471">
        <v>0.221397058315972</v>
      </c>
      <c r="I1471">
        <v>0.0919757764154904</v>
      </c>
      <c r="J1471">
        <v>0.069751339514895</v>
      </c>
      <c r="K1471">
        <v>0.115821149671807</v>
      </c>
      <c r="L1471">
        <v>909.524360227235</v>
      </c>
      <c r="M1471">
        <v>19.8560316783538</v>
      </c>
      <c r="N1471">
        <v>46.4085314123465</v>
      </c>
      <c r="O1471">
        <v>45.3489312610188</v>
      </c>
      <c r="P1471">
        <v>-0.0970273689360244</v>
      </c>
      <c r="Q1471">
        <v>0.113631543062157</v>
      </c>
      <c r="R1471">
        <v>0.987409707369946</v>
      </c>
      <c r="S1471" t="s">
        <v>3139</v>
      </c>
      <c r="T1471" t="s">
        <v>3312</v>
      </c>
      <c r="U1471" t="s">
        <v>3312</v>
      </c>
      <c r="V1471" t="s">
        <v>3312</v>
      </c>
      <c r="W1471" t="s">
        <v>4780</v>
      </c>
      <c r="X1471">
        <v>1</v>
      </c>
      <c r="Y1471" t="s">
        <v>6422</v>
      </c>
      <c r="Z1471" t="s">
        <v>8064</v>
      </c>
      <c r="AA1471">
        <v>0.3855725276842769</v>
      </c>
      <c r="AB1471">
        <f>HYPERLINK("Melting_Curves/meltCurve_P75966_rluE.pdf", "Melting_Curves/meltCurve_P75966_rluE.pdf")</f>
        <v>0</v>
      </c>
    </row>
    <row r="1472" spans="1:28">
      <c r="A1472" t="s">
        <v>1498</v>
      </c>
      <c r="B1472">
        <v>0.999984544473304</v>
      </c>
      <c r="C1472">
        <v>0.902984438759412</v>
      </c>
      <c r="D1472">
        <v>1.16959873493541</v>
      </c>
      <c r="E1472">
        <v>0.889525167251184</v>
      </c>
      <c r="F1472">
        <v>0.884287555308248</v>
      </c>
      <c r="G1472">
        <v>0.722380549874776</v>
      </c>
      <c r="H1472">
        <v>0.539755967263397</v>
      </c>
      <c r="I1472">
        <v>0.238242342833372</v>
      </c>
      <c r="J1472">
        <v>0.097725617876131</v>
      </c>
      <c r="K1472">
        <v>0.0713070903653189</v>
      </c>
      <c r="L1472">
        <v>960.967245437635</v>
      </c>
      <c r="M1472">
        <v>16.8233965472275</v>
      </c>
      <c r="N1472">
        <v>57.1208817933356</v>
      </c>
      <c r="O1472">
        <v>56.3321218026655</v>
      </c>
      <c r="P1472">
        <v>-0.0746664732212257</v>
      </c>
      <c r="Q1472">
        <v>0</v>
      </c>
      <c r="R1472">
        <v>0.961469438584531</v>
      </c>
      <c r="S1472" t="s">
        <v>3140</v>
      </c>
      <c r="T1472" t="s">
        <v>3312</v>
      </c>
      <c r="U1472" t="s">
        <v>3312</v>
      </c>
      <c r="V1472" t="s">
        <v>3312</v>
      </c>
      <c r="W1472" t="s">
        <v>4781</v>
      </c>
      <c r="X1472">
        <v>5</v>
      </c>
      <c r="Y1472" t="s">
        <v>6423</v>
      </c>
      <c r="Z1472" t="s">
        <v>8065</v>
      </c>
      <c r="AA1472">
        <v>0.6792212811811478</v>
      </c>
      <c r="AB1472">
        <f>HYPERLINK("Melting_Curves/meltCurve_P75974_cohE.pdf", "Melting_Curves/meltCurve_P75974_cohE.pdf")</f>
        <v>0</v>
      </c>
    </row>
    <row r="1473" spans="1:28">
      <c r="A1473" t="s">
        <v>1499</v>
      </c>
      <c r="B1473">
        <v>0.999984544473304</v>
      </c>
      <c r="C1473">
        <v>1.15882414896394</v>
      </c>
      <c r="D1473">
        <v>0.872806659187422</v>
      </c>
      <c r="E1473">
        <v>1.06702033389904</v>
      </c>
      <c r="F1473">
        <v>1.25718277100944</v>
      </c>
      <c r="G1473">
        <v>0.948174999901135</v>
      </c>
      <c r="H1473">
        <v>0.869251418286649</v>
      </c>
      <c r="I1473">
        <v>0.895664627969315</v>
      </c>
      <c r="J1473">
        <v>0.651414716972874</v>
      </c>
      <c r="K1473">
        <v>0.843678302408844</v>
      </c>
      <c r="L1473">
        <v>1739.16584381922</v>
      </c>
      <c r="M1473">
        <v>30.0873182679742</v>
      </c>
      <c r="O1473">
        <v>57.5503851716663</v>
      </c>
      <c r="P1473">
        <v>-0.0298585696197016</v>
      </c>
      <c r="Q1473">
        <v>0.771550062421089</v>
      </c>
      <c r="R1473">
        <v>0.465287421754313</v>
      </c>
      <c r="S1473" t="s">
        <v>3141</v>
      </c>
      <c r="T1473" t="s">
        <v>3312</v>
      </c>
      <c r="U1473" t="s">
        <v>3312</v>
      </c>
      <c r="V1473" t="s">
        <v>3312</v>
      </c>
      <c r="W1473" t="s">
        <v>4782</v>
      </c>
      <c r="X1473">
        <v>2</v>
      </c>
      <c r="Y1473" t="s">
        <v>6424</v>
      </c>
      <c r="Z1473" t="s">
        <v>8066</v>
      </c>
      <c r="AA1473">
        <v>0.9312557801570379</v>
      </c>
      <c r="AB1473">
        <f>HYPERLINK("Melting_Curves/meltCurve_P76001_ycgJ.pdf", "Melting_Curves/meltCurve_P76001_ycgJ.pdf")</f>
        <v>0</v>
      </c>
    </row>
    <row r="1474" spans="1:28">
      <c r="A1474" t="s">
        <v>1500</v>
      </c>
      <c r="B1474">
        <v>0.999984544473304</v>
      </c>
      <c r="C1474">
        <v>1.00451758378571</v>
      </c>
      <c r="D1474">
        <v>0.932098047596528</v>
      </c>
      <c r="E1474">
        <v>1.00036283684643</v>
      </c>
      <c r="F1474">
        <v>1.14168831875902</v>
      </c>
      <c r="G1474">
        <v>0.85497411959277</v>
      </c>
      <c r="H1474">
        <v>0.9669074444704689</v>
      </c>
      <c r="I1474">
        <v>0.843396464950807</v>
      </c>
      <c r="J1474">
        <v>0.831707539844547</v>
      </c>
      <c r="K1474">
        <v>0.55820180754326</v>
      </c>
      <c r="L1474">
        <v>1130.07062359028</v>
      </c>
      <c r="M1474">
        <v>16.4888383706295</v>
      </c>
      <c r="Q1474">
        <v>0</v>
      </c>
      <c r="R1474">
        <v>0.7642376571630231</v>
      </c>
      <c r="S1474" t="s">
        <v>3142</v>
      </c>
      <c r="T1474" t="s">
        <v>3312</v>
      </c>
      <c r="U1474" t="s">
        <v>3312</v>
      </c>
      <c r="V1474" t="s">
        <v>3312</v>
      </c>
      <c r="W1474" t="s">
        <v>4783</v>
      </c>
      <c r="X1474">
        <v>5</v>
      </c>
      <c r="Y1474" t="s">
        <v>6425</v>
      </c>
      <c r="Z1474" t="s">
        <v>8067</v>
      </c>
      <c r="AA1474">
        <v>0.9387773314227723</v>
      </c>
      <c r="AB1474">
        <f>HYPERLINK("Melting_Curves/meltCurve_P76002_pliG.pdf", "Melting_Curves/meltCurve_P76002_pliG.pdf")</f>
        <v>0</v>
      </c>
    </row>
    <row r="1475" spans="1:28">
      <c r="A1475" t="s">
        <v>1501</v>
      </c>
      <c r="B1475">
        <v>0.999984544473304</v>
      </c>
      <c r="C1475">
        <v>0.911262208001304</v>
      </c>
      <c r="D1475">
        <v>1.02467528330801</v>
      </c>
      <c r="E1475">
        <v>1.04752312907063</v>
      </c>
      <c r="F1475">
        <v>0.94463047400801</v>
      </c>
      <c r="G1475">
        <v>0.697722642019006</v>
      </c>
      <c r="H1475">
        <v>0.378437092420376</v>
      </c>
      <c r="I1475">
        <v>0.164568143946434</v>
      </c>
      <c r="J1475">
        <v>0.07460648151191419</v>
      </c>
      <c r="K1475">
        <v>0.0611472503129557</v>
      </c>
      <c r="L1475">
        <v>1294.98050653937</v>
      </c>
      <c r="M1475">
        <v>23.2074311242527</v>
      </c>
      <c r="N1475">
        <v>56.0018542780697</v>
      </c>
      <c r="O1475">
        <v>55.3908889201047</v>
      </c>
      <c r="P1475">
        <v>-0.100547895851679</v>
      </c>
      <c r="Q1475">
        <v>0.0400770068546707</v>
      </c>
      <c r="R1475">
        <v>0.992005698640776</v>
      </c>
      <c r="S1475" t="s">
        <v>3143</v>
      </c>
      <c r="T1475" t="s">
        <v>3312</v>
      </c>
      <c r="U1475" t="s">
        <v>3312</v>
      </c>
      <c r="V1475" t="s">
        <v>3312</v>
      </c>
      <c r="W1475" t="s">
        <v>4784</v>
      </c>
      <c r="X1475">
        <v>3</v>
      </c>
      <c r="Y1475" t="s">
        <v>6426</v>
      </c>
      <c r="Z1475" t="s">
        <v>8068</v>
      </c>
      <c r="AA1475">
        <v>0.6502895179362589</v>
      </c>
      <c r="AB1475">
        <f>HYPERLINK("Melting_Curves/meltCurve_P76004_ycgM.pdf", "Melting_Curves/meltCurve_P76004_ycgM.pdf")</f>
        <v>0</v>
      </c>
    </row>
    <row r="1476" spans="1:28">
      <c r="A1476" t="s">
        <v>1502</v>
      </c>
      <c r="B1476">
        <v>0.999984544473304</v>
      </c>
      <c r="C1476">
        <v>1.0816427116176</v>
      </c>
      <c r="D1476">
        <v>0.71998910661624</v>
      </c>
      <c r="E1476">
        <v>1.03865217534044</v>
      </c>
      <c r="F1476">
        <v>1.02769433786617</v>
      </c>
      <c r="G1476">
        <v>0.774588018257805</v>
      </c>
      <c r="H1476">
        <v>0.859664892786836</v>
      </c>
      <c r="I1476">
        <v>0.463979084823351</v>
      </c>
      <c r="J1476">
        <v>0.104500620491797</v>
      </c>
      <c r="K1476">
        <v>0.118964206244288</v>
      </c>
      <c r="L1476">
        <v>1584.38301479102</v>
      </c>
      <c r="M1476">
        <v>26.213049581617</v>
      </c>
      <c r="N1476">
        <v>60.4425349567744</v>
      </c>
      <c r="O1476">
        <v>60.0940472572947</v>
      </c>
      <c r="P1476">
        <v>-0.109051323740097</v>
      </c>
      <c r="Q1476">
        <v>0</v>
      </c>
      <c r="R1476">
        <v>0.8902949625914089</v>
      </c>
      <c r="S1476" t="s">
        <v>3144</v>
      </c>
      <c r="T1476" t="s">
        <v>3312</v>
      </c>
      <c r="U1476" t="s">
        <v>3312</v>
      </c>
      <c r="V1476" t="s">
        <v>3312</v>
      </c>
      <c r="W1476" t="s">
        <v>4785</v>
      </c>
      <c r="X1476">
        <v>2</v>
      </c>
      <c r="Y1476" t="s">
        <v>6427</v>
      </c>
      <c r="Z1476" t="s">
        <v>8069</v>
      </c>
      <c r="AA1476">
        <v>0.7835759679751437</v>
      </c>
      <c r="AB1476">
        <f>HYPERLINK("Melting_Curves/meltCurve_P76008_ldcA.pdf", "Melting_Curves/meltCurve_P76008_ldcA.pdf")</f>
        <v>0</v>
      </c>
    </row>
    <row r="1477" spans="1:28">
      <c r="A1477" t="s">
        <v>1503</v>
      </c>
      <c r="B1477">
        <v>0.999984544473304</v>
      </c>
      <c r="C1477">
        <v>0.97719632814261</v>
      </c>
      <c r="D1477">
        <v>0.6492135934401571</v>
      </c>
      <c r="E1477">
        <v>0.714288852150873</v>
      </c>
      <c r="F1477">
        <v>0.548768882818964</v>
      </c>
      <c r="G1477">
        <v>0.355606476466441</v>
      </c>
      <c r="H1477">
        <v>0.269499154216418</v>
      </c>
      <c r="I1477">
        <v>0.238251087919285</v>
      </c>
      <c r="J1477">
        <v>0.180058365556257</v>
      </c>
      <c r="K1477">
        <v>0.197752752997354</v>
      </c>
      <c r="L1477">
        <v>444.134451335954</v>
      </c>
      <c r="M1477">
        <v>9.055296980238101</v>
      </c>
      <c r="N1477">
        <v>50.3138941424968</v>
      </c>
      <c r="O1477">
        <v>46.8322996064162</v>
      </c>
      <c r="P1477">
        <v>-0.043441714540866</v>
      </c>
      <c r="Q1477">
        <v>0.10194760169659</v>
      </c>
      <c r="R1477">
        <v>0.955618773366587</v>
      </c>
      <c r="S1477" t="s">
        <v>3145</v>
      </c>
      <c r="T1477" t="s">
        <v>3312</v>
      </c>
      <c r="U1477" t="s">
        <v>3312</v>
      </c>
      <c r="V1477" t="s">
        <v>3312</v>
      </c>
      <c r="W1477" t="s">
        <v>4786</v>
      </c>
      <c r="X1477">
        <v>3</v>
      </c>
      <c r="Y1477" t="s">
        <v>6428</v>
      </c>
      <c r="Z1477" t="s">
        <v>8070</v>
      </c>
      <c r="AA1477">
        <v>0.4994583676078586</v>
      </c>
      <c r="AB1477">
        <f>HYPERLINK("Melting_Curves/meltCurve_P76014_dhaL.pdf", "Melting_Curves/meltCurve_P76014_dhaL.pdf")</f>
        <v>0</v>
      </c>
    </row>
    <row r="1478" spans="1:28">
      <c r="A1478" t="s">
        <v>1504</v>
      </c>
      <c r="B1478">
        <v>0.999984544473304</v>
      </c>
      <c r="C1478">
        <v>0.889816700386463</v>
      </c>
      <c r="D1478">
        <v>1.08060165474825</v>
      </c>
      <c r="E1478">
        <v>0.928929320177125</v>
      </c>
      <c r="F1478">
        <v>0.775521040149205</v>
      </c>
      <c r="G1478">
        <v>0.256038884095807</v>
      </c>
      <c r="H1478">
        <v>0.049330242249257</v>
      </c>
      <c r="I1478">
        <v>0.0281126667681267</v>
      </c>
      <c r="J1478">
        <v>0.017467914951276</v>
      </c>
      <c r="K1478">
        <v>0.0188675031849211</v>
      </c>
      <c r="L1478">
        <v>1707.62870563681</v>
      </c>
      <c r="M1478">
        <v>32.8529245286168</v>
      </c>
      <c r="N1478">
        <v>52.0269042770304</v>
      </c>
      <c r="O1478">
        <v>51.7865299827756</v>
      </c>
      <c r="P1478">
        <v>-0.156186018876014</v>
      </c>
      <c r="Q1478">
        <v>0.0152115438989418</v>
      </c>
      <c r="R1478">
        <v>0.988996026975289</v>
      </c>
      <c r="S1478" t="s">
        <v>3146</v>
      </c>
      <c r="T1478" t="s">
        <v>3312</v>
      </c>
      <c r="U1478" t="s">
        <v>3312</v>
      </c>
      <c r="V1478" t="s">
        <v>3312</v>
      </c>
      <c r="W1478" t="s">
        <v>4787</v>
      </c>
      <c r="X1478">
        <v>6</v>
      </c>
      <c r="Y1478" t="s">
        <v>6429</v>
      </c>
      <c r="Z1478" t="s">
        <v>8071</v>
      </c>
      <c r="AA1478">
        <v>0.5120930214871733</v>
      </c>
      <c r="AB1478">
        <f>HYPERLINK("Melting_Curves/meltCurve_P76015_dhaK.pdf", "Melting_Curves/meltCurve_P76015_dhaK.pdf")</f>
        <v>0</v>
      </c>
    </row>
    <row r="1479" spans="1:28">
      <c r="A1479" t="s">
        <v>1505</v>
      </c>
      <c r="B1479">
        <v>0.999984544473304</v>
      </c>
      <c r="C1479">
        <v>0.770822213029189</v>
      </c>
      <c r="D1479">
        <v>0.441342242000191</v>
      </c>
      <c r="E1479">
        <v>0.302890968154014</v>
      </c>
      <c r="F1479">
        <v>0.204794564391956</v>
      </c>
      <c r="G1479">
        <v>0.16699883914899</v>
      </c>
      <c r="H1479">
        <v>0.13980994795623</v>
      </c>
      <c r="I1479">
        <v>0.115163667181335</v>
      </c>
      <c r="J1479">
        <v>0.0907883445089599</v>
      </c>
      <c r="K1479">
        <v>0.121432192688983</v>
      </c>
      <c r="L1479">
        <v>769.7445107311599</v>
      </c>
      <c r="M1479">
        <v>18.2571376737602</v>
      </c>
      <c r="N1479">
        <v>42.8654803348003</v>
      </c>
      <c r="O1479">
        <v>41.6652365443565</v>
      </c>
      <c r="P1479">
        <v>-0.09535781715914141</v>
      </c>
      <c r="Q1479">
        <v>0.129563387382</v>
      </c>
      <c r="R1479">
        <v>0.986970630984832</v>
      </c>
      <c r="S1479" t="s">
        <v>3147</v>
      </c>
      <c r="T1479" t="s">
        <v>3312</v>
      </c>
      <c r="U1479" t="s">
        <v>3312</v>
      </c>
      <c r="V1479" t="s">
        <v>3312</v>
      </c>
      <c r="W1479" t="s">
        <v>4788</v>
      </c>
      <c r="X1479">
        <v>4</v>
      </c>
      <c r="Y1479" t="s">
        <v>6430</v>
      </c>
      <c r="Z1479" t="s">
        <v>8072</v>
      </c>
      <c r="AA1479">
        <v>0.2952628728963436</v>
      </c>
      <c r="AB1479">
        <f>HYPERLINK("Melting_Curves/meltCurve_P76027_oppD.pdf", "Melting_Curves/meltCurve_P76027_oppD.pdf")</f>
        <v>0</v>
      </c>
    </row>
    <row r="1480" spans="1:28">
      <c r="A1480" t="s">
        <v>1506</v>
      </c>
      <c r="B1480">
        <v>0.999984544473304</v>
      </c>
      <c r="C1480">
        <v>0.9165080724397709</v>
      </c>
      <c r="D1480">
        <v>1.05372540318461</v>
      </c>
      <c r="E1480">
        <v>0.6660356775958099</v>
      </c>
      <c r="F1480">
        <v>0.472560872610115</v>
      </c>
      <c r="G1480">
        <v>0.107016709114422</v>
      </c>
      <c r="H1480">
        <v>0.0760053124960076</v>
      </c>
      <c r="I1480">
        <v>0.0625473725865081</v>
      </c>
      <c r="J1480">
        <v>0.0378541961028338</v>
      </c>
      <c r="K1480">
        <v>0.0260003250575222</v>
      </c>
      <c r="L1480">
        <v>983.802495616157</v>
      </c>
      <c r="M1480">
        <v>20.0666063638238</v>
      </c>
      <c r="N1480">
        <v>49.1519960469051</v>
      </c>
      <c r="O1480">
        <v>48.5477609889095</v>
      </c>
      <c r="P1480">
        <v>-0.100763869655095</v>
      </c>
      <c r="Q1480">
        <v>0.0249071100253331</v>
      </c>
      <c r="R1480">
        <v>0.980567188397377</v>
      </c>
      <c r="S1480" t="s">
        <v>3148</v>
      </c>
      <c r="T1480" t="s">
        <v>3312</v>
      </c>
      <c r="U1480" t="s">
        <v>3312</v>
      </c>
      <c r="V1480" t="s">
        <v>3312</v>
      </c>
      <c r="W1480" t="s">
        <v>4789</v>
      </c>
      <c r="X1480">
        <v>5</v>
      </c>
      <c r="Y1480" t="s">
        <v>6431</v>
      </c>
      <c r="Z1480" t="s">
        <v>8073</v>
      </c>
      <c r="AA1480">
        <v>0.4285863393314842</v>
      </c>
      <c r="AB1480">
        <f>HYPERLINK("Melting_Curves/meltCurve_P76046_ycjX.pdf", "Melting_Curves/meltCurve_P76046_ycjX.pdf")</f>
        <v>0</v>
      </c>
    </row>
    <row r="1481" spans="1:28">
      <c r="A1481" t="s">
        <v>1507</v>
      </c>
      <c r="B1481">
        <v>0.999984544473304</v>
      </c>
      <c r="C1481">
        <v>0.972388668867314</v>
      </c>
      <c r="D1481">
        <v>0.9314147654459251</v>
      </c>
      <c r="E1481">
        <v>0.856256602229738</v>
      </c>
      <c r="F1481">
        <v>0.954823440084135</v>
      </c>
      <c r="G1481">
        <v>0.8128186961864881</v>
      </c>
      <c r="H1481">
        <v>0.76695419460462</v>
      </c>
      <c r="I1481">
        <v>0.70885292712339</v>
      </c>
      <c r="J1481">
        <v>0.661231421589547</v>
      </c>
      <c r="K1481">
        <v>0.41156741100836</v>
      </c>
      <c r="L1481">
        <v>439.358324873914</v>
      </c>
      <c r="M1481">
        <v>6.51243184435171</v>
      </c>
      <c r="O1481">
        <v>61.950012323299</v>
      </c>
      <c r="P1481">
        <v>-0.0263443862579925</v>
      </c>
      <c r="Q1481">
        <v>0</v>
      </c>
      <c r="R1481">
        <v>0.891350521218354</v>
      </c>
      <c r="S1481" t="s">
        <v>3149</v>
      </c>
      <c r="T1481" t="s">
        <v>3312</v>
      </c>
      <c r="U1481" t="s">
        <v>3312</v>
      </c>
      <c r="V1481" t="s">
        <v>3312</v>
      </c>
      <c r="W1481" t="s">
        <v>4790</v>
      </c>
      <c r="X1481">
        <v>3</v>
      </c>
      <c r="Y1481" t="s">
        <v>6432</v>
      </c>
      <c r="Z1481" t="s">
        <v>8074</v>
      </c>
      <c r="AA1481">
        <v>0.8283301956652923</v>
      </c>
      <c r="AB1481">
        <f>HYPERLINK("Melting_Curves/meltCurve_P76049_ycjY.pdf", "Melting_Curves/meltCurve_P76049_ycjY.pdf")</f>
        <v>0</v>
      </c>
    </row>
    <row r="1482" spans="1:28">
      <c r="A1482" t="s">
        <v>1508</v>
      </c>
      <c r="B1482">
        <v>0.999984544473304</v>
      </c>
      <c r="C1482">
        <v>0.921474213051665</v>
      </c>
      <c r="D1482">
        <v>0.988400259709211</v>
      </c>
      <c r="E1482">
        <v>0.806019460376209</v>
      </c>
      <c r="F1482">
        <v>0.96100485694132</v>
      </c>
      <c r="G1482">
        <v>0.546976633509508</v>
      </c>
      <c r="H1482">
        <v>0.196048368717867</v>
      </c>
      <c r="I1482">
        <v>0.134216218704584</v>
      </c>
      <c r="J1482">
        <v>0.0688584269332343</v>
      </c>
      <c r="K1482">
        <v>0.0636544357196983</v>
      </c>
      <c r="L1482">
        <v>1654.93691117968</v>
      </c>
      <c r="M1482">
        <v>30.674869287121</v>
      </c>
      <c r="N1482">
        <v>54.2367678844042</v>
      </c>
      <c r="O1482">
        <v>53.7231695307538</v>
      </c>
      <c r="P1482">
        <v>-0.132090685065258</v>
      </c>
      <c r="Q1482">
        <v>0.0746447587470223</v>
      </c>
      <c r="R1482">
        <v>0.970673132555874</v>
      </c>
      <c r="S1482" t="s">
        <v>3150</v>
      </c>
      <c r="T1482" t="s">
        <v>3312</v>
      </c>
      <c r="U1482" t="s">
        <v>3312</v>
      </c>
      <c r="V1482" t="s">
        <v>3312</v>
      </c>
      <c r="W1482" t="s">
        <v>4791</v>
      </c>
      <c r="X1482">
        <v>3</v>
      </c>
      <c r="Y1482" t="s">
        <v>6433</v>
      </c>
      <c r="Z1482" t="s">
        <v>8075</v>
      </c>
      <c r="AA1482">
        <v>0.6031729030186663</v>
      </c>
      <c r="AB1482">
        <f>HYPERLINK("Melting_Curves/meltCurve_P76055_ttcA.pdf", "Melting_Curves/meltCurve_P76055_ttcA.pdf")</f>
        <v>0</v>
      </c>
    </row>
    <row r="1483" spans="1:28">
      <c r="A1483" t="s">
        <v>1509</v>
      </c>
      <c r="B1483">
        <v>0.999984544473304</v>
      </c>
      <c r="C1483">
        <v>1.30614599520975</v>
      </c>
      <c r="D1483">
        <v>0.737017781407191</v>
      </c>
      <c r="E1483">
        <v>0.966310205552017</v>
      </c>
      <c r="F1483">
        <v>0.989253663427061</v>
      </c>
      <c r="G1483">
        <v>0.714232916807829</v>
      </c>
      <c r="H1483">
        <v>0.624853235897838</v>
      </c>
      <c r="I1483">
        <v>0.474215412456963</v>
      </c>
      <c r="J1483">
        <v>0.363135942179064</v>
      </c>
      <c r="K1483">
        <v>0.400293149421257</v>
      </c>
      <c r="L1483">
        <v>946.87905654681</v>
      </c>
      <c r="M1483">
        <v>16.9584421829447</v>
      </c>
      <c r="N1483">
        <v>59.81753350181</v>
      </c>
      <c r="O1483">
        <v>55.076199807109</v>
      </c>
      <c r="P1483">
        <v>-0.0509374547470623</v>
      </c>
      <c r="Q1483">
        <v>0.338319811154947</v>
      </c>
      <c r="R1483">
        <v>0.793344709578791</v>
      </c>
      <c r="S1483" t="s">
        <v>3151</v>
      </c>
      <c r="T1483" t="s">
        <v>3312</v>
      </c>
      <c r="U1483" t="s">
        <v>3312</v>
      </c>
      <c r="V1483" t="s">
        <v>3312</v>
      </c>
      <c r="W1483" t="s">
        <v>4792</v>
      </c>
      <c r="X1483">
        <v>1</v>
      </c>
      <c r="Y1483" t="s">
        <v>6434</v>
      </c>
      <c r="Z1483" t="s">
        <v>8076</v>
      </c>
      <c r="AA1483">
        <v>0.7614592342694059</v>
      </c>
      <c r="AB1483">
        <f>HYPERLINK("Melting_Curves/meltCurve_P76062_racR.pdf", "Melting_Curves/meltCurve_P76062_racR.pdf")</f>
        <v>0</v>
      </c>
    </row>
    <row r="1484" spans="1:28">
      <c r="A1484" t="s">
        <v>1510</v>
      </c>
      <c r="B1484">
        <v>0.999984544473304</v>
      </c>
      <c r="C1484">
        <v>0.749750581431302</v>
      </c>
      <c r="D1484">
        <v>0.606751351360901</v>
      </c>
      <c r="E1484">
        <v>0.31481115590684</v>
      </c>
      <c r="F1484">
        <v>0.375149190885823</v>
      </c>
      <c r="G1484">
        <v>0.126502912986592</v>
      </c>
      <c r="H1484">
        <v>0.08878652732662901</v>
      </c>
      <c r="I1484">
        <v>0.0471190428970221</v>
      </c>
      <c r="J1484">
        <v>0</v>
      </c>
      <c r="K1484">
        <v>0.0856418547026384</v>
      </c>
      <c r="L1484">
        <v>489.745130506966</v>
      </c>
      <c r="M1484">
        <v>10.9743395796291</v>
      </c>
      <c r="N1484">
        <v>44.7726538494511</v>
      </c>
      <c r="O1484">
        <v>43.2213737914029</v>
      </c>
      <c r="P1484">
        <v>-0.0623810401058171</v>
      </c>
      <c r="Q1484">
        <v>0.0176077041773437</v>
      </c>
      <c r="R1484">
        <v>0.96183196493972</v>
      </c>
      <c r="S1484" t="s">
        <v>3152</v>
      </c>
      <c r="T1484" t="s">
        <v>3312</v>
      </c>
      <c r="U1484" t="s">
        <v>3312</v>
      </c>
      <c r="V1484" t="s">
        <v>3312</v>
      </c>
      <c r="W1484" t="s">
        <v>4793</v>
      </c>
      <c r="X1484">
        <v>1</v>
      </c>
      <c r="Y1484" t="s">
        <v>6435</v>
      </c>
      <c r="Z1484" t="s">
        <v>8077</v>
      </c>
      <c r="AA1484">
        <v>0.3101493247852319</v>
      </c>
      <c r="AB1484">
        <f>HYPERLINK("Melting_Curves/meltCurve_P76086_paaX.pdf", "Melting_Curves/meltCurve_P76086_paaX.pdf")</f>
        <v>0</v>
      </c>
    </row>
    <row r="1485" spans="1:28">
      <c r="A1485" t="s">
        <v>1511</v>
      </c>
      <c r="B1485">
        <v>0.999984544473304</v>
      </c>
      <c r="C1485">
        <v>0.768566004706793</v>
      </c>
      <c r="D1485">
        <v>0.28739454437865</v>
      </c>
      <c r="E1485">
        <v>0.109967573455309</v>
      </c>
      <c r="F1485">
        <v>0.0705389144633316</v>
      </c>
      <c r="G1485">
        <v>0.0519009245353537</v>
      </c>
      <c r="H1485">
        <v>0.039655900472857</v>
      </c>
      <c r="I1485">
        <v>0.0285925238172786</v>
      </c>
      <c r="J1485">
        <v>0.0236996405662041</v>
      </c>
      <c r="K1485">
        <v>0.0249590534862449</v>
      </c>
      <c r="L1485">
        <v>1199.2869761833</v>
      </c>
      <c r="M1485">
        <v>28.9060903897875</v>
      </c>
      <c r="N1485">
        <v>41.615829374088</v>
      </c>
      <c r="O1485">
        <v>41.2920311966136</v>
      </c>
      <c r="P1485">
        <v>-0.167637792786459</v>
      </c>
      <c r="Q1485">
        <v>0.0421323183709803</v>
      </c>
      <c r="R1485">
        <v>0.997216681883595</v>
      </c>
      <c r="S1485" t="s">
        <v>3153</v>
      </c>
      <c r="T1485" t="s">
        <v>3312</v>
      </c>
      <c r="U1485" t="s">
        <v>3312</v>
      </c>
      <c r="V1485" t="s">
        <v>3312</v>
      </c>
      <c r="W1485" t="s">
        <v>4794</v>
      </c>
      <c r="X1485">
        <v>10</v>
      </c>
      <c r="Y1485" t="s">
        <v>6436</v>
      </c>
      <c r="Z1485" t="s">
        <v>8078</v>
      </c>
      <c r="AA1485">
        <v>0.1917823107461367</v>
      </c>
      <c r="AB1485">
        <f>HYPERLINK("Melting_Curves/meltCurve_P76097_ydcJ.pdf", "Melting_Curves/meltCurve_P76097_ydcJ.pdf")</f>
        <v>0</v>
      </c>
    </row>
    <row r="1486" spans="1:28">
      <c r="A1486" t="s">
        <v>1512</v>
      </c>
      <c r="B1486">
        <v>0.999984544473304</v>
      </c>
      <c r="C1486">
        <v>1.03233063085512</v>
      </c>
      <c r="D1486">
        <v>1.01956949927213</v>
      </c>
      <c r="E1486">
        <v>0.9022395611830319</v>
      </c>
      <c r="F1486">
        <v>0.910779836324401</v>
      </c>
      <c r="G1486">
        <v>0.553966237975936</v>
      </c>
      <c r="H1486">
        <v>0.207540647070441</v>
      </c>
      <c r="I1486">
        <v>0.0521359520835292</v>
      </c>
      <c r="J1486">
        <v>0.031079639342722</v>
      </c>
      <c r="K1486">
        <v>0.0401351996321552</v>
      </c>
      <c r="L1486">
        <v>1421.36141559397</v>
      </c>
      <c r="M1486">
        <v>26.2239672921666</v>
      </c>
      <c r="N1486">
        <v>54.2769450123274</v>
      </c>
      <c r="O1486">
        <v>53.8886209244341</v>
      </c>
      <c r="P1486">
        <v>-0.119464291545748</v>
      </c>
      <c r="Q1486">
        <v>0.0180442728087938</v>
      </c>
      <c r="R1486">
        <v>0.99472466191441</v>
      </c>
      <c r="S1486" t="s">
        <v>3154</v>
      </c>
      <c r="T1486" t="s">
        <v>3312</v>
      </c>
      <c r="U1486" t="s">
        <v>3312</v>
      </c>
      <c r="V1486" t="s">
        <v>3312</v>
      </c>
      <c r="W1486" t="s">
        <v>4795</v>
      </c>
      <c r="X1486">
        <v>2</v>
      </c>
      <c r="Y1486" t="s">
        <v>6437</v>
      </c>
      <c r="Z1486" t="s">
        <v>8079</v>
      </c>
      <c r="AA1486">
        <v>0.5889623951576156</v>
      </c>
      <c r="AB1486">
        <f>HYPERLINK("Melting_Curves/meltCurve_P76100_ydcK.pdf", "Melting_Curves/meltCurve_P76100_ydcK.pdf")</f>
        <v>0</v>
      </c>
    </row>
    <row r="1487" spans="1:28">
      <c r="A1487" t="s">
        <v>1513</v>
      </c>
      <c r="B1487">
        <v>0.999984544473304</v>
      </c>
      <c r="C1487">
        <v>0.975095049879159</v>
      </c>
      <c r="D1487">
        <v>0.961825365417273</v>
      </c>
      <c r="E1487">
        <v>0.983631673322934</v>
      </c>
      <c r="F1487">
        <v>1.10472079736713</v>
      </c>
      <c r="G1487">
        <v>0.98970464629493</v>
      </c>
      <c r="H1487">
        <v>0.985841717454094</v>
      </c>
      <c r="I1487">
        <v>0.667651153037186</v>
      </c>
      <c r="J1487">
        <v>0.328468049888722</v>
      </c>
      <c r="K1487">
        <v>0.135438960074324</v>
      </c>
      <c r="L1487">
        <v>2194.26784911926</v>
      </c>
      <c r="M1487">
        <v>35.3082957429493</v>
      </c>
      <c r="N1487">
        <v>62.4433711926915</v>
      </c>
      <c r="O1487">
        <v>61.9476181628472</v>
      </c>
      <c r="P1487">
        <v>-0.13146472700905</v>
      </c>
      <c r="Q1487">
        <v>0.0773953772661593</v>
      </c>
      <c r="R1487">
        <v>0.984407633484753</v>
      </c>
      <c r="S1487" t="s">
        <v>3155</v>
      </c>
      <c r="T1487" t="s">
        <v>3312</v>
      </c>
      <c r="U1487" t="s">
        <v>3312</v>
      </c>
      <c r="V1487" t="s">
        <v>3312</v>
      </c>
      <c r="W1487" t="s">
        <v>4796</v>
      </c>
      <c r="X1487">
        <v>14</v>
      </c>
      <c r="Y1487" t="s">
        <v>6438</v>
      </c>
      <c r="Z1487" t="s">
        <v>8080</v>
      </c>
      <c r="AA1487">
        <v>0.8508054653018423</v>
      </c>
      <c r="AB1487">
        <f>HYPERLINK("Melting_Curves/meltCurve_P76108_ydcS.pdf", "Melting_Curves/meltCurve_P76108_ydcS.pdf")</f>
        <v>0</v>
      </c>
    </row>
    <row r="1488" spans="1:28">
      <c r="A1488" t="s">
        <v>1514</v>
      </c>
      <c r="B1488">
        <v>0.999984544473304</v>
      </c>
      <c r="C1488">
        <v>1.03888262848676</v>
      </c>
      <c r="D1488">
        <v>1.00524799461129</v>
      </c>
      <c r="E1488">
        <v>0.964813850489428</v>
      </c>
      <c r="F1488">
        <v>1.01867766481982</v>
      </c>
      <c r="G1488">
        <v>0.917810735760005</v>
      </c>
      <c r="H1488">
        <v>0.446584889898436</v>
      </c>
      <c r="I1488">
        <v>0.03868862884255</v>
      </c>
      <c r="J1488">
        <v>0.0236327854384877</v>
      </c>
      <c r="K1488">
        <v>0.020765021581657</v>
      </c>
      <c r="L1488">
        <v>2512.14253107021</v>
      </c>
      <c r="M1488">
        <v>44.0348177482727</v>
      </c>
      <c r="N1488">
        <v>57.0707103363678</v>
      </c>
      <c r="O1488">
        <v>56.9317261527872</v>
      </c>
      <c r="P1488">
        <v>-0.191761477148354</v>
      </c>
      <c r="Q1488">
        <v>0.008303274218123069</v>
      </c>
      <c r="R1488">
        <v>0.997728283959162</v>
      </c>
      <c r="S1488" t="s">
        <v>3156</v>
      </c>
      <c r="T1488" t="s">
        <v>3312</v>
      </c>
      <c r="U1488" t="s">
        <v>3312</v>
      </c>
      <c r="V1488" t="s">
        <v>3312</v>
      </c>
      <c r="W1488" t="s">
        <v>4797</v>
      </c>
      <c r="X1488">
        <v>7</v>
      </c>
      <c r="Y1488" t="s">
        <v>6439</v>
      </c>
      <c r="Z1488" t="s">
        <v>8081</v>
      </c>
      <c r="AA1488">
        <v>0.6741868967746487</v>
      </c>
      <c r="AB1488">
        <f>HYPERLINK("Melting_Curves/meltCurve_P76113_curA.pdf", "Melting_Curves/meltCurve_P76113_curA.pdf")</f>
        <v>0</v>
      </c>
    </row>
    <row r="1489" spans="1:28">
      <c r="A1489" t="s">
        <v>1515</v>
      </c>
      <c r="B1489">
        <v>0.999984544473304</v>
      </c>
      <c r="C1489">
        <v>1.02321653832101</v>
      </c>
      <c r="D1489">
        <v>0.9532792257825961</v>
      </c>
      <c r="E1489">
        <v>0.997295016087229</v>
      </c>
      <c r="F1489">
        <v>1.08497479793257</v>
      </c>
      <c r="G1489">
        <v>0.854691224034683</v>
      </c>
      <c r="H1489">
        <v>0.505671857800197</v>
      </c>
      <c r="I1489">
        <v>0.151466191703321</v>
      </c>
      <c r="J1489">
        <v>0.0683937263926085</v>
      </c>
      <c r="K1489">
        <v>0.0514046958621475</v>
      </c>
      <c r="L1489">
        <v>1794.23745333949</v>
      </c>
      <c r="M1489">
        <v>31.3584371430092</v>
      </c>
      <c r="N1489">
        <v>57.3605081857813</v>
      </c>
      <c r="O1489">
        <v>56.9858767586297</v>
      </c>
      <c r="P1489">
        <v>-0.13238347864669</v>
      </c>
      <c r="Q1489">
        <v>0.0377138242113526</v>
      </c>
      <c r="R1489">
        <v>0.992106059416114</v>
      </c>
      <c r="S1489" t="s">
        <v>3157</v>
      </c>
      <c r="T1489" t="s">
        <v>3312</v>
      </c>
      <c r="U1489" t="s">
        <v>3312</v>
      </c>
      <c r="V1489" t="s">
        <v>3312</v>
      </c>
      <c r="W1489" t="s">
        <v>4798</v>
      </c>
      <c r="X1489">
        <v>12</v>
      </c>
      <c r="Y1489" t="s">
        <v>6440</v>
      </c>
      <c r="Z1489" t="s">
        <v>8082</v>
      </c>
      <c r="AA1489">
        <v>0.6915402795318855</v>
      </c>
      <c r="AB1489">
        <f>HYPERLINK("Melting_Curves/meltCurve_P76116_yncE.pdf", "Melting_Curves/meltCurve_P76116_yncE.pdf")</f>
        <v>0</v>
      </c>
    </row>
    <row r="1490" spans="1:28">
      <c r="A1490" t="s">
        <v>1516</v>
      </c>
      <c r="B1490">
        <v>0.999984544473304</v>
      </c>
      <c r="C1490">
        <v>0.66923340488088</v>
      </c>
      <c r="D1490">
        <v>1.06037273331571</v>
      </c>
      <c r="E1490">
        <v>0.866019096293914</v>
      </c>
      <c r="F1490">
        <v>1.06636556824679</v>
      </c>
      <c r="G1490">
        <v>0.926027512300679</v>
      </c>
      <c r="H1490">
        <v>1.0097289904486</v>
      </c>
      <c r="I1490">
        <v>0.936866764032435</v>
      </c>
      <c r="J1490">
        <v>0.705966204255708</v>
      </c>
      <c r="K1490">
        <v>0.407562813904322</v>
      </c>
      <c r="L1490">
        <v>2480.71129261376</v>
      </c>
      <c r="M1490">
        <v>38.2152016603135</v>
      </c>
      <c r="N1490">
        <v>65.9609467208051</v>
      </c>
      <c r="O1490">
        <v>64.73726489826269</v>
      </c>
      <c r="P1490">
        <v>-0.114026724330117</v>
      </c>
      <c r="Q1490">
        <v>0.227348348998907</v>
      </c>
      <c r="R1490">
        <v>0.647026413150091</v>
      </c>
      <c r="S1490" t="s">
        <v>3158</v>
      </c>
      <c r="T1490" t="s">
        <v>3312</v>
      </c>
      <c r="U1490" t="s">
        <v>3312</v>
      </c>
      <c r="V1490" t="s">
        <v>3312</v>
      </c>
      <c r="W1490" t="s">
        <v>4799</v>
      </c>
      <c r="X1490">
        <v>3</v>
      </c>
      <c r="Y1490" t="s">
        <v>6441</v>
      </c>
      <c r="Z1490" t="s">
        <v>8083</v>
      </c>
      <c r="AA1490">
        <v>0.9369196341605849</v>
      </c>
      <c r="AB1490">
        <f>HYPERLINK("Melting_Curves/meltCurve_P76121_yddH.pdf", "Melting_Curves/meltCurve_P76121_yddH.pdf")</f>
        <v>0</v>
      </c>
    </row>
    <row r="1491" spans="1:28">
      <c r="A1491" t="s">
        <v>1517</v>
      </c>
      <c r="B1491">
        <v>0.999984544473304</v>
      </c>
      <c r="C1491">
        <v>1.13918212136192</v>
      </c>
      <c r="D1491">
        <v>1.16699610961623</v>
      </c>
      <c r="E1491">
        <v>0.288007264357985</v>
      </c>
      <c r="F1491">
        <v>0.114210621163582</v>
      </c>
      <c r="G1491">
        <v>0.07802839280879199</v>
      </c>
      <c r="H1491">
        <v>0.0588867240097865</v>
      </c>
      <c r="I1491">
        <v>0.0409429745131291</v>
      </c>
      <c r="J1491">
        <v>0.0328359442918795</v>
      </c>
      <c r="K1491">
        <v>0.0381211353807775</v>
      </c>
      <c r="L1491">
        <v>11596.8338548243</v>
      </c>
      <c r="M1491">
        <v>250</v>
      </c>
      <c r="N1491">
        <v>46.4112821844395</v>
      </c>
      <c r="O1491">
        <v>46.3843907690188</v>
      </c>
      <c r="P1491">
        <v>-1.26591101978873</v>
      </c>
      <c r="Q1491">
        <v>0.0605042971947058</v>
      </c>
      <c r="R1491">
        <v>0.976353541471937</v>
      </c>
      <c r="S1491" t="s">
        <v>3159</v>
      </c>
      <c r="T1491" t="s">
        <v>3312</v>
      </c>
      <c r="U1491" t="s">
        <v>3312</v>
      </c>
      <c r="V1491" t="s">
        <v>3312</v>
      </c>
      <c r="W1491" t="s">
        <v>4800</v>
      </c>
      <c r="X1491">
        <v>7</v>
      </c>
      <c r="Y1491" t="s">
        <v>6442</v>
      </c>
      <c r="Z1491" t="s">
        <v>8084</v>
      </c>
      <c r="AA1491">
        <v>0.3545594902230166</v>
      </c>
      <c r="AB1491">
        <f>HYPERLINK("Melting_Curves/meltCurve_P76128_ddpA.pdf", "Melting_Curves/meltCurve_P76128_ddpA.pdf")</f>
        <v>0</v>
      </c>
    </row>
    <row r="1492" spans="1:28">
      <c r="A1492" t="s">
        <v>1518</v>
      </c>
      <c r="B1492">
        <v>0.999984544473304</v>
      </c>
      <c r="C1492">
        <v>0.955520280853316</v>
      </c>
      <c r="D1492">
        <v>1.01489510016906</v>
      </c>
      <c r="E1492">
        <v>0.970468828974947</v>
      </c>
      <c r="F1492">
        <v>1.09977896557203</v>
      </c>
      <c r="G1492">
        <v>0.945506596783908</v>
      </c>
      <c r="H1492">
        <v>0.497455677729929</v>
      </c>
      <c r="I1492">
        <v>0.145051299815254</v>
      </c>
      <c r="J1492">
        <v>0.0738765663487162</v>
      </c>
      <c r="K1492">
        <v>0.0546089389151694</v>
      </c>
      <c r="L1492">
        <v>2416.99294263795</v>
      </c>
      <c r="M1492">
        <v>42.2299529330936</v>
      </c>
      <c r="N1492">
        <v>57.4218158953041</v>
      </c>
      <c r="O1492">
        <v>57.1061964835403</v>
      </c>
      <c r="P1492">
        <v>-0.172955946411197</v>
      </c>
      <c r="Q1492">
        <v>0.0644707007043446</v>
      </c>
      <c r="R1492">
        <v>0.991761216599316</v>
      </c>
      <c r="S1492" t="s">
        <v>3160</v>
      </c>
      <c r="T1492" t="s">
        <v>3312</v>
      </c>
      <c r="U1492" t="s">
        <v>3312</v>
      </c>
      <c r="V1492" t="s">
        <v>3312</v>
      </c>
      <c r="W1492" t="s">
        <v>4801</v>
      </c>
      <c r="X1492">
        <v>10</v>
      </c>
      <c r="Y1492" t="s">
        <v>6443</v>
      </c>
      <c r="Z1492" t="s">
        <v>8085</v>
      </c>
      <c r="AA1492">
        <v>0.6986451210116893</v>
      </c>
      <c r="AB1492">
        <f>HYPERLINK("Melting_Curves/meltCurve_P76142_lsrB.pdf", "Melting_Curves/meltCurve_P76142_lsrB.pdf")</f>
        <v>0</v>
      </c>
    </row>
    <row r="1493" spans="1:28">
      <c r="A1493" t="s">
        <v>1519</v>
      </c>
      <c r="B1493">
        <v>0.999984544473304</v>
      </c>
      <c r="C1493">
        <v>1.25267505400665</v>
      </c>
      <c r="D1493">
        <v>1.28655164234759</v>
      </c>
      <c r="E1493">
        <v>1.300484562455</v>
      </c>
      <c r="F1493">
        <v>1.00818183357098</v>
      </c>
      <c r="G1493">
        <v>1.27699411125513</v>
      </c>
      <c r="H1493">
        <v>0.650571934205097</v>
      </c>
      <c r="I1493">
        <v>0.60628443545735</v>
      </c>
      <c r="J1493">
        <v>0.482682169884532</v>
      </c>
      <c r="K1493">
        <v>0.48777705263044</v>
      </c>
      <c r="L1493">
        <v>14290.9896866442</v>
      </c>
      <c r="M1493">
        <v>250</v>
      </c>
      <c r="O1493">
        <v>57.1602990846408</v>
      </c>
      <c r="P1493">
        <v>-0.518737287948065</v>
      </c>
      <c r="Q1493">
        <v>0.525581131297204</v>
      </c>
      <c r="R1493">
        <v>0.700584426432969</v>
      </c>
      <c r="S1493" t="s">
        <v>3161</v>
      </c>
      <c r="T1493" t="s">
        <v>3312</v>
      </c>
      <c r="U1493" t="s">
        <v>3312</v>
      </c>
      <c r="V1493" t="s">
        <v>3312</v>
      </c>
      <c r="W1493" t="s">
        <v>4802</v>
      </c>
      <c r="X1493">
        <v>12</v>
      </c>
      <c r="Y1493" t="s">
        <v>6444</v>
      </c>
      <c r="Z1493" t="s">
        <v>8086</v>
      </c>
      <c r="AA1493">
        <v>0.8445008091169102</v>
      </c>
      <c r="AB1493">
        <f>HYPERLINK("Melting_Curves/meltCurve_P76143_lsrF.pdf", "Melting_Curves/meltCurve_P76143_lsrF.pdf")</f>
        <v>0</v>
      </c>
    </row>
    <row r="1494" spans="1:28">
      <c r="A1494" t="s">
        <v>1520</v>
      </c>
      <c r="B1494">
        <v>0.999984544473304</v>
      </c>
      <c r="C1494">
        <v>1.06932309851801</v>
      </c>
      <c r="D1494">
        <v>0.825756578100296</v>
      </c>
      <c r="E1494">
        <v>1.08511839360063</v>
      </c>
      <c r="F1494">
        <v>0.805287105090099</v>
      </c>
      <c r="G1494">
        <v>0.444926101651014</v>
      </c>
      <c r="H1494">
        <v>0.09975952988098739</v>
      </c>
      <c r="I1494">
        <v>0.0473449263700002</v>
      </c>
      <c r="J1494">
        <v>0.0472999454082714</v>
      </c>
      <c r="K1494">
        <v>0.0680204721562598</v>
      </c>
      <c r="L1494">
        <v>1570.4440663798</v>
      </c>
      <c r="M1494">
        <v>29.6285785520288</v>
      </c>
      <c r="N1494">
        <v>53.1546676936349</v>
      </c>
      <c r="O1494">
        <v>52.764667736004</v>
      </c>
      <c r="P1494">
        <v>-0.134740878178008</v>
      </c>
      <c r="Q1494">
        <v>0.0401822415084794</v>
      </c>
      <c r="R1494">
        <v>0.973376577182279</v>
      </c>
      <c r="S1494" t="s">
        <v>3162</v>
      </c>
      <c r="T1494" t="s">
        <v>3312</v>
      </c>
      <c r="U1494" t="s">
        <v>3312</v>
      </c>
      <c r="V1494" t="s">
        <v>3312</v>
      </c>
      <c r="W1494" t="s">
        <v>4803</v>
      </c>
      <c r="X1494">
        <v>1</v>
      </c>
      <c r="Y1494" t="s">
        <v>6445</v>
      </c>
      <c r="Z1494" t="s">
        <v>8087</v>
      </c>
      <c r="AA1494">
        <v>0.5584780626097979</v>
      </c>
      <c r="AB1494">
        <f>HYPERLINK("Melting_Curves/meltCurve_P76145_tam.pdf", "Melting_Curves/meltCurve_P76145_tam.pdf")</f>
        <v>0</v>
      </c>
    </row>
    <row r="1495" spans="1:28">
      <c r="A1495" t="s">
        <v>1521</v>
      </c>
      <c r="B1495">
        <v>0.999984544473304</v>
      </c>
      <c r="C1495">
        <v>0.8718870164404851</v>
      </c>
      <c r="D1495">
        <v>0.342897390548041</v>
      </c>
      <c r="E1495">
        <v>0.09410604983901689</v>
      </c>
      <c r="F1495">
        <v>0.0523900783476619</v>
      </c>
      <c r="G1495">
        <v>0.0272012916281248</v>
      </c>
      <c r="H1495">
        <v>0.0261891353478686</v>
      </c>
      <c r="I1495">
        <v>0.0183848286442015</v>
      </c>
      <c r="J1495">
        <v>0.0170935508133046</v>
      </c>
      <c r="K1495">
        <v>0.0155846329092271</v>
      </c>
      <c r="L1495">
        <v>1387.07377020232</v>
      </c>
      <c r="M1495">
        <v>32.9491781900812</v>
      </c>
      <c r="N1495">
        <v>42.1727350650631</v>
      </c>
      <c r="O1495">
        <v>41.9432213339524</v>
      </c>
      <c r="P1495">
        <v>-0.190777479250731</v>
      </c>
      <c r="Q1495">
        <v>0.0285907309236608</v>
      </c>
      <c r="R1495">
        <v>0.9986227895313931</v>
      </c>
      <c r="S1495" t="s">
        <v>3163</v>
      </c>
      <c r="T1495" t="s">
        <v>3312</v>
      </c>
      <c r="U1495" t="s">
        <v>3312</v>
      </c>
      <c r="V1495" t="s">
        <v>3312</v>
      </c>
      <c r="W1495" t="s">
        <v>4804</v>
      </c>
      <c r="X1495">
        <v>3</v>
      </c>
      <c r="Y1495" t="s">
        <v>6446</v>
      </c>
      <c r="Z1495" t="s">
        <v>8088</v>
      </c>
      <c r="AA1495">
        <v>0.1981521856067799</v>
      </c>
      <c r="AB1495">
        <f>HYPERLINK("Melting_Curves/meltCurve_P76149_sad.pdf", "Melting_Curves/meltCurve_P76149_sad.pdf")</f>
        <v>0</v>
      </c>
    </row>
    <row r="1496" spans="1:28">
      <c r="A1496" t="s">
        <v>1522</v>
      </c>
      <c r="B1496">
        <v>0.999984544473304</v>
      </c>
      <c r="C1496">
        <v>1.22132452885833</v>
      </c>
      <c r="D1496">
        <v>0.737700549948471</v>
      </c>
      <c r="E1496">
        <v>0.948951984434007</v>
      </c>
      <c r="F1496">
        <v>0.943378341084621</v>
      </c>
      <c r="G1496">
        <v>0.82914846497655</v>
      </c>
      <c r="H1496">
        <v>0.577811840658919</v>
      </c>
      <c r="I1496">
        <v>0.508705727079822</v>
      </c>
      <c r="J1496">
        <v>0.388140873799969</v>
      </c>
      <c r="K1496">
        <v>0.535808444079911</v>
      </c>
      <c r="L1496">
        <v>1544.23547492842</v>
      </c>
      <c r="M1496">
        <v>28.0757967775772</v>
      </c>
      <c r="N1496">
        <v>60.5044347797525</v>
      </c>
      <c r="O1496">
        <v>54.7256038160436</v>
      </c>
      <c r="P1496">
        <v>-0.0691208546490777</v>
      </c>
      <c r="Q1496">
        <v>0.461080554119047</v>
      </c>
      <c r="R1496">
        <v>0.788570774172347</v>
      </c>
      <c r="S1496" t="s">
        <v>3164</v>
      </c>
      <c r="T1496" t="s">
        <v>3312</v>
      </c>
      <c r="U1496" t="s">
        <v>3312</v>
      </c>
      <c r="V1496" t="s">
        <v>3312</v>
      </c>
      <c r="W1496" t="s">
        <v>4805</v>
      </c>
      <c r="X1496">
        <v>1</v>
      </c>
      <c r="Y1496" t="s">
        <v>6447</v>
      </c>
      <c r="Z1496" t="s">
        <v>8089</v>
      </c>
      <c r="AA1496">
        <v>0.788298493358819</v>
      </c>
      <c r="AB1496">
        <f>HYPERLINK("Melting_Curves/meltCurve_P76172_ynfD.pdf", "Melting_Curves/meltCurve_P76172_ynfD.pdf")</f>
        <v>0</v>
      </c>
    </row>
    <row r="1497" spans="1:28">
      <c r="A1497" t="s">
        <v>1523</v>
      </c>
      <c r="B1497">
        <v>0.999984544473304</v>
      </c>
      <c r="C1497">
        <v>1.1822806110134</v>
      </c>
      <c r="D1497">
        <v>0.754708662638602</v>
      </c>
      <c r="E1497">
        <v>0.709590342710071</v>
      </c>
      <c r="F1497">
        <v>0.486433343758098</v>
      </c>
      <c r="G1497">
        <v>0.388722305029597</v>
      </c>
      <c r="H1497">
        <v>0.328029553302889</v>
      </c>
      <c r="I1497">
        <v>0.202696054490301</v>
      </c>
      <c r="J1497">
        <v>0.14378910731298</v>
      </c>
      <c r="K1497">
        <v>0.115965667879459</v>
      </c>
      <c r="L1497">
        <v>567.078879986406</v>
      </c>
      <c r="M1497">
        <v>11.4107205006656</v>
      </c>
      <c r="N1497">
        <v>50.7066754107344</v>
      </c>
      <c r="O1497">
        <v>48.2441083242841</v>
      </c>
      <c r="P1497">
        <v>-0.0531367869987044</v>
      </c>
      <c r="Q1497">
        <v>0.101621313664474</v>
      </c>
      <c r="R1497">
        <v>0.937598475279274</v>
      </c>
      <c r="S1497" t="s">
        <v>3165</v>
      </c>
      <c r="T1497" t="s">
        <v>3312</v>
      </c>
      <c r="U1497" t="s">
        <v>3312</v>
      </c>
      <c r="V1497" t="s">
        <v>3312</v>
      </c>
      <c r="W1497" t="s">
        <v>4806</v>
      </c>
      <c r="X1497">
        <v>1</v>
      </c>
      <c r="Y1497" t="s">
        <v>6448</v>
      </c>
      <c r="Z1497" t="s">
        <v>8090</v>
      </c>
      <c r="AA1497">
        <v>0.5090616265702572</v>
      </c>
      <c r="AB1497">
        <f>HYPERLINK("Melting_Curves/meltCurve_P76173_ynfH.pdf", "Melting_Curves/meltCurve_P76173_ynfH.pdf")</f>
        <v>0</v>
      </c>
    </row>
    <row r="1498" spans="1:28">
      <c r="A1498" t="s">
        <v>1524</v>
      </c>
      <c r="B1498">
        <v>0.999984544473304</v>
      </c>
      <c r="C1498">
        <v>1.09421918935272</v>
      </c>
      <c r="D1498">
        <v>0.897269016520055</v>
      </c>
      <c r="E1498">
        <v>0.961369005324895</v>
      </c>
      <c r="F1498">
        <v>1.0616550765378</v>
      </c>
      <c r="G1498">
        <v>0.9210800311328</v>
      </c>
      <c r="H1498">
        <v>0.629639134644281</v>
      </c>
      <c r="I1498">
        <v>0.355325514630293</v>
      </c>
      <c r="J1498">
        <v>0.195569096994811</v>
      </c>
      <c r="K1498">
        <v>0.273766515595241</v>
      </c>
      <c r="L1498">
        <v>1904.89375643454</v>
      </c>
      <c r="M1498">
        <v>33.086504702096</v>
      </c>
      <c r="N1498">
        <v>58.6522223386088</v>
      </c>
      <c r="O1498">
        <v>57.3640493162036</v>
      </c>
      <c r="P1498">
        <v>-0.111322326552837</v>
      </c>
      <c r="Q1498">
        <v>0.227978884907217</v>
      </c>
      <c r="R1498">
        <v>0.971238655880949</v>
      </c>
      <c r="S1498" t="s">
        <v>3166</v>
      </c>
      <c r="T1498" t="s">
        <v>3312</v>
      </c>
      <c r="U1498" t="s">
        <v>3312</v>
      </c>
      <c r="V1498" t="s">
        <v>3312</v>
      </c>
      <c r="W1498" t="s">
        <v>4807</v>
      </c>
      <c r="X1498">
        <v>2</v>
      </c>
      <c r="Y1498" t="s">
        <v>6449</v>
      </c>
      <c r="Z1498" t="s">
        <v>8091</v>
      </c>
      <c r="AA1498">
        <v>0.761299487116241</v>
      </c>
      <c r="AB1498">
        <f>HYPERLINK("Melting_Curves/meltCurve_P76176_ydgD.pdf", "Melting_Curves/meltCurve_P76176_ydgD.pdf")</f>
        <v>0</v>
      </c>
    </row>
    <row r="1499" spans="1:28">
      <c r="A1499" t="s">
        <v>1525</v>
      </c>
      <c r="B1499">
        <v>0.999984544473304</v>
      </c>
      <c r="C1499">
        <v>0.918408775854205</v>
      </c>
      <c r="D1499">
        <v>1.08716696907718</v>
      </c>
      <c r="E1499">
        <v>0.948944642607959</v>
      </c>
      <c r="F1499">
        <v>1.14514273057454</v>
      </c>
      <c r="G1499">
        <v>0.7886586516722039</v>
      </c>
      <c r="H1499">
        <v>0.384644189284455</v>
      </c>
      <c r="I1499">
        <v>0.132423688847882</v>
      </c>
      <c r="J1499">
        <v>0.0842793982810546</v>
      </c>
      <c r="K1499">
        <v>0.0623114986394267</v>
      </c>
      <c r="L1499">
        <v>1891.29629775917</v>
      </c>
      <c r="M1499">
        <v>33.6752162680689</v>
      </c>
      <c r="N1499">
        <v>56.4083505395493</v>
      </c>
      <c r="O1499">
        <v>55.9659191900766</v>
      </c>
      <c r="P1499">
        <v>-0.140174609343328</v>
      </c>
      <c r="Q1499">
        <v>0.06816131079949631</v>
      </c>
      <c r="R1499">
        <v>0.974331812998806</v>
      </c>
      <c r="S1499" t="s">
        <v>3167</v>
      </c>
      <c r="T1499" t="s">
        <v>3312</v>
      </c>
      <c r="U1499" t="s">
        <v>3312</v>
      </c>
      <c r="V1499" t="s">
        <v>3312</v>
      </c>
      <c r="W1499" t="s">
        <v>4808</v>
      </c>
      <c r="X1499">
        <v>11</v>
      </c>
      <c r="Y1499" t="s">
        <v>6450</v>
      </c>
      <c r="Z1499" t="s">
        <v>8092</v>
      </c>
      <c r="AA1499">
        <v>0.6681663160315835</v>
      </c>
      <c r="AB1499">
        <f>HYPERLINK("Melting_Curves/meltCurve_P76177_ydgH.pdf", "Melting_Curves/meltCurve_P76177_ydgH.pdf")</f>
        <v>0</v>
      </c>
    </row>
    <row r="1500" spans="1:28">
      <c r="A1500" t="s">
        <v>1526</v>
      </c>
      <c r="B1500">
        <v>0.999984544473304</v>
      </c>
      <c r="C1500">
        <v>0.850704149771314</v>
      </c>
      <c r="D1500">
        <v>1.10027013153101</v>
      </c>
      <c r="E1500">
        <v>0.907754576596841</v>
      </c>
      <c r="F1500">
        <v>1.17563476730726</v>
      </c>
      <c r="G1500">
        <v>1.00669962651641</v>
      </c>
      <c r="H1500">
        <v>0.967145671109785</v>
      </c>
      <c r="I1500">
        <v>0.593427380144851</v>
      </c>
      <c r="J1500">
        <v>0.202145136891584</v>
      </c>
      <c r="K1500">
        <v>0.055927293958606</v>
      </c>
      <c r="L1500">
        <v>2492.95604949406</v>
      </c>
      <c r="M1500">
        <v>40.4998355095208</v>
      </c>
      <c r="N1500">
        <v>61.6432574211902</v>
      </c>
      <c r="O1500">
        <v>61.4052168025811</v>
      </c>
      <c r="P1500">
        <v>-0.16022905103318</v>
      </c>
      <c r="Q1500">
        <v>0.0282548115961924</v>
      </c>
      <c r="R1500">
        <v>0.944668320448153</v>
      </c>
      <c r="S1500" t="s">
        <v>3168</v>
      </c>
      <c r="T1500" t="s">
        <v>3312</v>
      </c>
      <c r="U1500" t="s">
        <v>3312</v>
      </c>
      <c r="V1500" t="s">
        <v>3312</v>
      </c>
      <c r="W1500" t="s">
        <v>4809</v>
      </c>
      <c r="X1500">
        <v>6</v>
      </c>
      <c r="Y1500" t="s">
        <v>6451</v>
      </c>
      <c r="Z1500" t="s">
        <v>8093</v>
      </c>
      <c r="AA1500">
        <v>0.8253964084931354</v>
      </c>
      <c r="AB1500">
        <f>HYPERLINK("Melting_Curves/meltCurve_P76187_ydhF.pdf", "Melting_Curves/meltCurve_P76187_ydhF.pdf")</f>
        <v>0</v>
      </c>
    </row>
    <row r="1501" spans="1:28">
      <c r="A1501" t="s">
        <v>1527</v>
      </c>
      <c r="B1501">
        <v>0.999984544473304</v>
      </c>
      <c r="C1501">
        <v>2.05522362854102</v>
      </c>
      <c r="D1501">
        <v>0.0429609398102563</v>
      </c>
      <c r="E1501">
        <v>0.420929746592325</v>
      </c>
      <c r="F1501">
        <v>0.492776626773904</v>
      </c>
      <c r="G1501">
        <v>0.0916899740419541</v>
      </c>
      <c r="H1501">
        <v>0.152840947763859</v>
      </c>
      <c r="I1501">
        <v>0.140645632806427</v>
      </c>
      <c r="J1501">
        <v>0.245134810757475</v>
      </c>
      <c r="K1501">
        <v>0.336427499732061</v>
      </c>
      <c r="L1501">
        <v>10384.2379489198</v>
      </c>
      <c r="M1501">
        <v>250</v>
      </c>
      <c r="N1501">
        <v>41.6461344874969</v>
      </c>
      <c r="O1501">
        <v>41.5342942218843</v>
      </c>
      <c r="P1501">
        <v>-1.14300697239398</v>
      </c>
      <c r="Q1501">
        <v>0.240416204092897</v>
      </c>
      <c r="R1501">
        <v>0.6173694878863309</v>
      </c>
      <c r="S1501" t="s">
        <v>3169</v>
      </c>
      <c r="T1501" t="s">
        <v>3312</v>
      </c>
      <c r="U1501" t="s">
        <v>3312</v>
      </c>
      <c r="V1501" t="s">
        <v>3312</v>
      </c>
      <c r="W1501" t="s">
        <v>4810</v>
      </c>
      <c r="X1501">
        <v>1</v>
      </c>
      <c r="Y1501" t="s">
        <v>6452</v>
      </c>
      <c r="Z1501" t="s">
        <v>8094</v>
      </c>
      <c r="AA1501">
        <v>0.3553447441416395</v>
      </c>
      <c r="AB1501">
        <f>HYPERLINK("Melting_Curves/meltCurve_P76192_ydhV.pdf", "Melting_Curves/meltCurve_P76192_ydhV.pdf")</f>
        <v>0</v>
      </c>
    </row>
    <row r="1502" spans="1:28">
      <c r="A1502" t="s">
        <v>1528</v>
      </c>
      <c r="B1502">
        <v>0.999984544473304</v>
      </c>
      <c r="C1502">
        <v>1.03978719436131</v>
      </c>
      <c r="D1502">
        <v>0.862436383022913</v>
      </c>
      <c r="E1502">
        <v>0.7275139454955341</v>
      </c>
      <c r="F1502">
        <v>0.150538163678937</v>
      </c>
      <c r="G1502">
        <v>0.0620183329802998</v>
      </c>
      <c r="H1502">
        <v>0.0463720685953472</v>
      </c>
      <c r="I1502">
        <v>0.0381102310896001</v>
      </c>
      <c r="J1502">
        <v>0.0341147101993906</v>
      </c>
      <c r="K1502">
        <v>0.0313017624121524</v>
      </c>
      <c r="L1502">
        <v>1671.61708598795</v>
      </c>
      <c r="M1502">
        <v>35.0648651322913</v>
      </c>
      <c r="N1502">
        <v>47.7708448208254</v>
      </c>
      <c r="O1502">
        <v>47.5178737253924</v>
      </c>
      <c r="P1502">
        <v>-0.178034776575863</v>
      </c>
      <c r="Q1502">
        <v>0.0349534937200648</v>
      </c>
      <c r="R1502">
        <v>0.990654992106091</v>
      </c>
      <c r="S1502" t="s">
        <v>3170</v>
      </c>
      <c r="T1502" t="s">
        <v>3312</v>
      </c>
      <c r="U1502" t="s">
        <v>3312</v>
      </c>
      <c r="V1502" t="s">
        <v>3312</v>
      </c>
      <c r="W1502" t="s">
        <v>4811</v>
      </c>
      <c r="X1502">
        <v>8</v>
      </c>
      <c r="Y1502" t="s">
        <v>6453</v>
      </c>
      <c r="Z1502" t="s">
        <v>8095</v>
      </c>
      <c r="AA1502">
        <v>0.3824049175887222</v>
      </c>
      <c r="AB1502">
        <f>HYPERLINK("Melting_Curves/meltCurve_P76193_ynhG.pdf", "Melting_Curves/meltCurve_P76193_ynhG.pdf")</f>
        <v>0</v>
      </c>
    </row>
    <row r="1503" spans="1:28">
      <c r="A1503" t="s">
        <v>1529</v>
      </c>
      <c r="B1503">
        <v>0.999984544473304</v>
      </c>
      <c r="C1503">
        <v>0.95058155929588</v>
      </c>
      <c r="D1503">
        <v>0.9837777063830579</v>
      </c>
      <c r="E1503">
        <v>0.950520163331817</v>
      </c>
      <c r="F1503">
        <v>0.8087664990232309</v>
      </c>
      <c r="G1503">
        <v>0.386073875913234</v>
      </c>
      <c r="H1503">
        <v>0.140933733983269</v>
      </c>
      <c r="I1503">
        <v>0.0580060596507492</v>
      </c>
      <c r="J1503">
        <v>0.0322022417197476</v>
      </c>
      <c r="K1503">
        <v>0.0343219447933094</v>
      </c>
      <c r="L1503">
        <v>1375.27513876044</v>
      </c>
      <c r="M1503">
        <v>26.0660747305212</v>
      </c>
      <c r="N1503">
        <v>52.8808532848108</v>
      </c>
      <c r="O1503">
        <v>52.4535201696447</v>
      </c>
      <c r="P1503">
        <v>-0.120675368335712</v>
      </c>
      <c r="Q1503">
        <v>0.0286569964369828</v>
      </c>
      <c r="R1503">
        <v>0.998115363583081</v>
      </c>
      <c r="S1503" t="s">
        <v>3171</v>
      </c>
      <c r="T1503" t="s">
        <v>3312</v>
      </c>
      <c r="U1503" t="s">
        <v>3312</v>
      </c>
      <c r="V1503" t="s">
        <v>3312</v>
      </c>
      <c r="W1503" t="s">
        <v>4812</v>
      </c>
      <c r="X1503">
        <v>3</v>
      </c>
      <c r="Y1503" t="s">
        <v>6454</v>
      </c>
      <c r="Z1503" t="s">
        <v>8096</v>
      </c>
      <c r="AA1503">
        <v>0.5469585227400896</v>
      </c>
      <c r="AB1503">
        <f>HYPERLINK("Melting_Curves/meltCurve_P76194_sufE.pdf", "Melting_Curves/meltCurve_P76194_sufE.pdf")</f>
        <v>0</v>
      </c>
    </row>
    <row r="1504" spans="1:28">
      <c r="A1504" t="s">
        <v>1530</v>
      </c>
      <c r="B1504">
        <v>0.999984544473304</v>
      </c>
      <c r="C1504">
        <v>0.984792218240816</v>
      </c>
      <c r="D1504">
        <v>0.662943901587979</v>
      </c>
      <c r="E1504">
        <v>0.770658777341971</v>
      </c>
      <c r="F1504">
        <v>0.796427253627665</v>
      </c>
      <c r="G1504">
        <v>0.6602641314050191</v>
      </c>
      <c r="H1504">
        <v>0.631530244219856</v>
      </c>
      <c r="I1504">
        <v>0.450392959065313</v>
      </c>
      <c r="J1504">
        <v>0.360151978689839</v>
      </c>
      <c r="K1504">
        <v>0.354133323153836</v>
      </c>
      <c r="L1504">
        <v>288.600269075636</v>
      </c>
      <c r="M1504">
        <v>4.83273578717991</v>
      </c>
      <c r="N1504">
        <v>59.7177844513772</v>
      </c>
      <c r="O1504">
        <v>51.6971482558894</v>
      </c>
      <c r="P1504">
        <v>-0.0235312325057964</v>
      </c>
      <c r="Q1504">
        <v>0</v>
      </c>
      <c r="R1504">
        <v>0.857646799666746</v>
      </c>
      <c r="S1504" t="s">
        <v>3172</v>
      </c>
      <c r="T1504" t="s">
        <v>3312</v>
      </c>
      <c r="U1504" t="s">
        <v>3312</v>
      </c>
      <c r="V1504" t="s">
        <v>3312</v>
      </c>
      <c r="W1504" t="s">
        <v>4813</v>
      </c>
      <c r="X1504">
        <v>1</v>
      </c>
      <c r="Y1504" t="s">
        <v>6455</v>
      </c>
      <c r="Z1504" t="s">
        <v>8097</v>
      </c>
      <c r="AA1504">
        <v>0.6700753986865025</v>
      </c>
      <c r="AB1504">
        <f>HYPERLINK("Melting_Curves/meltCurve_P76206_ydiY.pdf", "Melting_Curves/meltCurve_P76206_ydiY.pdf")</f>
        <v>0</v>
      </c>
    </row>
    <row r="1505" spans="1:28">
      <c r="A1505" t="s">
        <v>1531</v>
      </c>
      <c r="B1505">
        <v>0.999984544473304</v>
      </c>
      <c r="C1505">
        <v>1.00701685731291</v>
      </c>
      <c r="D1505">
        <v>0.842912297400543</v>
      </c>
      <c r="E1505">
        <v>0.889872611879914</v>
      </c>
      <c r="F1505">
        <v>0.765791490003299</v>
      </c>
      <c r="G1505">
        <v>0.61954737869803</v>
      </c>
      <c r="H1505">
        <v>0.388418700340565</v>
      </c>
      <c r="I1505">
        <v>0.198339920651221</v>
      </c>
      <c r="J1505">
        <v>0.08706677150896799</v>
      </c>
      <c r="K1505">
        <v>0.10236798612284</v>
      </c>
      <c r="L1505">
        <v>699.4768747767459</v>
      </c>
      <c r="M1505">
        <v>12.7156094760992</v>
      </c>
      <c r="N1505">
        <v>55.0093077904412</v>
      </c>
      <c r="O1505">
        <v>53.7019968749245</v>
      </c>
      <c r="P1505">
        <v>-0.059206633165279</v>
      </c>
      <c r="Q1505">
        <v>0</v>
      </c>
      <c r="R1505">
        <v>0.9805134328633049</v>
      </c>
      <c r="S1505" t="s">
        <v>3173</v>
      </c>
      <c r="T1505" t="s">
        <v>3312</v>
      </c>
      <c r="U1505" t="s">
        <v>3312</v>
      </c>
      <c r="V1505" t="s">
        <v>3312</v>
      </c>
      <c r="W1505" t="s">
        <v>4814</v>
      </c>
      <c r="X1505">
        <v>4</v>
      </c>
      <c r="Y1505" t="s">
        <v>6456</v>
      </c>
      <c r="Z1505" t="s">
        <v>8098</v>
      </c>
      <c r="AA1505">
        <v>0.6146818668731678</v>
      </c>
      <c r="AB1505">
        <f>HYPERLINK("Melting_Curves/meltCurve_P76216_astB.pdf", "Melting_Curves/meltCurve_P76216_astB.pdf")</f>
        <v>0</v>
      </c>
    </row>
    <row r="1506" spans="1:28">
      <c r="A1506" t="s">
        <v>1532</v>
      </c>
      <c r="B1506">
        <v>0.999984544473304</v>
      </c>
      <c r="C1506">
        <v>1.07789971451344</v>
      </c>
      <c r="D1506">
        <v>1.17676585100251</v>
      </c>
      <c r="E1506">
        <v>0.938509231939994</v>
      </c>
      <c r="F1506">
        <v>0.333861562562465</v>
      </c>
      <c r="G1506">
        <v>0.109488953398762</v>
      </c>
      <c r="H1506">
        <v>0.0610568992046415</v>
      </c>
      <c r="I1506">
        <v>0.0436931837863885</v>
      </c>
      <c r="J1506">
        <v>0.0254862185775627</v>
      </c>
      <c r="K1506">
        <v>0.0191804117519059</v>
      </c>
      <c r="L1506">
        <v>2210.53281971451</v>
      </c>
      <c r="M1506">
        <v>44.8385939637507</v>
      </c>
      <c r="N1506">
        <v>49.4060249276399</v>
      </c>
      <c r="O1506">
        <v>49.2020282613752</v>
      </c>
      <c r="P1506">
        <v>-0.217357884301141</v>
      </c>
      <c r="Q1506">
        <v>0.0459618063644268</v>
      </c>
      <c r="R1506">
        <v>0.981950143628635</v>
      </c>
      <c r="S1506" t="s">
        <v>3174</v>
      </c>
      <c r="T1506" t="s">
        <v>3312</v>
      </c>
      <c r="U1506" t="s">
        <v>3312</v>
      </c>
      <c r="V1506" t="s">
        <v>3312</v>
      </c>
      <c r="W1506" t="s">
        <v>4815</v>
      </c>
      <c r="X1506">
        <v>9</v>
      </c>
      <c r="Y1506" t="s">
        <v>6457</v>
      </c>
      <c r="Z1506" t="s">
        <v>8099</v>
      </c>
      <c r="AA1506">
        <v>0.4396933491010449</v>
      </c>
      <c r="AB1506">
        <f>HYPERLINK("Melting_Curves/meltCurve_P76217_astD.pdf", "Melting_Curves/meltCurve_P76217_astD.pdf")</f>
        <v>0</v>
      </c>
    </row>
    <row r="1507" spans="1:28">
      <c r="A1507" t="s">
        <v>1533</v>
      </c>
      <c r="B1507">
        <v>0.999984544473304</v>
      </c>
      <c r="C1507">
        <v>0.785928160084595</v>
      </c>
      <c r="D1507">
        <v>0.97151867549196</v>
      </c>
      <c r="E1507">
        <v>0.907045458656772</v>
      </c>
      <c r="F1507">
        <v>1.12020514248099</v>
      </c>
      <c r="G1507">
        <v>0.965241126315055</v>
      </c>
      <c r="H1507">
        <v>0.860976514886223</v>
      </c>
      <c r="I1507">
        <v>0.818588446464682</v>
      </c>
      <c r="J1507">
        <v>0.746778991994049</v>
      </c>
      <c r="K1507">
        <v>0.598171784158035</v>
      </c>
      <c r="L1507">
        <v>744.617843575712</v>
      </c>
      <c r="M1507">
        <v>10.6715747390154</v>
      </c>
      <c r="Q1507">
        <v>0</v>
      </c>
      <c r="R1507">
        <v>0.618667547504015</v>
      </c>
      <c r="S1507" t="s">
        <v>3175</v>
      </c>
      <c r="T1507" t="s">
        <v>3312</v>
      </c>
      <c r="U1507" t="s">
        <v>3312</v>
      </c>
      <c r="V1507" t="s">
        <v>3312</v>
      </c>
      <c r="W1507" t="s">
        <v>4816</v>
      </c>
      <c r="X1507">
        <v>7</v>
      </c>
      <c r="Y1507" t="s">
        <v>6458</v>
      </c>
      <c r="Z1507" t="s">
        <v>8100</v>
      </c>
      <c r="AA1507">
        <v>0.9162384041761488</v>
      </c>
      <c r="AB1507">
        <f>HYPERLINK("Melting_Curves/meltCurve_P76220_ydjY.pdf", "Melting_Curves/meltCurve_P76220_ydjY.pdf")</f>
        <v>0</v>
      </c>
    </row>
    <row r="1508" spans="1:28">
      <c r="A1508" t="s">
        <v>1534</v>
      </c>
      <c r="B1508">
        <v>0.999984544473304</v>
      </c>
      <c r="C1508">
        <v>1.01768534043782</v>
      </c>
      <c r="D1508">
        <v>0.895062507671787</v>
      </c>
      <c r="E1508">
        <v>0.581712277575032</v>
      </c>
      <c r="F1508">
        <v>0.121956631087833</v>
      </c>
      <c r="G1508">
        <v>0.0583976073375841</v>
      </c>
      <c r="H1508">
        <v>0.0403821660723083</v>
      </c>
      <c r="I1508">
        <v>0.0301374189981589</v>
      </c>
      <c r="J1508">
        <v>0.0201154124679745</v>
      </c>
      <c r="K1508">
        <v>0.0129854329145286</v>
      </c>
      <c r="L1508">
        <v>1360.05895293097</v>
      </c>
      <c r="M1508">
        <v>28.9843351312134</v>
      </c>
      <c r="N1508">
        <v>46.9992655013744</v>
      </c>
      <c r="O1508">
        <v>46.7022649060382</v>
      </c>
      <c r="P1508">
        <v>-0.151634392111904</v>
      </c>
      <c r="Q1508">
        <v>0.0226973726987366</v>
      </c>
      <c r="R1508">
        <v>0.99778877456158</v>
      </c>
      <c r="S1508" t="s">
        <v>3176</v>
      </c>
      <c r="T1508" t="s">
        <v>3312</v>
      </c>
      <c r="U1508" t="s">
        <v>3312</v>
      </c>
      <c r="V1508" t="s">
        <v>3312</v>
      </c>
      <c r="W1508" t="s">
        <v>4817</v>
      </c>
      <c r="X1508">
        <v>4</v>
      </c>
      <c r="Y1508" t="s">
        <v>6459</v>
      </c>
      <c r="Z1508" t="s">
        <v>8101</v>
      </c>
      <c r="AA1508">
        <v>0.3520682637669171</v>
      </c>
      <c r="AB1508">
        <f>HYPERLINK("Melting_Curves/meltCurve_P76223_ynjB.pdf", "Melting_Curves/meltCurve_P76223_ynjB.pdf")</f>
        <v>0</v>
      </c>
    </row>
    <row r="1509" spans="1:28">
      <c r="A1509" t="s">
        <v>1535</v>
      </c>
      <c r="B1509">
        <v>0.999984544473304</v>
      </c>
      <c r="C1509">
        <v>1.07398317137425</v>
      </c>
      <c r="D1509">
        <v>0.777035578238892</v>
      </c>
      <c r="E1509">
        <v>0.721453074453567</v>
      </c>
      <c r="F1509">
        <v>0.97151580616202</v>
      </c>
      <c r="G1509">
        <v>0.908558495179569</v>
      </c>
      <c r="H1509">
        <v>0.491420142982138</v>
      </c>
      <c r="I1509">
        <v>0.449592311730834</v>
      </c>
      <c r="J1509">
        <v>0.475399390127062</v>
      </c>
      <c r="K1509">
        <v>0.645339049609877</v>
      </c>
      <c r="L1509">
        <v>419.07111416837</v>
      </c>
      <c r="M1509">
        <v>7.608721025985</v>
      </c>
      <c r="O1509">
        <v>51.6595240304797</v>
      </c>
      <c r="P1509">
        <v>-0.0230509881908697</v>
      </c>
      <c r="Q1509">
        <v>0.374832293668852</v>
      </c>
      <c r="R1509">
        <v>0.611593568291914</v>
      </c>
      <c r="S1509" t="s">
        <v>3177</v>
      </c>
      <c r="T1509" t="s">
        <v>3312</v>
      </c>
      <c r="U1509" t="s">
        <v>3312</v>
      </c>
      <c r="V1509" t="s">
        <v>3312</v>
      </c>
      <c r="W1509" t="s">
        <v>4818</v>
      </c>
      <c r="X1509">
        <v>3</v>
      </c>
      <c r="Y1509" t="s">
        <v>6460</v>
      </c>
      <c r="Z1509" t="s">
        <v>8102</v>
      </c>
      <c r="AA1509">
        <v>0.7543303901639472</v>
      </c>
      <c r="AB1509">
        <f>HYPERLINK("Melting_Curves/meltCurve_P76227_ynjH.pdf", "Melting_Curves/meltCurve_P76227_ynjH.pdf")</f>
        <v>0</v>
      </c>
    </row>
    <row r="1510" spans="1:28">
      <c r="A1510" t="s">
        <v>1536</v>
      </c>
      <c r="B1510">
        <v>0.999984544473304</v>
      </c>
      <c r="C1510">
        <v>1.22560160504567</v>
      </c>
      <c r="D1510">
        <v>0.7336836299110699</v>
      </c>
      <c r="E1510">
        <v>0.9866875140034</v>
      </c>
      <c r="F1510">
        <v>0.8449191713041651</v>
      </c>
      <c r="G1510">
        <v>0.648197102753144</v>
      </c>
      <c r="H1510">
        <v>0.746769940171798</v>
      </c>
      <c r="I1510">
        <v>0.591506646971123</v>
      </c>
      <c r="J1510">
        <v>0.462013015402335</v>
      </c>
      <c r="K1510">
        <v>0.585854173257093</v>
      </c>
      <c r="L1510">
        <v>555.764032062743</v>
      </c>
      <c r="M1510">
        <v>10.3592355946584</v>
      </c>
      <c r="O1510">
        <v>51.7653936313579</v>
      </c>
      <c r="P1510">
        <v>-0.0263714383151054</v>
      </c>
      <c r="Q1510">
        <v>0.473108599989064</v>
      </c>
      <c r="R1510">
        <v>0.704888584082905</v>
      </c>
      <c r="S1510" t="s">
        <v>3178</v>
      </c>
      <c r="T1510" t="s">
        <v>3312</v>
      </c>
      <c r="U1510" t="s">
        <v>3312</v>
      </c>
      <c r="V1510" t="s">
        <v>3312</v>
      </c>
      <c r="W1510" t="s">
        <v>4819</v>
      </c>
      <c r="X1510">
        <v>2</v>
      </c>
      <c r="Y1510" t="s">
        <v>6461</v>
      </c>
      <c r="Z1510" t="s">
        <v>8103</v>
      </c>
      <c r="AA1510">
        <v>0.7757534469906523</v>
      </c>
      <c r="AB1510">
        <f>HYPERLINK("Melting_Curves/meltCurve_P76235_yeaH.pdf", "Melting_Curves/meltCurve_P76235_yeaH.pdf")</f>
        <v>0</v>
      </c>
    </row>
    <row r="1511" spans="1:28">
      <c r="A1511" t="s">
        <v>1537</v>
      </c>
      <c r="B1511">
        <v>0.999984544473304</v>
      </c>
      <c r="C1511">
        <v>0.863912083454396</v>
      </c>
      <c r="D1511">
        <v>0.940593351864463</v>
      </c>
      <c r="E1511">
        <v>0.911106725704307</v>
      </c>
      <c r="F1511">
        <v>0.940211347092081</v>
      </c>
      <c r="G1511">
        <v>0.754392022993393</v>
      </c>
      <c r="H1511">
        <v>0.657061104116869</v>
      </c>
      <c r="I1511">
        <v>0.599244886198523</v>
      </c>
      <c r="J1511">
        <v>0.484677251274589</v>
      </c>
      <c r="K1511">
        <v>0.444285877068575</v>
      </c>
      <c r="L1511">
        <v>405.523747617442</v>
      </c>
      <c r="M1511">
        <v>6.31017322459865</v>
      </c>
      <c r="N1511">
        <v>64.26507373459209</v>
      </c>
      <c r="O1511">
        <v>58.7170692383773</v>
      </c>
      <c r="P1511">
        <v>-0.0269394810529565</v>
      </c>
      <c r="Q1511">
        <v>0</v>
      </c>
      <c r="R1511">
        <v>0.938389145890117</v>
      </c>
      <c r="S1511" t="s">
        <v>3179</v>
      </c>
      <c r="T1511" t="s">
        <v>3312</v>
      </c>
      <c r="U1511" t="s">
        <v>3312</v>
      </c>
      <c r="V1511" t="s">
        <v>3312</v>
      </c>
      <c r="W1511" t="s">
        <v>4820</v>
      </c>
      <c r="X1511">
        <v>4</v>
      </c>
      <c r="Y1511" t="s">
        <v>6462</v>
      </c>
      <c r="Z1511" t="s">
        <v>8104</v>
      </c>
      <c r="AA1511">
        <v>0.7769614270733176</v>
      </c>
      <c r="AB1511">
        <f>HYPERLINK("Melting_Curves/meltCurve_P76243_yeaO.pdf", "Melting_Curves/meltCurve_P76243_yeaO.pdf")</f>
        <v>0</v>
      </c>
    </row>
    <row r="1512" spans="1:28">
      <c r="A1512" t="s">
        <v>1538</v>
      </c>
      <c r="B1512">
        <v>0.999984544473304</v>
      </c>
      <c r="C1512">
        <v>1.00326309510413</v>
      </c>
      <c r="D1512">
        <v>1.0210420966348</v>
      </c>
      <c r="E1512">
        <v>0.8561939070949131</v>
      </c>
      <c r="F1512">
        <v>0.976027838241569</v>
      </c>
      <c r="G1512">
        <v>0.9611193785326551</v>
      </c>
      <c r="H1512">
        <v>0.704059621136181</v>
      </c>
      <c r="I1512">
        <v>0.4650986941386</v>
      </c>
      <c r="J1512">
        <v>0.232493896669571</v>
      </c>
      <c r="K1512">
        <v>0.102376605245614</v>
      </c>
      <c r="L1512">
        <v>1220.94280453206</v>
      </c>
      <c r="M1512">
        <v>20.2425377786025</v>
      </c>
      <c r="N1512">
        <v>60.3157019229807</v>
      </c>
      <c r="O1512">
        <v>59.7363118159446</v>
      </c>
      <c r="P1512">
        <v>-0.0847188477430254</v>
      </c>
      <c r="Q1512">
        <v>0</v>
      </c>
      <c r="R1512">
        <v>0.977806123443579</v>
      </c>
      <c r="S1512" t="s">
        <v>3180</v>
      </c>
      <c r="T1512" t="s">
        <v>3312</v>
      </c>
      <c r="U1512" t="s">
        <v>3312</v>
      </c>
      <c r="V1512" t="s">
        <v>3312</v>
      </c>
      <c r="W1512" t="s">
        <v>4821</v>
      </c>
      <c r="X1512">
        <v>4</v>
      </c>
      <c r="Y1512" t="s">
        <v>6463</v>
      </c>
      <c r="Z1512" t="s">
        <v>8105</v>
      </c>
      <c r="AA1512">
        <v>0.7765421856229759</v>
      </c>
      <c r="AB1512">
        <f>HYPERLINK("Melting_Curves/meltCurve_P76251_dmlA.pdf", "Melting_Curves/meltCurve_P76251_dmlA.pdf")</f>
        <v>0</v>
      </c>
    </row>
    <row r="1513" spans="1:28">
      <c r="A1513" t="s">
        <v>1539</v>
      </c>
      <c r="B1513">
        <v>0.999984544473304</v>
      </c>
      <c r="C1513">
        <v>0.88915753838405</v>
      </c>
      <c r="D1513">
        <v>0.918779801483617</v>
      </c>
      <c r="E1513">
        <v>0.746981348957902</v>
      </c>
      <c r="F1513">
        <v>0.7834699902917051</v>
      </c>
      <c r="G1513">
        <v>0.3004460728634</v>
      </c>
      <c r="H1513">
        <v>0.207313579269565</v>
      </c>
      <c r="I1513">
        <v>0.105018618649834</v>
      </c>
      <c r="J1513">
        <v>0.174244668790933</v>
      </c>
      <c r="K1513">
        <v>0.136122939081509</v>
      </c>
      <c r="L1513">
        <v>809.921071821234</v>
      </c>
      <c r="M1513">
        <v>15.7817206532291</v>
      </c>
      <c r="N1513">
        <v>51.9424038691798</v>
      </c>
      <c r="O1513">
        <v>50.5173909420658</v>
      </c>
      <c r="P1513">
        <v>-0.0713801383428229</v>
      </c>
      <c r="Q1513">
        <v>0.086122500122623</v>
      </c>
      <c r="R1513">
        <v>0.950585080592935</v>
      </c>
      <c r="S1513" t="s">
        <v>3181</v>
      </c>
      <c r="T1513" t="s">
        <v>3312</v>
      </c>
      <c r="U1513" t="s">
        <v>3312</v>
      </c>
      <c r="V1513" t="s">
        <v>3312</v>
      </c>
      <c r="W1513" t="s">
        <v>4822</v>
      </c>
      <c r="X1513">
        <v>1</v>
      </c>
      <c r="Y1513" t="s">
        <v>6464</v>
      </c>
      <c r="Z1513" t="s">
        <v>8106</v>
      </c>
      <c r="AA1513">
        <v>0.5393273571533967</v>
      </c>
      <c r="AB1513">
        <f>HYPERLINK("Melting_Curves/meltCurve_P76256_tsaB.pdf", "Melting_Curves/meltCurve_P76256_tsaB.pdf")</f>
        <v>0</v>
      </c>
    </row>
    <row r="1514" spans="1:28">
      <c r="A1514" t="s">
        <v>1540</v>
      </c>
      <c r="B1514">
        <v>0.999984544473304</v>
      </c>
      <c r="C1514">
        <v>0.766490870697856</v>
      </c>
      <c r="D1514">
        <v>0.99921510737831</v>
      </c>
      <c r="E1514">
        <v>0.797238885341757</v>
      </c>
      <c r="F1514">
        <v>0.728972802776253</v>
      </c>
      <c r="G1514">
        <v>0.151770240111273</v>
      </c>
      <c r="H1514">
        <v>0.0612499890347074</v>
      </c>
      <c r="I1514">
        <v>0.037049428221308</v>
      </c>
      <c r="J1514">
        <v>0.030424044537587</v>
      </c>
      <c r="K1514">
        <v>0.0258935062163367</v>
      </c>
      <c r="L1514">
        <v>1550.51487860595</v>
      </c>
      <c r="M1514">
        <v>30.251599374932</v>
      </c>
      <c r="N1514">
        <v>51.3207937818552</v>
      </c>
      <c r="O1514">
        <v>51.03157669767</v>
      </c>
      <c r="P1514">
        <v>-0.145340682583602</v>
      </c>
      <c r="Q1514">
        <v>0.0193024393886719</v>
      </c>
      <c r="R1514">
        <v>0.947662624465211</v>
      </c>
      <c r="S1514" t="s">
        <v>3182</v>
      </c>
      <c r="T1514" t="s">
        <v>3312</v>
      </c>
      <c r="U1514" t="s">
        <v>3312</v>
      </c>
      <c r="V1514" t="s">
        <v>3312</v>
      </c>
      <c r="W1514" t="s">
        <v>4823</v>
      </c>
      <c r="X1514">
        <v>10</v>
      </c>
      <c r="Y1514" t="s">
        <v>6465</v>
      </c>
      <c r="Z1514" t="s">
        <v>8107</v>
      </c>
      <c r="AA1514">
        <v>0.4912964789104006</v>
      </c>
      <c r="AB1514">
        <f>HYPERLINK("Melting_Curves/meltCurve_P76268_kdgR.pdf", "Melting_Curves/meltCurve_P76268_kdgR.pdf")</f>
        <v>0</v>
      </c>
    </row>
    <row r="1515" spans="1:28">
      <c r="A1515" t="s">
        <v>1541</v>
      </c>
      <c r="B1515">
        <v>0.999984544473304</v>
      </c>
      <c r="C1515">
        <v>0.869660700062038</v>
      </c>
      <c r="D1515">
        <v>1.04217898298661</v>
      </c>
      <c r="E1515">
        <v>1.00070703492907</v>
      </c>
      <c r="F1515">
        <v>0.952396553689204</v>
      </c>
      <c r="G1515">
        <v>0.6352302223244241</v>
      </c>
      <c r="H1515">
        <v>0.369835677457228</v>
      </c>
      <c r="I1515">
        <v>0.215668558043062</v>
      </c>
      <c r="J1515">
        <v>0.125321989820538</v>
      </c>
      <c r="K1515">
        <v>0.0978620248675011</v>
      </c>
      <c r="L1515">
        <v>1239.74126337798</v>
      </c>
      <c r="M1515">
        <v>22.4905200251338</v>
      </c>
      <c r="N1515">
        <v>55.6537909537425</v>
      </c>
      <c r="O1515">
        <v>54.6925915193923</v>
      </c>
      <c r="P1515">
        <v>-0.0928796601501606</v>
      </c>
      <c r="Q1515">
        <v>0.0965570762354771</v>
      </c>
      <c r="R1515">
        <v>0.983236194865291</v>
      </c>
      <c r="S1515" t="s">
        <v>3183</v>
      </c>
      <c r="T1515" t="s">
        <v>3312</v>
      </c>
      <c r="U1515" t="s">
        <v>3312</v>
      </c>
      <c r="V1515" t="s">
        <v>3312</v>
      </c>
      <c r="W1515" t="s">
        <v>4824</v>
      </c>
      <c r="X1515">
        <v>4</v>
      </c>
      <c r="Y1515" t="s">
        <v>6466</v>
      </c>
      <c r="Z1515" t="s">
        <v>8108</v>
      </c>
      <c r="AA1515">
        <v>0.651166003349871</v>
      </c>
      <c r="AB1515">
        <f>HYPERLINK("Melting_Curves/meltCurve_P76270_msrC.pdf", "Melting_Curves/meltCurve_P76270_msrC.pdf")</f>
        <v>0</v>
      </c>
    </row>
    <row r="1516" spans="1:28">
      <c r="A1516" t="s">
        <v>1542</v>
      </c>
      <c r="B1516">
        <v>0.999984544473304</v>
      </c>
      <c r="C1516">
        <v>2.06156074550798</v>
      </c>
      <c r="D1516">
        <v>1.05322337556942</v>
      </c>
      <c r="E1516">
        <v>1.24818983591078</v>
      </c>
      <c r="F1516">
        <v>0.512140489585294</v>
      </c>
      <c r="G1516">
        <v>0.460249701721442</v>
      </c>
      <c r="H1516">
        <v>0.679942498903063</v>
      </c>
      <c r="I1516">
        <v>0.264910634704973</v>
      </c>
      <c r="J1516">
        <v>0.101970761522534</v>
      </c>
      <c r="K1516">
        <v>0.0715811879447875</v>
      </c>
      <c r="L1516">
        <v>721.863583158858</v>
      </c>
      <c r="M1516">
        <v>12.9170029514138</v>
      </c>
      <c r="N1516">
        <v>55.8847580950489</v>
      </c>
      <c r="O1516">
        <v>54.5961727523715</v>
      </c>
      <c r="P1516">
        <v>-0.0591586457028426</v>
      </c>
      <c r="Q1516">
        <v>0</v>
      </c>
      <c r="R1516">
        <v>0.575326690157828</v>
      </c>
      <c r="S1516" t="s">
        <v>3184</v>
      </c>
      <c r="T1516" t="s">
        <v>3312</v>
      </c>
      <c r="U1516" t="s">
        <v>3312</v>
      </c>
      <c r="V1516" t="s">
        <v>3312</v>
      </c>
      <c r="W1516" t="s">
        <v>4825</v>
      </c>
      <c r="X1516">
        <v>2</v>
      </c>
      <c r="Y1516" t="s">
        <v>6467</v>
      </c>
      <c r="Z1516" t="s">
        <v>8109</v>
      </c>
      <c r="AA1516">
        <v>0.6406298689519401</v>
      </c>
      <c r="AB1516">
        <f>HYPERLINK("Melting_Curves/meltCurve_P76272_yebT.pdf", "Melting_Curves/meltCurve_P76272_yebT.pdf")</f>
        <v>0</v>
      </c>
    </row>
    <row r="1517" spans="1:28">
      <c r="A1517" t="s">
        <v>1543</v>
      </c>
      <c r="B1517">
        <v>0.999984544473304</v>
      </c>
      <c r="C1517">
        <v>0.9263186375157469</v>
      </c>
      <c r="D1517">
        <v>0.49989326313499</v>
      </c>
      <c r="E1517">
        <v>0.677365738003425</v>
      </c>
      <c r="F1517">
        <v>0.489507978890072</v>
      </c>
      <c r="G1517">
        <v>0.255206048657823</v>
      </c>
      <c r="H1517">
        <v>0.274330015239478</v>
      </c>
      <c r="I1517">
        <v>0.161218946124057</v>
      </c>
      <c r="J1517">
        <v>0.124945436058433</v>
      </c>
      <c r="K1517">
        <v>0.09779290437257949</v>
      </c>
      <c r="L1517">
        <v>375.217705979428</v>
      </c>
      <c r="M1517">
        <v>7.7326302305003</v>
      </c>
      <c r="N1517">
        <v>48.5239358124687</v>
      </c>
      <c r="O1517">
        <v>45.5988701561599</v>
      </c>
      <c r="P1517">
        <v>-0.0424492798024008</v>
      </c>
      <c r="Q1517">
        <v>0</v>
      </c>
      <c r="R1517">
        <v>0.911705427359141</v>
      </c>
      <c r="S1517" t="s">
        <v>3185</v>
      </c>
      <c r="T1517" t="s">
        <v>3312</v>
      </c>
      <c r="U1517" t="s">
        <v>3312</v>
      </c>
      <c r="V1517" t="s">
        <v>3312</v>
      </c>
      <c r="W1517" t="s">
        <v>4826</v>
      </c>
      <c r="X1517">
        <v>2</v>
      </c>
      <c r="Y1517" t="s">
        <v>6468</v>
      </c>
      <c r="Z1517" t="s">
        <v>8110</v>
      </c>
      <c r="AA1517">
        <v>0.434761392616171</v>
      </c>
      <c r="AB1517">
        <f>HYPERLINK("Melting_Curves/meltCurve_P76290_cmoA.pdf", "Melting_Curves/meltCurve_P76290_cmoA.pdf")</f>
        <v>0</v>
      </c>
    </row>
    <row r="1518" spans="1:28">
      <c r="A1518" t="s">
        <v>1544</v>
      </c>
      <c r="B1518">
        <v>0.999984544473304</v>
      </c>
      <c r="C1518">
        <v>1.50133413785474</v>
      </c>
      <c r="D1518">
        <v>0.390420116167087</v>
      </c>
      <c r="E1518">
        <v>0.157435143547679</v>
      </c>
      <c r="F1518">
        <v>0.0619476219932416</v>
      </c>
      <c r="G1518">
        <v>0.0365284468804905</v>
      </c>
      <c r="H1518">
        <v>0.021354124948039</v>
      </c>
      <c r="I1518">
        <v>0.0136774555003267</v>
      </c>
      <c r="J1518">
        <v>0.0112091978042872</v>
      </c>
      <c r="K1518">
        <v>0.0106176100380668</v>
      </c>
      <c r="L1518">
        <v>10725.6152802308</v>
      </c>
      <c r="M1518">
        <v>250</v>
      </c>
      <c r="N1518">
        <v>42.9185318277039</v>
      </c>
      <c r="O1518">
        <v>42.8997143767277</v>
      </c>
      <c r="P1518">
        <v>-1.39179044811138</v>
      </c>
      <c r="Q1518">
        <v>0.0446813696577031</v>
      </c>
      <c r="R1518">
        <v>0.88872995923946</v>
      </c>
      <c r="S1518" t="s">
        <v>3186</v>
      </c>
      <c r="T1518" t="s">
        <v>3312</v>
      </c>
      <c r="U1518" t="s">
        <v>3312</v>
      </c>
      <c r="V1518" t="s">
        <v>3312</v>
      </c>
      <c r="W1518" t="s">
        <v>4827</v>
      </c>
      <c r="X1518">
        <v>1</v>
      </c>
      <c r="Y1518" t="s">
        <v>6469</v>
      </c>
      <c r="Z1518" t="s">
        <v>8111</v>
      </c>
      <c r="AA1518">
        <v>0.2327110010644235</v>
      </c>
      <c r="AB1518">
        <f>HYPERLINK("Melting_Curves/meltCurve_P76298_flhA.pdf", "Melting_Curves/meltCurve_P76298_flhA.pdf")</f>
        <v>0</v>
      </c>
    </row>
    <row r="1519" spans="1:28">
      <c r="A1519" t="s">
        <v>1545</v>
      </c>
      <c r="B1519">
        <v>0.999984544473304</v>
      </c>
      <c r="C1519">
        <v>0.836656818729857</v>
      </c>
      <c r="D1519">
        <v>1.01594523032217</v>
      </c>
      <c r="E1519">
        <v>0.894908206191206</v>
      </c>
      <c r="F1519">
        <v>1.08189220617295</v>
      </c>
      <c r="G1519">
        <v>1.00764422154158</v>
      </c>
      <c r="H1519">
        <v>0.933327720625723</v>
      </c>
      <c r="I1519">
        <v>0.934453109413913</v>
      </c>
      <c r="J1519">
        <v>0.81936701339519</v>
      </c>
      <c r="K1519">
        <v>0.680095343112527</v>
      </c>
      <c r="L1519">
        <v>1127.34777719973</v>
      </c>
      <c r="M1519">
        <v>16.066823287491</v>
      </c>
      <c r="Q1519">
        <v>0</v>
      </c>
      <c r="R1519">
        <v>0.624755460334392</v>
      </c>
      <c r="S1519" t="s">
        <v>3187</v>
      </c>
      <c r="T1519" t="s">
        <v>3312</v>
      </c>
      <c r="U1519" t="s">
        <v>3312</v>
      </c>
      <c r="V1519" t="s">
        <v>3312</v>
      </c>
      <c r="W1519" t="s">
        <v>4828</v>
      </c>
      <c r="X1519">
        <v>8</v>
      </c>
      <c r="Y1519" t="s">
        <v>6470</v>
      </c>
      <c r="Z1519" t="s">
        <v>8112</v>
      </c>
      <c r="AA1519">
        <v>0.9546944867167806</v>
      </c>
      <c r="AB1519">
        <f>HYPERLINK("Melting_Curves/meltCurve_P76316_dcyD.pdf", "Melting_Curves/meltCurve_P76316_dcyD.pdf")</f>
        <v>0</v>
      </c>
    </row>
    <row r="1520" spans="1:28">
      <c r="A1520" t="s">
        <v>1546</v>
      </c>
      <c r="B1520">
        <v>0.999984544473304</v>
      </c>
      <c r="C1520">
        <v>1.14116885829832</v>
      </c>
      <c r="D1520">
        <v>1.10463271235564</v>
      </c>
      <c r="E1520">
        <v>1.24496098979857</v>
      </c>
      <c r="F1520">
        <v>1.32487126288774</v>
      </c>
      <c r="G1520">
        <v>1.20984998994819</v>
      </c>
      <c r="H1520">
        <v>0.902786628768707</v>
      </c>
      <c r="I1520">
        <v>0.734572029469054</v>
      </c>
      <c r="J1520">
        <v>0.456832505963268</v>
      </c>
      <c r="K1520">
        <v>0.528163949065392</v>
      </c>
      <c r="L1520">
        <v>2803.44010809572</v>
      </c>
      <c r="M1520">
        <v>46.2126818833015</v>
      </c>
      <c r="N1520">
        <v>65.023987929141</v>
      </c>
      <c r="O1520">
        <v>60.5506023566644</v>
      </c>
      <c r="P1520">
        <v>-0.0997042128841569</v>
      </c>
      <c r="Q1520">
        <v>0.477447090046654</v>
      </c>
      <c r="R1520">
        <v>0.695435632259767</v>
      </c>
      <c r="S1520" t="s">
        <v>3188</v>
      </c>
      <c r="T1520" t="s">
        <v>3312</v>
      </c>
      <c r="U1520" t="s">
        <v>3312</v>
      </c>
      <c r="V1520" t="s">
        <v>3312</v>
      </c>
      <c r="W1520" t="s">
        <v>4829</v>
      </c>
      <c r="X1520">
        <v>3</v>
      </c>
      <c r="Y1520" t="s">
        <v>6471</v>
      </c>
      <c r="Z1520" t="s">
        <v>8113</v>
      </c>
      <c r="AA1520">
        <v>0.8909043325771352</v>
      </c>
      <c r="AB1520">
        <f>HYPERLINK("Melting_Curves/meltCurve_P76318_yedK.pdf", "Melting_Curves/meltCurve_P76318_yedK.pdf")</f>
        <v>0</v>
      </c>
    </row>
    <row r="1521" spans="1:28">
      <c r="A1521" t="s">
        <v>1547</v>
      </c>
      <c r="B1521">
        <v>0.999984544473304</v>
      </c>
      <c r="C1521">
        <v>0.677650999158522</v>
      </c>
      <c r="D1521">
        <v>0.581263064822205</v>
      </c>
      <c r="E1521">
        <v>0.189369396345982</v>
      </c>
      <c r="F1521">
        <v>0.0563380753015587</v>
      </c>
      <c r="G1521">
        <v>0.0345218375899083</v>
      </c>
      <c r="H1521">
        <v>0.0273870040003305</v>
      </c>
      <c r="I1521">
        <v>0.02440629008237</v>
      </c>
      <c r="J1521">
        <v>0.0156340104269376</v>
      </c>
      <c r="K1521">
        <v>0.0150804002995955</v>
      </c>
      <c r="L1521">
        <v>707.9249571389309</v>
      </c>
      <c r="M1521">
        <v>16.48394432465</v>
      </c>
      <c r="N1521">
        <v>42.9709774060974</v>
      </c>
      <c r="O1521">
        <v>42.3292050085275</v>
      </c>
      <c r="P1521">
        <v>-0.0969043563561779</v>
      </c>
      <c r="Q1521">
        <v>0.00470466847650195</v>
      </c>
      <c r="R1521">
        <v>0.979086516754921</v>
      </c>
      <c r="S1521" t="s">
        <v>3189</v>
      </c>
      <c r="T1521" t="s">
        <v>3312</v>
      </c>
      <c r="U1521" t="s">
        <v>3312</v>
      </c>
      <c r="V1521" t="s">
        <v>3312</v>
      </c>
      <c r="W1521" t="s">
        <v>4830</v>
      </c>
      <c r="X1521">
        <v>5</v>
      </c>
      <c r="Y1521" t="s">
        <v>6472</v>
      </c>
      <c r="Z1521" t="s">
        <v>8114</v>
      </c>
      <c r="AA1521">
        <v>0.2234970654760119</v>
      </c>
      <c r="AB1521">
        <f>HYPERLINK("Melting_Curves/meltCurve_P76329_yedP.pdf", "Melting_Curves/meltCurve_P76329_yedP.pdf")</f>
        <v>0</v>
      </c>
    </row>
    <row r="1522" spans="1:28">
      <c r="A1522" t="s">
        <v>1548</v>
      </c>
      <c r="B1522">
        <v>0.999984544473304</v>
      </c>
      <c r="C1522">
        <v>0.823294750139093</v>
      </c>
      <c r="D1522">
        <v>0.862615743255387</v>
      </c>
      <c r="E1522">
        <v>0.61852727541445</v>
      </c>
      <c r="F1522">
        <v>0.292858280905406</v>
      </c>
      <c r="G1522">
        <v>0.191574828302335</v>
      </c>
      <c r="H1522">
        <v>0.177717371276333</v>
      </c>
      <c r="I1522">
        <v>0.0694421582787198</v>
      </c>
      <c r="J1522">
        <v>0.0340295386287701</v>
      </c>
      <c r="K1522">
        <v>0.0288335249795747</v>
      </c>
      <c r="L1522">
        <v>618.679541082426</v>
      </c>
      <c r="M1522">
        <v>12.9678042240699</v>
      </c>
      <c r="N1522">
        <v>47.8282247175844</v>
      </c>
      <c r="O1522">
        <v>46.6170802833565</v>
      </c>
      <c r="P1522">
        <v>-0.0684494344317893</v>
      </c>
      <c r="Q1522">
        <v>0.0159181850851457</v>
      </c>
      <c r="R1522">
        <v>0.981439710672003</v>
      </c>
      <c r="S1522" t="s">
        <v>3190</v>
      </c>
      <c r="T1522" t="s">
        <v>3312</v>
      </c>
      <c r="U1522" t="s">
        <v>3312</v>
      </c>
      <c r="V1522" t="s">
        <v>3312</v>
      </c>
      <c r="W1522" t="s">
        <v>4831</v>
      </c>
      <c r="X1522">
        <v>3</v>
      </c>
      <c r="Y1522" t="s">
        <v>6473</v>
      </c>
      <c r="Z1522" t="s">
        <v>8115</v>
      </c>
      <c r="AA1522">
        <v>0.3949303993322682</v>
      </c>
      <c r="AB1522">
        <f>HYPERLINK("Melting_Curves/meltCurve_P76342_msrP.pdf", "Melting_Curves/meltCurve_P76342_msrP.pdf")</f>
        <v>0</v>
      </c>
    </row>
    <row r="1523" spans="1:28">
      <c r="A1523" t="s">
        <v>1549</v>
      </c>
      <c r="B1523">
        <v>0.999984544473304</v>
      </c>
      <c r="C1523">
        <v>0.7279231204047441</v>
      </c>
      <c r="D1523">
        <v>0.652838843143464</v>
      </c>
      <c r="E1523">
        <v>0.287087818407243</v>
      </c>
      <c r="F1523">
        <v>0.204093832196856</v>
      </c>
      <c r="G1523">
        <v>0.133188198364787</v>
      </c>
      <c r="H1523">
        <v>0.101196294501739</v>
      </c>
      <c r="I1523">
        <v>0.0798355722465532</v>
      </c>
      <c r="J1523">
        <v>0.0651706268395512</v>
      </c>
      <c r="K1523">
        <v>0.0613733765371219</v>
      </c>
      <c r="L1523">
        <v>628.266948050523</v>
      </c>
      <c r="M1523">
        <v>14.3773117419912</v>
      </c>
      <c r="N1523">
        <v>44.1136214163986</v>
      </c>
      <c r="O1523">
        <v>42.8792067339096</v>
      </c>
      <c r="P1523">
        <v>-0.0785305212006888</v>
      </c>
      <c r="Q1523">
        <v>0.0632676649428628</v>
      </c>
      <c r="R1523">
        <v>0.982249466413437</v>
      </c>
      <c r="S1523" t="s">
        <v>3191</v>
      </c>
      <c r="T1523" t="s">
        <v>3312</v>
      </c>
      <c r="U1523" t="s">
        <v>3312</v>
      </c>
      <c r="V1523" t="s">
        <v>3312</v>
      </c>
      <c r="W1523" t="s">
        <v>4832</v>
      </c>
      <c r="X1523">
        <v>3</v>
      </c>
      <c r="Y1523" t="s">
        <v>6474</v>
      </c>
      <c r="Z1523" t="s">
        <v>8116</v>
      </c>
      <c r="AA1523">
        <v>0.2982579923624085</v>
      </c>
      <c r="AB1523">
        <f>HYPERLINK("Melting_Curves/meltCurve_P76346_mtfA.pdf", "Melting_Curves/meltCurve_P76346_mtfA.pdf")</f>
        <v>0</v>
      </c>
    </row>
    <row r="1524" spans="1:28">
      <c r="A1524" t="s">
        <v>1550</v>
      </c>
      <c r="B1524">
        <v>0.999984544473304</v>
      </c>
      <c r="C1524">
        <v>0.858747385235416</v>
      </c>
      <c r="D1524">
        <v>0.977045411679523</v>
      </c>
      <c r="E1524">
        <v>0.881294283228799</v>
      </c>
      <c r="F1524">
        <v>0.867248119829273</v>
      </c>
      <c r="G1524">
        <v>0.7223490974803221</v>
      </c>
      <c r="H1524">
        <v>0.65228250176006</v>
      </c>
      <c r="I1524">
        <v>0.522529750787561</v>
      </c>
      <c r="J1524">
        <v>0.416593245598213</v>
      </c>
      <c r="K1524">
        <v>0.30431714981348</v>
      </c>
      <c r="L1524">
        <v>461.103015477847</v>
      </c>
      <c r="M1524">
        <v>7.53586997378336</v>
      </c>
      <c r="N1524">
        <v>61.1877600792975</v>
      </c>
      <c r="O1524">
        <v>57.3240776857234</v>
      </c>
      <c r="P1524">
        <v>-0.0329116292610896</v>
      </c>
      <c r="Q1524">
        <v>0</v>
      </c>
      <c r="R1524">
        <v>0.960853758583839</v>
      </c>
      <c r="S1524" t="s">
        <v>3192</v>
      </c>
      <c r="T1524" t="s">
        <v>3312</v>
      </c>
      <c r="U1524" t="s">
        <v>3312</v>
      </c>
      <c r="V1524" t="s">
        <v>3312</v>
      </c>
      <c r="W1524" t="s">
        <v>4833</v>
      </c>
      <c r="X1524">
        <v>8</v>
      </c>
      <c r="Y1524" t="s">
        <v>6475</v>
      </c>
      <c r="Z1524" t="s">
        <v>8117</v>
      </c>
      <c r="AA1524">
        <v>0.7422204174333105</v>
      </c>
      <c r="AB1524">
        <f>HYPERLINK("Melting_Curves/meltCurve_P76372_wzzB.pdf", "Melting_Curves/meltCurve_P76372_wzzB.pdf")</f>
        <v>0</v>
      </c>
    </row>
    <row r="1525" spans="1:28">
      <c r="A1525" t="s">
        <v>1551</v>
      </c>
      <c r="B1525">
        <v>0.999984544473304</v>
      </c>
      <c r="C1525">
        <v>0.903613824608989</v>
      </c>
      <c r="D1525">
        <v>1.03241843308305</v>
      </c>
      <c r="E1525">
        <v>1.02904851148092</v>
      </c>
      <c r="F1525">
        <v>0.593154487616269</v>
      </c>
      <c r="G1525">
        <v>0.326166676438164</v>
      </c>
      <c r="H1525">
        <v>0.258051895164794</v>
      </c>
      <c r="I1525">
        <v>0.218821459790799</v>
      </c>
      <c r="J1525">
        <v>0.1724884339155</v>
      </c>
      <c r="K1525">
        <v>0.182565996032229</v>
      </c>
      <c r="L1525">
        <v>1812.93000480557</v>
      </c>
      <c r="M1525">
        <v>36.0257938858935</v>
      </c>
      <c r="N1525">
        <v>51.1077710461009</v>
      </c>
      <c r="O1525">
        <v>50.1688273678751</v>
      </c>
      <c r="P1525">
        <v>-0.141389188282962</v>
      </c>
      <c r="Q1525">
        <v>0.212419350274273</v>
      </c>
      <c r="R1525">
        <v>0.983047796521956</v>
      </c>
      <c r="S1525" t="s">
        <v>3193</v>
      </c>
      <c r="T1525" t="s">
        <v>3312</v>
      </c>
      <c r="U1525" t="s">
        <v>3312</v>
      </c>
      <c r="V1525" t="s">
        <v>3312</v>
      </c>
      <c r="W1525" t="s">
        <v>4834</v>
      </c>
      <c r="X1525">
        <v>3</v>
      </c>
      <c r="Y1525" t="s">
        <v>6476</v>
      </c>
      <c r="Z1525" t="s">
        <v>8118</v>
      </c>
      <c r="AA1525">
        <v>0.565563255041361</v>
      </c>
      <c r="AB1525">
        <f>HYPERLINK("Melting_Curves/meltCurve_P76397_mdtA.pdf", "Melting_Curves/meltCurve_P76397_mdtA.pdf")</f>
        <v>0</v>
      </c>
    </row>
    <row r="1526" spans="1:28">
      <c r="A1526" t="s">
        <v>1552</v>
      </c>
      <c r="B1526">
        <v>0.999984544473304</v>
      </c>
      <c r="C1526">
        <v>0.860992508647481</v>
      </c>
      <c r="D1526">
        <v>1.13357476380106</v>
      </c>
      <c r="E1526">
        <v>1.09634115721297</v>
      </c>
      <c r="F1526">
        <v>1.01046683219753</v>
      </c>
      <c r="G1526">
        <v>0.4961219476908</v>
      </c>
      <c r="H1526">
        <v>0.18056016781662</v>
      </c>
      <c r="I1526">
        <v>0.100640055952692</v>
      </c>
      <c r="J1526">
        <v>0.08947872099324571</v>
      </c>
      <c r="K1526">
        <v>0.103803111974066</v>
      </c>
      <c r="L1526">
        <v>2829.29826712816</v>
      </c>
      <c r="M1526">
        <v>52.815744568686</v>
      </c>
      <c r="N1526">
        <v>53.8238660913718</v>
      </c>
      <c r="O1526">
        <v>53.4925881884052</v>
      </c>
      <c r="P1526">
        <v>-0.219548704000746</v>
      </c>
      <c r="Q1526">
        <v>0.110551561775642</v>
      </c>
      <c r="R1526">
        <v>0.97301811461051</v>
      </c>
      <c r="S1526" t="s">
        <v>3194</v>
      </c>
      <c r="T1526" t="s">
        <v>3312</v>
      </c>
      <c r="U1526" t="s">
        <v>3312</v>
      </c>
      <c r="V1526" t="s">
        <v>3312</v>
      </c>
      <c r="W1526" t="s">
        <v>4835</v>
      </c>
      <c r="X1526">
        <v>7</v>
      </c>
      <c r="Y1526" t="s">
        <v>6477</v>
      </c>
      <c r="Z1526" t="s">
        <v>8119</v>
      </c>
      <c r="AA1526">
        <v>0.6036817326769881</v>
      </c>
      <c r="AB1526">
        <f>HYPERLINK("Melting_Curves/meltCurve_P76402_yegP.pdf", "Melting_Curves/meltCurve_P76402_yegP.pdf")</f>
        <v>0</v>
      </c>
    </row>
    <row r="1527" spans="1:28">
      <c r="A1527" t="s">
        <v>1553</v>
      </c>
      <c r="B1527">
        <v>0.999984544473304</v>
      </c>
      <c r="C1527">
        <v>1.32011771278458</v>
      </c>
      <c r="D1527">
        <v>0.814643602635362</v>
      </c>
      <c r="E1527">
        <v>0.49307431041335</v>
      </c>
      <c r="F1527">
        <v>0.252227696765414</v>
      </c>
      <c r="G1527">
        <v>0.142875291401682</v>
      </c>
      <c r="H1527">
        <v>0.0689151269853622</v>
      </c>
      <c r="I1527">
        <v>0.0446467001556977</v>
      </c>
      <c r="J1527">
        <v>0.0250046572016961</v>
      </c>
      <c r="K1527">
        <v>0.0239937019058923</v>
      </c>
      <c r="L1527">
        <v>1045.92428953215</v>
      </c>
      <c r="M1527">
        <v>22.4376214138205</v>
      </c>
      <c r="N1527">
        <v>46.8387595543048</v>
      </c>
      <c r="O1527">
        <v>46.2492241194847</v>
      </c>
      <c r="P1527">
        <v>-0.115118483630003</v>
      </c>
      <c r="Q1527">
        <v>0.05087433629226</v>
      </c>
      <c r="R1527">
        <v>0.936153122326626</v>
      </c>
      <c r="S1527" t="s">
        <v>3195</v>
      </c>
      <c r="T1527" t="s">
        <v>3312</v>
      </c>
      <c r="U1527" t="s">
        <v>3312</v>
      </c>
      <c r="V1527" t="s">
        <v>3312</v>
      </c>
      <c r="W1527" t="s">
        <v>4836</v>
      </c>
      <c r="X1527">
        <v>2</v>
      </c>
      <c r="Y1527" t="s">
        <v>6478</v>
      </c>
      <c r="Z1527" t="s">
        <v>8120</v>
      </c>
      <c r="AA1527">
        <v>0.3649243966581939</v>
      </c>
      <c r="AB1527">
        <f>HYPERLINK("Melting_Curves/meltCurve_P76403_yegQ.pdf", "Melting_Curves/meltCurve_P76403_yegQ.pdf")</f>
        <v>0</v>
      </c>
    </row>
    <row r="1528" spans="1:28">
      <c r="A1528" t="s">
        <v>1554</v>
      </c>
      <c r="B1528">
        <v>0.999984544473304</v>
      </c>
      <c r="C1528">
        <v>0.802480280990074</v>
      </c>
      <c r="D1528">
        <v>0.7903318383136499</v>
      </c>
      <c r="E1528">
        <v>0.63295669979737</v>
      </c>
      <c r="F1528">
        <v>0.521928560933844</v>
      </c>
      <c r="G1528">
        <v>0.28347327675657</v>
      </c>
      <c r="H1528">
        <v>0.238036466338809</v>
      </c>
      <c r="I1528">
        <v>0.145179134116813</v>
      </c>
      <c r="J1528">
        <v>0.06777288504387451</v>
      </c>
      <c r="K1528">
        <v>0.0522460454907869</v>
      </c>
      <c r="L1528">
        <v>449.924595201486</v>
      </c>
      <c r="M1528">
        <v>9.129502682930189</v>
      </c>
      <c r="N1528">
        <v>49.2824804314901</v>
      </c>
      <c r="O1528">
        <v>47.0906371672114</v>
      </c>
      <c r="P1528">
        <v>-0.0485010542203854</v>
      </c>
      <c r="Q1528">
        <v>0</v>
      </c>
      <c r="R1528">
        <v>0.981949941393463</v>
      </c>
      <c r="S1528" t="s">
        <v>3196</v>
      </c>
      <c r="T1528" t="s">
        <v>3312</v>
      </c>
      <c r="U1528" t="s">
        <v>3312</v>
      </c>
      <c r="V1528" t="s">
        <v>3312</v>
      </c>
      <c r="W1528" t="s">
        <v>4837</v>
      </c>
      <c r="X1528">
        <v>5</v>
      </c>
      <c r="Y1528" t="s">
        <v>6479</v>
      </c>
      <c r="Z1528" t="s">
        <v>8121</v>
      </c>
      <c r="AA1528">
        <v>0.4491996417530956</v>
      </c>
      <c r="AB1528">
        <f>HYPERLINK("Melting_Curves/meltCurve_P76407_yegS.pdf", "Melting_Curves/meltCurve_P76407_yegS.pdf")</f>
        <v>0</v>
      </c>
    </row>
    <row r="1529" spans="1:28">
      <c r="A1529" t="s">
        <v>1555</v>
      </c>
      <c r="B1529">
        <v>0.999984544473304</v>
      </c>
      <c r="C1529">
        <v>1.07823865211596</v>
      </c>
      <c r="D1529">
        <v>0.689249493899434</v>
      </c>
      <c r="E1529">
        <v>0.6573059870583779</v>
      </c>
      <c r="F1529">
        <v>0.388687252413406</v>
      </c>
      <c r="G1529">
        <v>0.21869915247417</v>
      </c>
      <c r="H1529">
        <v>0.154610048811243</v>
      </c>
      <c r="I1529">
        <v>0.100556498955569</v>
      </c>
      <c r="J1529">
        <v>0.0622142703448359</v>
      </c>
      <c r="K1529">
        <v>0.0761280561767987</v>
      </c>
      <c r="L1529">
        <v>625.032680616133</v>
      </c>
      <c r="M1529">
        <v>13.0395685940514</v>
      </c>
      <c r="N1529">
        <v>48.2784298485793</v>
      </c>
      <c r="O1529">
        <v>46.8482014889897</v>
      </c>
      <c r="P1529">
        <v>-0.0665011852887866</v>
      </c>
      <c r="Q1529">
        <v>0.0444723463396217</v>
      </c>
      <c r="R1529">
        <v>0.968936808577519</v>
      </c>
      <c r="S1529" t="s">
        <v>3197</v>
      </c>
      <c r="T1529" t="s">
        <v>3312</v>
      </c>
      <c r="U1529" t="s">
        <v>3312</v>
      </c>
      <c r="V1529" t="s">
        <v>3312</v>
      </c>
      <c r="W1529" t="s">
        <v>4838</v>
      </c>
      <c r="X1529">
        <v>1</v>
      </c>
      <c r="Y1529" t="s">
        <v>6480</v>
      </c>
      <c r="Z1529" t="s">
        <v>8122</v>
      </c>
      <c r="AA1529">
        <v>0.4191792418138108</v>
      </c>
      <c r="AB1529">
        <f>HYPERLINK("Melting_Curves/meltCurve_P76440_preT.pdf", "Melting_Curves/meltCurve_P76440_preT.pdf")</f>
        <v>0</v>
      </c>
    </row>
    <row r="1530" spans="1:28">
      <c r="A1530" t="s">
        <v>1556</v>
      </c>
      <c r="B1530">
        <v>0.999984544473304</v>
      </c>
      <c r="C1530">
        <v>1.04658299240234</v>
      </c>
      <c r="D1530">
        <v>1.06582065466124</v>
      </c>
      <c r="E1530">
        <v>0.891918217548553</v>
      </c>
      <c r="F1530">
        <v>0.878013282483699</v>
      </c>
      <c r="G1530">
        <v>0.718636714679437</v>
      </c>
      <c r="H1530">
        <v>0.671489191344009</v>
      </c>
      <c r="I1530">
        <v>0.659677583250897</v>
      </c>
      <c r="J1530">
        <v>0.543057919075697</v>
      </c>
      <c r="K1530">
        <v>0.405893335336554</v>
      </c>
      <c r="L1530">
        <v>464.659140145154</v>
      </c>
      <c r="M1530">
        <v>7.5646689639067</v>
      </c>
      <c r="N1530">
        <v>64.70943344397929</v>
      </c>
      <c r="O1530">
        <v>57.5727475069002</v>
      </c>
      <c r="P1530">
        <v>-0.027649983142674</v>
      </c>
      <c r="Q1530">
        <v>0.15942313016938</v>
      </c>
      <c r="R1530">
        <v>0.939306841545132</v>
      </c>
      <c r="S1530" t="s">
        <v>3198</v>
      </c>
      <c r="T1530" t="s">
        <v>3312</v>
      </c>
      <c r="U1530" t="s">
        <v>3312</v>
      </c>
      <c r="V1530" t="s">
        <v>3312</v>
      </c>
      <c r="W1530" t="s">
        <v>4839</v>
      </c>
      <c r="X1530">
        <v>1</v>
      </c>
      <c r="Y1530" t="s">
        <v>6481</v>
      </c>
      <c r="Z1530" t="s">
        <v>8123</v>
      </c>
      <c r="AA1530">
        <v>0.7875256120972753</v>
      </c>
      <c r="AB1530">
        <f>HYPERLINK("Melting_Curves/meltCurve_P76445_lpxT.pdf", "Melting_Curves/meltCurve_P76445_lpxT.pdf")</f>
        <v>0</v>
      </c>
    </row>
    <row r="1531" spans="1:28">
      <c r="A1531" t="s">
        <v>1557</v>
      </c>
      <c r="B1531">
        <v>0.999984544473304</v>
      </c>
      <c r="C1531">
        <v>0.953511909190088</v>
      </c>
      <c r="D1531">
        <v>0.913360328495039</v>
      </c>
      <c r="E1531">
        <v>0.8949642252189211</v>
      </c>
      <c r="F1531">
        <v>0.566765740031193</v>
      </c>
      <c r="G1531">
        <v>0.436479111117444</v>
      </c>
      <c r="H1531">
        <v>0.310668471130615</v>
      </c>
      <c r="I1531">
        <v>0.240369527597902</v>
      </c>
      <c r="J1531">
        <v>0.121569582788503</v>
      </c>
      <c r="K1531">
        <v>0.214474389399208</v>
      </c>
      <c r="L1531">
        <v>740.142973450515</v>
      </c>
      <c r="M1531">
        <v>14.5187546579688</v>
      </c>
      <c r="N1531">
        <v>52.270033789068</v>
      </c>
      <c r="O1531">
        <v>50.0405743692219</v>
      </c>
      <c r="P1531">
        <v>-0.0616086754073174</v>
      </c>
      <c r="Q1531">
        <v>0.150731754948607</v>
      </c>
      <c r="R1531">
        <v>0.983971671429403</v>
      </c>
      <c r="S1531" t="s">
        <v>3199</v>
      </c>
      <c r="T1531" t="s">
        <v>3312</v>
      </c>
      <c r="U1531" t="s">
        <v>3312</v>
      </c>
      <c r="V1531" t="s">
        <v>3312</v>
      </c>
      <c r="W1531" t="s">
        <v>4840</v>
      </c>
      <c r="X1531">
        <v>1</v>
      </c>
      <c r="Y1531" t="s">
        <v>6482</v>
      </c>
      <c r="Z1531" t="s">
        <v>8124</v>
      </c>
      <c r="AA1531">
        <v>0.5642941122713769</v>
      </c>
      <c r="AB1531">
        <f>HYPERLINK("Melting_Curves/meltCurve_P76502_sixA.pdf", "Melting_Curves/meltCurve_P76502_sixA.pdf")</f>
        <v>0</v>
      </c>
    </row>
    <row r="1532" spans="1:28">
      <c r="A1532" t="s">
        <v>1558</v>
      </c>
      <c r="B1532">
        <v>0.999984544473304</v>
      </c>
      <c r="C1532">
        <v>0.952726155277715</v>
      </c>
      <c r="D1532">
        <v>0.854049890372179</v>
      </c>
      <c r="E1532">
        <v>1.01960682286749</v>
      </c>
      <c r="F1532">
        <v>1.2169139188252</v>
      </c>
      <c r="G1532">
        <v>1.15434527074259</v>
      </c>
      <c r="H1532">
        <v>1.06141776157216</v>
      </c>
      <c r="I1532">
        <v>1.0728947099431</v>
      </c>
      <c r="J1532">
        <v>0.822648352913198</v>
      </c>
      <c r="K1532">
        <v>1.06083700992568</v>
      </c>
      <c r="L1532">
        <v>15000</v>
      </c>
      <c r="M1532">
        <v>221.903752986704</v>
      </c>
      <c r="Q1532">
        <v>1.5</v>
      </c>
      <c r="R1532">
        <v>-0.00699885218047558</v>
      </c>
      <c r="S1532" t="s">
        <v>3200</v>
      </c>
      <c r="T1532" t="s">
        <v>3312</v>
      </c>
      <c r="U1532" t="s">
        <v>3312</v>
      </c>
      <c r="V1532" t="s">
        <v>3312</v>
      </c>
      <c r="W1532" t="s">
        <v>4841</v>
      </c>
      <c r="X1532">
        <v>3</v>
      </c>
      <c r="Y1532" t="s">
        <v>6483</v>
      </c>
      <c r="Z1532" t="s">
        <v>8125</v>
      </c>
      <c r="AA1532">
        <v>1.000641107408628</v>
      </c>
      <c r="AB1532">
        <f>HYPERLINK("Melting_Curves/meltCurve_P76506_mlaA.pdf", "Melting_Curves/meltCurve_P76506_mlaA.pdf")</f>
        <v>0</v>
      </c>
    </row>
    <row r="1533" spans="1:28">
      <c r="A1533" t="s">
        <v>1559</v>
      </c>
      <c r="B1533">
        <v>0.999984544473304</v>
      </c>
      <c r="C1533">
        <v>0.884092827549659</v>
      </c>
      <c r="D1533">
        <v>0.953474135146818</v>
      </c>
      <c r="E1533">
        <v>0.593732172028543</v>
      </c>
      <c r="F1533">
        <v>0.214046287010946</v>
      </c>
      <c r="G1533">
        <v>0.103792421769415</v>
      </c>
      <c r="H1533">
        <v>0.0648060889331613</v>
      </c>
      <c r="I1533">
        <v>0.0564490185775731</v>
      </c>
      <c r="J1533">
        <v>0.0448808648754732</v>
      </c>
      <c r="K1533">
        <v>0.0349634744275887</v>
      </c>
      <c r="L1533">
        <v>1176.09370447603</v>
      </c>
      <c r="M1533">
        <v>24.9292040839979</v>
      </c>
      <c r="N1533">
        <v>47.3687829846993</v>
      </c>
      <c r="O1533">
        <v>46.876910945646</v>
      </c>
      <c r="P1533">
        <v>-0.126581077763214</v>
      </c>
      <c r="Q1533">
        <v>0.0479199685367098</v>
      </c>
      <c r="R1533">
        <v>0.9918069623749129</v>
      </c>
      <c r="S1533" t="s">
        <v>3201</v>
      </c>
      <c r="T1533" t="s">
        <v>3312</v>
      </c>
      <c r="U1533" t="s">
        <v>3312</v>
      </c>
      <c r="V1533" t="s">
        <v>3312</v>
      </c>
      <c r="W1533" t="s">
        <v>4842</v>
      </c>
      <c r="X1533">
        <v>5</v>
      </c>
      <c r="Y1533" t="s">
        <v>6484</v>
      </c>
      <c r="Z1533" t="s">
        <v>8126</v>
      </c>
      <c r="AA1533">
        <v>0.3789703057142633</v>
      </c>
      <c r="AB1533">
        <f>HYPERLINK("Melting_Curves/meltCurve_P76535_murQ.pdf", "Melting_Curves/meltCurve_P76535_murQ.pdf")</f>
        <v>0</v>
      </c>
    </row>
    <row r="1534" spans="1:28">
      <c r="A1534" t="s">
        <v>1560</v>
      </c>
      <c r="B1534">
        <v>0.999984544473304</v>
      </c>
      <c r="C1534">
        <v>0.760520844316359</v>
      </c>
      <c r="D1534">
        <v>0.775935009264297</v>
      </c>
      <c r="E1534">
        <v>0.531902460688764</v>
      </c>
      <c r="F1534">
        <v>0.510263058026892</v>
      </c>
      <c r="G1534">
        <v>0.341750143296508</v>
      </c>
      <c r="H1534">
        <v>0.274493399301983</v>
      </c>
      <c r="I1534">
        <v>0.231750543561698</v>
      </c>
      <c r="J1534">
        <v>0.184500263715586</v>
      </c>
      <c r="K1534">
        <v>0.157338152807389</v>
      </c>
      <c r="L1534">
        <v>374.494418041326</v>
      </c>
      <c r="M1534">
        <v>7.80510246542261</v>
      </c>
      <c r="N1534">
        <v>48.9911429349226</v>
      </c>
      <c r="O1534">
        <v>45.1367303486027</v>
      </c>
      <c r="P1534">
        <v>-0.0400660126537918</v>
      </c>
      <c r="Q1534">
        <v>0.07434438540745331</v>
      </c>
      <c r="R1534">
        <v>0.971083073650556</v>
      </c>
      <c r="S1534" t="s">
        <v>3202</v>
      </c>
      <c r="T1534" t="s">
        <v>3312</v>
      </c>
      <c r="U1534" t="s">
        <v>3312</v>
      </c>
      <c r="V1534" t="s">
        <v>3312</v>
      </c>
      <c r="W1534" t="s">
        <v>4843</v>
      </c>
      <c r="X1534">
        <v>7</v>
      </c>
      <c r="Y1534" t="s">
        <v>6485</v>
      </c>
      <c r="Z1534" t="s">
        <v>8127</v>
      </c>
      <c r="AA1534">
        <v>0.462529012564341</v>
      </c>
      <c r="AB1534">
        <f>HYPERLINK("Melting_Curves/meltCurve_P76536_yfeX.pdf", "Melting_Curves/meltCurve_P76536_yfeX.pdf")</f>
        <v>0</v>
      </c>
    </row>
    <row r="1535" spans="1:28">
      <c r="A1535" t="s">
        <v>1561</v>
      </c>
      <c r="B1535">
        <v>0.999984544473304</v>
      </c>
      <c r="C1535">
        <v>0.905511601695431</v>
      </c>
      <c r="D1535">
        <v>1.07797558149137</v>
      </c>
      <c r="E1535">
        <v>1.05539404829064</v>
      </c>
      <c r="F1535">
        <v>1.25300293028242</v>
      </c>
      <c r="G1535">
        <v>1.09392627677456</v>
      </c>
      <c r="H1535">
        <v>1.1006589539004</v>
      </c>
      <c r="I1535">
        <v>1.04031861526471</v>
      </c>
      <c r="J1535">
        <v>0.933671810177771</v>
      </c>
      <c r="K1535">
        <v>0.808299679022634</v>
      </c>
      <c r="L1535">
        <v>15000</v>
      </c>
      <c r="M1535">
        <v>233.372558149718</v>
      </c>
      <c r="O1535">
        <v>64.2701891938126</v>
      </c>
      <c r="P1535">
        <v>-0.174034761148324</v>
      </c>
      <c r="Q1535">
        <v>0.8082851369755391</v>
      </c>
      <c r="R1535">
        <v>0.248372724389795</v>
      </c>
      <c r="S1535" t="s">
        <v>3203</v>
      </c>
      <c r="T1535" t="s">
        <v>3312</v>
      </c>
      <c r="U1535" t="s">
        <v>3312</v>
      </c>
      <c r="V1535" t="s">
        <v>3312</v>
      </c>
      <c r="W1535" t="s">
        <v>4844</v>
      </c>
      <c r="X1535">
        <v>3</v>
      </c>
      <c r="Y1535" t="s">
        <v>6486</v>
      </c>
      <c r="Z1535" t="s">
        <v>8128</v>
      </c>
      <c r="AA1535">
        <v>0.982609992398815</v>
      </c>
      <c r="AB1535">
        <f>HYPERLINK("Melting_Curves/meltCurve_P76537_yfeY.pdf", "Melting_Curves/meltCurve_P76537_yfeY.pdf")</f>
        <v>0</v>
      </c>
    </row>
    <row r="1536" spans="1:28">
      <c r="A1536" t="s">
        <v>1562</v>
      </c>
      <c r="B1536">
        <v>0.999984544473304</v>
      </c>
      <c r="C1536">
        <v>1.01591467323748</v>
      </c>
      <c r="D1536">
        <v>0.558113500452461</v>
      </c>
      <c r="E1536">
        <v>0.914406802313501</v>
      </c>
      <c r="F1536">
        <v>1.06245186149168</v>
      </c>
      <c r="G1536">
        <v>0.896454782863449</v>
      </c>
      <c r="H1536">
        <v>0.980660498139741</v>
      </c>
      <c r="I1536">
        <v>0.8625736185407989</v>
      </c>
      <c r="J1536">
        <v>0.75327749614356</v>
      </c>
      <c r="K1536">
        <v>0.584807067578002</v>
      </c>
      <c r="L1536">
        <v>1014.05066074363</v>
      </c>
      <c r="M1536">
        <v>14.7591845522672</v>
      </c>
      <c r="Q1536">
        <v>0</v>
      </c>
      <c r="R1536">
        <v>0.234404520340233</v>
      </c>
      <c r="S1536" t="s">
        <v>3204</v>
      </c>
      <c r="T1536" t="s">
        <v>3312</v>
      </c>
      <c r="U1536" t="s">
        <v>3312</v>
      </c>
      <c r="V1536" t="s">
        <v>3312</v>
      </c>
      <c r="W1536" t="s">
        <v>4845</v>
      </c>
      <c r="X1536">
        <v>2</v>
      </c>
      <c r="Y1536" t="s">
        <v>6487</v>
      </c>
      <c r="Z1536" t="s">
        <v>8129</v>
      </c>
      <c r="AA1536">
        <v>0.9325126797314931</v>
      </c>
      <c r="AB1536">
        <f>HYPERLINK("Melting_Curves/meltCurve_P76541_eutL.pdf", "Melting_Curves/meltCurve_P76541_eutL.pdf")</f>
        <v>0</v>
      </c>
    </row>
    <row r="1537" spans="1:28">
      <c r="A1537" t="s">
        <v>1563</v>
      </c>
      <c r="B1537">
        <v>0.999984544473304</v>
      </c>
      <c r="C1537">
        <v>1.06182867893906</v>
      </c>
      <c r="D1537">
        <v>0.952189628039827</v>
      </c>
      <c r="E1537">
        <v>0.7618281393372039</v>
      </c>
      <c r="F1537">
        <v>0.949376606304668</v>
      </c>
      <c r="G1537">
        <v>0.850062085954139</v>
      </c>
      <c r="H1537">
        <v>0.8607825705209931</v>
      </c>
      <c r="I1537">
        <v>0.718193436635996</v>
      </c>
      <c r="J1537">
        <v>0.638297945758982</v>
      </c>
      <c r="K1537">
        <v>0.576302388581294</v>
      </c>
      <c r="L1537">
        <v>356.018879021293</v>
      </c>
      <c r="M1537">
        <v>4.91161282514115</v>
      </c>
      <c r="O1537">
        <v>62.9966732208858</v>
      </c>
      <c r="P1537">
        <v>-0.01961850390097</v>
      </c>
      <c r="Q1537">
        <v>0</v>
      </c>
      <c r="R1537">
        <v>0.795723835160023</v>
      </c>
      <c r="S1537" t="s">
        <v>3205</v>
      </c>
      <c r="T1537" t="s">
        <v>3312</v>
      </c>
      <c r="U1537" t="s">
        <v>3312</v>
      </c>
      <c r="V1537" t="s">
        <v>3312</v>
      </c>
      <c r="W1537" t="s">
        <v>4846</v>
      </c>
      <c r="X1537">
        <v>6</v>
      </c>
      <c r="Y1537" t="s">
        <v>6488</v>
      </c>
      <c r="Z1537" t="s">
        <v>8130</v>
      </c>
      <c r="AA1537">
        <v>0.8452126540597207</v>
      </c>
      <c r="AB1537">
        <f>HYPERLINK("Melting_Curves/meltCurve_P76550_yffS.pdf", "Melting_Curves/meltCurve_P76550_yffS.pdf")</f>
        <v>0</v>
      </c>
    </row>
    <row r="1538" spans="1:28">
      <c r="A1538" t="s">
        <v>1564</v>
      </c>
      <c r="B1538">
        <v>0.999984544473304</v>
      </c>
      <c r="C1538">
        <v>1.10421702224959</v>
      </c>
      <c r="D1538">
        <v>0.955980147920368</v>
      </c>
      <c r="E1538">
        <v>1.23150637431755</v>
      </c>
      <c r="F1538">
        <v>0.652879958380706</v>
      </c>
      <c r="G1538">
        <v>0.394646035101652</v>
      </c>
      <c r="H1538">
        <v>0.252097085135482</v>
      </c>
      <c r="I1538">
        <v>0.171773758780562</v>
      </c>
      <c r="J1538">
        <v>0.14442396923174</v>
      </c>
      <c r="K1538">
        <v>0.0998822616198947</v>
      </c>
      <c r="L1538">
        <v>1508.87375459047</v>
      </c>
      <c r="M1538">
        <v>29.20891444696</v>
      </c>
      <c r="N1538">
        <v>52.3233334996729</v>
      </c>
      <c r="O1538">
        <v>51.4176680510483</v>
      </c>
      <c r="P1538">
        <v>-0.119988430717455</v>
      </c>
      <c r="Q1538">
        <v>0.155123605042273</v>
      </c>
      <c r="R1538">
        <v>0.942910359573606</v>
      </c>
      <c r="S1538" t="s">
        <v>3206</v>
      </c>
      <c r="T1538" t="s">
        <v>3312</v>
      </c>
      <c r="U1538" t="s">
        <v>3312</v>
      </c>
      <c r="V1538" t="s">
        <v>3312</v>
      </c>
      <c r="W1538" t="s">
        <v>4847</v>
      </c>
      <c r="X1538">
        <v>3</v>
      </c>
      <c r="Y1538" t="s">
        <v>6489</v>
      </c>
      <c r="Z1538" t="s">
        <v>8131</v>
      </c>
      <c r="AA1538">
        <v>0.5735194065740407</v>
      </c>
      <c r="AB1538">
        <f>HYPERLINK("Melting_Curves/meltCurve_P76555_eutQ.pdf", "Melting_Curves/meltCurve_P76555_eutQ.pdf")</f>
        <v>0</v>
      </c>
    </row>
    <row r="1539" spans="1:28">
      <c r="A1539" t="s">
        <v>1565</v>
      </c>
      <c r="B1539">
        <v>0.999984544473304</v>
      </c>
      <c r="C1539">
        <v>1.96969030978267</v>
      </c>
      <c r="D1539">
        <v>1.46830018033125</v>
      </c>
      <c r="E1539">
        <v>2.39633727602452</v>
      </c>
      <c r="F1539">
        <v>1.00722969381871</v>
      </c>
      <c r="G1539">
        <v>1.33040880499198</v>
      </c>
      <c r="H1539">
        <v>0.74987052503664</v>
      </c>
      <c r="I1539">
        <v>0.451426313219984</v>
      </c>
      <c r="J1539">
        <v>0.10484175242671</v>
      </c>
      <c r="K1539">
        <v>0.07748630040838859</v>
      </c>
      <c r="L1539">
        <v>2119.90730144778</v>
      </c>
      <c r="M1539">
        <v>35.2364155333547</v>
      </c>
      <c r="N1539">
        <v>60.3028314959032</v>
      </c>
      <c r="O1539">
        <v>59.9696074667045</v>
      </c>
      <c r="P1539">
        <v>-0.141107048209251</v>
      </c>
      <c r="Q1539">
        <v>0.0393908364725529</v>
      </c>
      <c r="R1539">
        <v>0.376925042379947</v>
      </c>
      <c r="S1539" t="s">
        <v>3207</v>
      </c>
      <c r="T1539" t="s">
        <v>3312</v>
      </c>
      <c r="U1539" t="s">
        <v>3312</v>
      </c>
      <c r="V1539" t="s">
        <v>3312</v>
      </c>
      <c r="W1539" t="s">
        <v>4848</v>
      </c>
      <c r="X1539">
        <v>22</v>
      </c>
      <c r="Y1539" t="s">
        <v>6490</v>
      </c>
      <c r="Z1539" t="s">
        <v>8132</v>
      </c>
      <c r="AA1539">
        <v>0.7842560547787267</v>
      </c>
      <c r="AB1539">
        <f>HYPERLINK("Melting_Curves/meltCurve_P76558_maeB.pdf", "Melting_Curves/meltCurve_P76558_maeB.pdf")</f>
        <v>0</v>
      </c>
    </row>
    <row r="1540" spans="1:28">
      <c r="A1540" t="s">
        <v>1566</v>
      </c>
      <c r="B1540">
        <v>0.999984544473304</v>
      </c>
      <c r="C1540">
        <v>1.03210122006083</v>
      </c>
      <c r="D1540">
        <v>0.586844059426384</v>
      </c>
      <c r="E1540">
        <v>0.5404796266449921</v>
      </c>
      <c r="F1540">
        <v>0.313233999646729</v>
      </c>
      <c r="G1540">
        <v>0.18720143329211</v>
      </c>
      <c r="H1540">
        <v>0.130885038653497</v>
      </c>
      <c r="I1540">
        <v>0.105458430371494</v>
      </c>
      <c r="J1540">
        <v>0.0787482560676884</v>
      </c>
      <c r="K1540">
        <v>0.100172664190078</v>
      </c>
      <c r="L1540">
        <v>627.475568272625</v>
      </c>
      <c r="M1540">
        <v>13.6831621631839</v>
      </c>
      <c r="N1540">
        <v>46.4429378384181</v>
      </c>
      <c r="O1540">
        <v>44.911305877702</v>
      </c>
      <c r="P1540">
        <v>-0.0701442805791769</v>
      </c>
      <c r="Q1540">
        <v>0.0792142702491337</v>
      </c>
      <c r="R1540">
        <v>0.962575854331711</v>
      </c>
      <c r="S1540" t="s">
        <v>3208</v>
      </c>
      <c r="T1540" t="s">
        <v>3312</v>
      </c>
      <c r="U1540" t="s">
        <v>3312</v>
      </c>
      <c r="V1540" t="s">
        <v>3312</v>
      </c>
      <c r="W1540" t="s">
        <v>4849</v>
      </c>
      <c r="X1540">
        <v>5</v>
      </c>
      <c r="Y1540" t="s">
        <v>6491</v>
      </c>
      <c r="Z1540" t="s">
        <v>8133</v>
      </c>
      <c r="AA1540">
        <v>0.3764025621912835</v>
      </c>
      <c r="AB1540">
        <f>HYPERLINK("Melting_Curves/meltCurve_P76561_ypfH.pdf", "Melting_Curves/meltCurve_P76561_ypfH.pdf")</f>
        <v>0</v>
      </c>
    </row>
    <row r="1541" spans="1:28">
      <c r="A1541" t="s">
        <v>1567</v>
      </c>
      <c r="B1541">
        <v>0.999984544473304</v>
      </c>
      <c r="C1541">
        <v>0.957217479174855</v>
      </c>
      <c r="D1541">
        <v>0.686326373751323</v>
      </c>
      <c r="E1541">
        <v>1.05696938722605</v>
      </c>
      <c r="F1541">
        <v>1.0201499547827</v>
      </c>
      <c r="G1541">
        <v>0.793022755278454</v>
      </c>
      <c r="H1541">
        <v>0.692169748482548</v>
      </c>
      <c r="I1541">
        <v>0.709561651461047</v>
      </c>
      <c r="J1541">
        <v>0.483985067979368</v>
      </c>
      <c r="K1541">
        <v>0.685150964038806</v>
      </c>
      <c r="L1541">
        <v>2058.49096484314</v>
      </c>
      <c r="M1541">
        <v>38.2717096585891</v>
      </c>
      <c r="O1541">
        <v>53.6400111122541</v>
      </c>
      <c r="P1541">
        <v>-0.06580373780013229</v>
      </c>
      <c r="Q1541">
        <v>0.631089962299032</v>
      </c>
      <c r="R1541">
        <v>0.577223933347313</v>
      </c>
      <c r="S1541" t="s">
        <v>3209</v>
      </c>
      <c r="T1541" t="s">
        <v>3312</v>
      </c>
      <c r="U1541" t="s">
        <v>3312</v>
      </c>
      <c r="V1541" t="s">
        <v>3312</v>
      </c>
      <c r="W1541" t="s">
        <v>4850</v>
      </c>
      <c r="X1541">
        <v>3</v>
      </c>
      <c r="Y1541" t="s">
        <v>6492</v>
      </c>
      <c r="Z1541" t="s">
        <v>8134</v>
      </c>
      <c r="AA1541">
        <v>0.8389949871637021</v>
      </c>
      <c r="AB1541">
        <f>HYPERLINK("Melting_Curves/meltCurve_P76569_yfgD.pdf", "Melting_Curves/meltCurve_P76569_yfgD.pdf")</f>
        <v>0</v>
      </c>
    </row>
    <row r="1542" spans="1:28">
      <c r="A1542" t="s">
        <v>1568</v>
      </c>
      <c r="B1542">
        <v>0.999984544473304</v>
      </c>
      <c r="C1542">
        <v>0.825819554789196</v>
      </c>
      <c r="D1542">
        <v>1.34665199162818</v>
      </c>
      <c r="E1542">
        <v>1.0913036448594</v>
      </c>
      <c r="F1542">
        <v>1.10854028696979</v>
      </c>
      <c r="G1542">
        <v>1.07491279169363</v>
      </c>
      <c r="H1542">
        <v>0.745371679690601</v>
      </c>
      <c r="I1542">
        <v>0.76004098237476</v>
      </c>
      <c r="J1542">
        <v>0.443334561314992</v>
      </c>
      <c r="K1542">
        <v>0.61636268881283</v>
      </c>
      <c r="L1542">
        <v>1851.80952704342</v>
      </c>
      <c r="M1542">
        <v>31.7676775414027</v>
      </c>
      <c r="O1542">
        <v>58.062702234055</v>
      </c>
      <c r="P1542">
        <v>-0.0611306064091939</v>
      </c>
      <c r="Q1542">
        <v>0.553081463153253</v>
      </c>
      <c r="R1542">
        <v>0.658731585825882</v>
      </c>
      <c r="S1542" t="s">
        <v>3210</v>
      </c>
      <c r="T1542" t="s">
        <v>3312</v>
      </c>
      <c r="U1542" t="s">
        <v>3312</v>
      </c>
      <c r="V1542" t="s">
        <v>3312</v>
      </c>
      <c r="W1542" t="s">
        <v>4851</v>
      </c>
      <c r="X1542">
        <v>3</v>
      </c>
      <c r="Y1542" t="s">
        <v>6493</v>
      </c>
      <c r="Z1542" t="s">
        <v>8135</v>
      </c>
      <c r="AA1542">
        <v>0.8725249802439147</v>
      </c>
      <c r="AB1542">
        <f>HYPERLINK("Melting_Curves/meltCurve_P76575_yfgJ.pdf", "Melting_Curves/meltCurve_P76575_yfgJ.pdf")</f>
        <v>0</v>
      </c>
    </row>
    <row r="1543" spans="1:28">
      <c r="A1543" t="s">
        <v>1569</v>
      </c>
      <c r="B1543">
        <v>0.999984544473304</v>
      </c>
      <c r="C1543">
        <v>1.02549080926134</v>
      </c>
      <c r="D1543">
        <v>1.08230685769976</v>
      </c>
      <c r="E1543">
        <v>0.977523309958458</v>
      </c>
      <c r="F1543">
        <v>1.10636933843254</v>
      </c>
      <c r="G1543">
        <v>0.720609201965238</v>
      </c>
      <c r="H1543">
        <v>0.37411541199914</v>
      </c>
      <c r="I1543">
        <v>0.147427769190467</v>
      </c>
      <c r="J1543">
        <v>0.0694333089676</v>
      </c>
      <c r="K1543">
        <v>0.0523738179904411</v>
      </c>
      <c r="L1543">
        <v>1633.41553157936</v>
      </c>
      <c r="M1543">
        <v>29.2180104412663</v>
      </c>
      <c r="N1543">
        <v>56.1321412183583</v>
      </c>
      <c r="O1543">
        <v>55.6444923512952</v>
      </c>
      <c r="P1543">
        <v>-0.123934784734263</v>
      </c>
      <c r="Q1543">
        <v>0.0558921526999963</v>
      </c>
      <c r="R1543">
        <v>0.982931934348661</v>
      </c>
      <c r="S1543" t="s">
        <v>3211</v>
      </c>
      <c r="T1543" t="s">
        <v>3312</v>
      </c>
      <c r="U1543" t="s">
        <v>3312</v>
      </c>
      <c r="V1543" t="s">
        <v>3312</v>
      </c>
      <c r="W1543" t="s">
        <v>4852</v>
      </c>
      <c r="X1543">
        <v>5</v>
      </c>
      <c r="Y1543" t="s">
        <v>6494</v>
      </c>
      <c r="Z1543" t="s">
        <v>8136</v>
      </c>
      <c r="AA1543">
        <v>0.6569662393709123</v>
      </c>
      <c r="AB1543">
        <f>HYPERLINK("Melting_Curves/meltCurve_P76576_yfgM.pdf", "Melting_Curves/meltCurve_P76576_yfgM.pdf")</f>
        <v>0</v>
      </c>
    </row>
    <row r="1544" spans="1:28">
      <c r="A1544" t="s">
        <v>1570</v>
      </c>
      <c r="B1544">
        <v>0.999984544473304</v>
      </c>
      <c r="C1544">
        <v>1.60065401355271</v>
      </c>
      <c r="D1544">
        <v>1.13353679900438</v>
      </c>
      <c r="E1544">
        <v>1.23621948379808</v>
      </c>
      <c r="F1544">
        <v>0.783571918879815</v>
      </c>
      <c r="G1544">
        <v>0.663137137096382</v>
      </c>
      <c r="H1544">
        <v>0.263697864232271</v>
      </c>
      <c r="I1544">
        <v>0.12869628926971</v>
      </c>
      <c r="J1544">
        <v>0.0753287291819888</v>
      </c>
      <c r="K1544">
        <v>0.0729408085765304</v>
      </c>
      <c r="L1544">
        <v>1336.60270968169</v>
      </c>
      <c r="M1544">
        <v>24.4459464638731</v>
      </c>
      <c r="N1544">
        <v>54.9413925682489</v>
      </c>
      <c r="O1544">
        <v>54.3139056546794</v>
      </c>
      <c r="P1544">
        <v>-0.106253220772831</v>
      </c>
      <c r="Q1544">
        <v>0.05572195409711</v>
      </c>
      <c r="R1544">
        <v>0.829368947006437</v>
      </c>
      <c r="S1544" t="s">
        <v>3212</v>
      </c>
      <c r="T1544" t="s">
        <v>3312</v>
      </c>
      <c r="U1544" t="s">
        <v>3312</v>
      </c>
      <c r="V1544" t="s">
        <v>3312</v>
      </c>
      <c r="W1544" t="s">
        <v>4853</v>
      </c>
      <c r="X1544">
        <v>15</v>
      </c>
      <c r="Y1544" t="s">
        <v>6495</v>
      </c>
      <c r="Z1544" t="s">
        <v>8137</v>
      </c>
      <c r="AA1544">
        <v>0.6204795811089114</v>
      </c>
      <c r="AB1544">
        <f>HYPERLINK("Melting_Curves/meltCurve_P76578_yfhM.pdf", "Melting_Curves/meltCurve_P76578_yfhM.pdf")</f>
        <v>0</v>
      </c>
    </row>
    <row r="1545" spans="1:28">
      <c r="A1545" t="s">
        <v>1571</v>
      </c>
      <c r="B1545">
        <v>0.999984544473304</v>
      </c>
      <c r="C1545">
        <v>0.991307448606075</v>
      </c>
      <c r="D1545">
        <v>0.97380326185127</v>
      </c>
      <c r="E1545">
        <v>0.813261049684105</v>
      </c>
      <c r="F1545">
        <v>0.430722304200224</v>
      </c>
      <c r="G1545">
        <v>0.246307424906403</v>
      </c>
      <c r="H1545">
        <v>0.170413550744558</v>
      </c>
      <c r="I1545">
        <v>0.07179901649116099</v>
      </c>
      <c r="J1545">
        <v>0.0359315232042913</v>
      </c>
      <c r="K1545">
        <v>0.0354151244136023</v>
      </c>
      <c r="L1545">
        <v>940.646390684082</v>
      </c>
      <c r="M1545">
        <v>18.9368389774703</v>
      </c>
      <c r="N1545">
        <v>49.9358311624439</v>
      </c>
      <c r="O1545">
        <v>49.1288470788539</v>
      </c>
      <c r="P1545">
        <v>-0.0917933292643533</v>
      </c>
      <c r="Q1545">
        <v>0.0474612553346535</v>
      </c>
      <c r="R1545">
        <v>0.9953432706806991</v>
      </c>
      <c r="S1545" t="s">
        <v>3213</v>
      </c>
      <c r="T1545" t="s">
        <v>3312</v>
      </c>
      <c r="U1545" t="s">
        <v>3312</v>
      </c>
      <c r="V1545" t="s">
        <v>3312</v>
      </c>
      <c r="W1545" t="s">
        <v>4854</v>
      </c>
      <c r="X1545">
        <v>1</v>
      </c>
      <c r="Y1545" t="s">
        <v>6496</v>
      </c>
      <c r="Z1545" t="s">
        <v>8138</v>
      </c>
      <c r="AA1545">
        <v>0.4636524430409261</v>
      </c>
      <c r="AB1545">
        <f>HYPERLINK("Melting_Curves/meltCurve_P76594_pka.pdf", "Melting_Curves/meltCurve_P76594_pka.pdf")</f>
        <v>0</v>
      </c>
    </row>
    <row r="1546" spans="1:28">
      <c r="A1546" t="s">
        <v>1572</v>
      </c>
      <c r="B1546">
        <v>0.999984544473304</v>
      </c>
      <c r="C1546">
        <v>1.0382388716646</v>
      </c>
      <c r="D1546">
        <v>0.805845263931775</v>
      </c>
      <c r="E1546">
        <v>0.130893068178854</v>
      </c>
      <c r="F1546">
        <v>0.0866669672615344</v>
      </c>
      <c r="G1546">
        <v>0.0526447080428121</v>
      </c>
      <c r="H1546">
        <v>0.0352520633837897</v>
      </c>
      <c r="I1546">
        <v>0.0221658490693031</v>
      </c>
      <c r="J1546">
        <v>0.0159978488603837</v>
      </c>
      <c r="K1546">
        <v>0.0169715370446919</v>
      </c>
      <c r="L1546">
        <v>2004.45533257814</v>
      </c>
      <c r="M1546">
        <v>45.2233890581715</v>
      </c>
      <c r="N1546">
        <v>44.3991720725765</v>
      </c>
      <c r="O1546">
        <v>44.2370136568759</v>
      </c>
      <c r="P1546">
        <v>-0.246085832832013</v>
      </c>
      <c r="Q1546">
        <v>0.037127584928345</v>
      </c>
      <c r="R1546">
        <v>0.996931483999745</v>
      </c>
      <c r="S1546" t="s">
        <v>3214</v>
      </c>
      <c r="T1546" t="s">
        <v>3312</v>
      </c>
      <c r="U1546" t="s">
        <v>3312</v>
      </c>
      <c r="V1546" t="s">
        <v>3312</v>
      </c>
      <c r="W1546" t="s">
        <v>4855</v>
      </c>
      <c r="X1546">
        <v>7</v>
      </c>
      <c r="Y1546" t="s">
        <v>6497</v>
      </c>
      <c r="Z1546" t="s">
        <v>8139</v>
      </c>
      <c r="AA1546">
        <v>0.2744851015822324</v>
      </c>
      <c r="AB1546">
        <f>HYPERLINK("Melting_Curves/meltCurve_P76621_csiD.pdf", "Melting_Curves/meltCurve_P76621_csiD.pdf")</f>
        <v>0</v>
      </c>
    </row>
    <row r="1547" spans="1:28">
      <c r="A1547" t="s">
        <v>1573</v>
      </c>
      <c r="B1547">
        <v>0.999984544473304</v>
      </c>
      <c r="C1547">
        <v>0.843537236556455</v>
      </c>
      <c r="D1547">
        <v>0.538076325006155</v>
      </c>
      <c r="E1547">
        <v>0.481294076866405</v>
      </c>
      <c r="F1547">
        <v>0.390482601914448</v>
      </c>
      <c r="G1547">
        <v>0.300724028370863</v>
      </c>
      <c r="H1547">
        <v>0.241399255242576</v>
      </c>
      <c r="I1547">
        <v>0.215209378742676</v>
      </c>
      <c r="J1547">
        <v>0.16038106730872</v>
      </c>
      <c r="K1547">
        <v>0.202525940009528</v>
      </c>
      <c r="L1547">
        <v>520.429902638772</v>
      </c>
      <c r="M1547">
        <v>11.8529064582918</v>
      </c>
      <c r="N1547">
        <v>45.7562720654249</v>
      </c>
      <c r="O1547">
        <v>42.7135097082876</v>
      </c>
      <c r="P1547">
        <v>-0.0561878310934657</v>
      </c>
      <c r="Q1547">
        <v>0.190283657017308</v>
      </c>
      <c r="R1547">
        <v>0.965771450643385</v>
      </c>
      <c r="S1547" t="s">
        <v>3215</v>
      </c>
      <c r="T1547" t="s">
        <v>3312</v>
      </c>
      <c r="U1547" t="s">
        <v>3312</v>
      </c>
      <c r="V1547" t="s">
        <v>3312</v>
      </c>
      <c r="W1547" t="s">
        <v>4856</v>
      </c>
      <c r="X1547">
        <v>6</v>
      </c>
      <c r="Y1547" t="s">
        <v>6498</v>
      </c>
      <c r="Z1547" t="s">
        <v>8140</v>
      </c>
      <c r="AA1547">
        <v>0.4089410124342287</v>
      </c>
      <c r="AB1547">
        <f>HYPERLINK("Melting_Curves/meltCurve_P76658_hldE.pdf", "Melting_Curves/meltCurve_P76658_hldE.pdf")</f>
        <v>0</v>
      </c>
    </row>
    <row r="1548" spans="1:28">
      <c r="A1548" t="s">
        <v>1574</v>
      </c>
      <c r="B1548">
        <v>0.999984544473304</v>
      </c>
      <c r="C1548">
        <v>1.06670221368183</v>
      </c>
      <c r="D1548">
        <v>0.793042332883123</v>
      </c>
      <c r="E1548">
        <v>0.276673966040971</v>
      </c>
      <c r="F1548">
        <v>0.0642722274638273</v>
      </c>
      <c r="G1548">
        <v>0.0303458261367446</v>
      </c>
      <c r="H1548">
        <v>0.0239902825832942</v>
      </c>
      <c r="I1548">
        <v>0.0140963100497214</v>
      </c>
      <c r="J1548">
        <v>0.00279688074303863</v>
      </c>
      <c r="K1548">
        <v>0</v>
      </c>
      <c r="L1548">
        <v>1377.9943628723</v>
      </c>
      <c r="M1548">
        <v>30.6063062697657</v>
      </c>
      <c r="N1548">
        <v>45.0667416322074</v>
      </c>
      <c r="O1548">
        <v>44.8323068898749</v>
      </c>
      <c r="P1548">
        <v>-0.168185980698851</v>
      </c>
      <c r="Q1548">
        <v>0.014566172442433</v>
      </c>
      <c r="R1548">
        <v>0.995341935523922</v>
      </c>
      <c r="S1548" t="s">
        <v>3216</v>
      </c>
      <c r="T1548" t="s">
        <v>3312</v>
      </c>
      <c r="U1548" t="s">
        <v>3312</v>
      </c>
      <c r="V1548" t="s">
        <v>3312</v>
      </c>
      <c r="W1548" t="s">
        <v>4857</v>
      </c>
      <c r="X1548">
        <v>6</v>
      </c>
      <c r="Y1548" t="s">
        <v>6499</v>
      </c>
      <c r="Z1548" t="s">
        <v>8141</v>
      </c>
      <c r="AA1548">
        <v>0.2834198788671555</v>
      </c>
      <c r="AB1548">
        <f>HYPERLINK("Melting_Curves/meltCurve_P77148_ydhS.pdf", "Melting_Curves/meltCurve_P77148_ydhS.pdf")</f>
        <v>0</v>
      </c>
    </row>
    <row r="1549" spans="1:28">
      <c r="A1549" t="s">
        <v>1575</v>
      </c>
      <c r="B1549">
        <v>0.999984544473304</v>
      </c>
      <c r="C1549">
        <v>1.48863614434491</v>
      </c>
      <c r="D1549">
        <v>0.958052479104772</v>
      </c>
      <c r="E1549">
        <v>1.23234515721605</v>
      </c>
      <c r="F1549">
        <v>0.875719481584337</v>
      </c>
      <c r="G1549">
        <v>0.820303651826888</v>
      </c>
      <c r="H1549">
        <v>0.820539253227594</v>
      </c>
      <c r="I1549">
        <v>0.6622231939914019</v>
      </c>
      <c r="J1549">
        <v>0.660008265532311</v>
      </c>
      <c r="K1549">
        <v>0.539413890725483</v>
      </c>
      <c r="L1549">
        <v>840.991736367578</v>
      </c>
      <c r="M1549">
        <v>14.4893466836052</v>
      </c>
      <c r="O1549">
        <v>56.9700991665967</v>
      </c>
      <c r="P1549">
        <v>-0.0308145946064701</v>
      </c>
      <c r="Q1549">
        <v>0.515421386258816</v>
      </c>
      <c r="R1549">
        <v>0.5641942981615931</v>
      </c>
      <c r="S1549" t="s">
        <v>3217</v>
      </c>
      <c r="T1549" t="s">
        <v>3312</v>
      </c>
      <c r="U1549" t="s">
        <v>3312</v>
      </c>
      <c r="V1549" t="s">
        <v>3312</v>
      </c>
      <c r="W1549" t="s">
        <v>4858</v>
      </c>
      <c r="X1549">
        <v>1</v>
      </c>
      <c r="Y1549" t="s">
        <v>6500</v>
      </c>
      <c r="Z1549" t="s">
        <v>8142</v>
      </c>
      <c r="AA1549">
        <v>0.8569158855393817</v>
      </c>
      <c r="AB1549">
        <f>HYPERLINK("Melting_Curves/meltCurve_P77162_ykfB.pdf", "Melting_Curves/meltCurve_P77162_ykfB.pdf")</f>
        <v>0</v>
      </c>
    </row>
    <row r="1550" spans="1:28">
      <c r="A1550" t="s">
        <v>1576</v>
      </c>
      <c r="B1550">
        <v>0.999984544473304</v>
      </c>
      <c r="C1550">
        <v>1.10490075597932</v>
      </c>
      <c r="D1550">
        <v>0.899972615613492</v>
      </c>
      <c r="E1550">
        <v>1.20100065640165</v>
      </c>
      <c r="F1550">
        <v>1.10440489231252</v>
      </c>
      <c r="G1550">
        <v>0.852905543873847</v>
      </c>
      <c r="H1550">
        <v>0.823307920165458</v>
      </c>
      <c r="I1550">
        <v>0.724276712597379</v>
      </c>
      <c r="J1550">
        <v>0.558793384172281</v>
      </c>
      <c r="K1550">
        <v>0.625486720300513</v>
      </c>
      <c r="L1550">
        <v>1274.87050109375</v>
      </c>
      <c r="M1550">
        <v>21.9896368896548</v>
      </c>
      <c r="O1550">
        <v>57.5028784262956</v>
      </c>
      <c r="P1550">
        <v>-0.040563683227373</v>
      </c>
      <c r="Q1550">
        <v>0.575713471764324</v>
      </c>
      <c r="R1550">
        <v>0.783739459777664</v>
      </c>
      <c r="S1550" t="s">
        <v>3218</v>
      </c>
      <c r="T1550" t="s">
        <v>3312</v>
      </c>
      <c r="U1550" t="s">
        <v>3312</v>
      </c>
      <c r="V1550" t="s">
        <v>3312</v>
      </c>
      <c r="W1550" t="s">
        <v>4859</v>
      </c>
      <c r="X1550">
        <v>2</v>
      </c>
      <c r="Y1550" t="s">
        <v>6501</v>
      </c>
      <c r="Z1550" t="s">
        <v>8143</v>
      </c>
      <c r="AA1550">
        <v>0.8752900919937266</v>
      </c>
      <c r="AB1550">
        <f>HYPERLINK("Melting_Curves/meltCurve_P77173_zipA.pdf", "Melting_Curves/meltCurve_P77173_zipA.pdf")</f>
        <v>0</v>
      </c>
    </row>
    <row r="1551" spans="1:28">
      <c r="A1551" t="s">
        <v>1577</v>
      </c>
      <c r="B1551">
        <v>0.999984544473304</v>
      </c>
      <c r="C1551">
        <v>0.999141618137485</v>
      </c>
      <c r="D1551">
        <v>0.976688268780621</v>
      </c>
      <c r="E1551">
        <v>1.03039966862056</v>
      </c>
      <c r="F1551">
        <v>1.10240226943149</v>
      </c>
      <c r="G1551">
        <v>0.936393058234427</v>
      </c>
      <c r="H1551">
        <v>0.942938189770531</v>
      </c>
      <c r="I1551">
        <v>0.924887389464247</v>
      </c>
      <c r="J1551">
        <v>0.906076756629436</v>
      </c>
      <c r="K1551">
        <v>0.790086595448692</v>
      </c>
      <c r="L1551">
        <v>805.263877625946</v>
      </c>
      <c r="M1551">
        <v>10.6122903298764</v>
      </c>
      <c r="Q1551">
        <v>0</v>
      </c>
      <c r="R1551">
        <v>0.723133669329645</v>
      </c>
      <c r="S1551" t="s">
        <v>3219</v>
      </c>
      <c r="T1551" t="s">
        <v>3312</v>
      </c>
      <c r="U1551" t="s">
        <v>3312</v>
      </c>
      <c r="V1551" t="s">
        <v>3312</v>
      </c>
      <c r="W1551" t="s">
        <v>4860</v>
      </c>
      <c r="X1551">
        <v>4</v>
      </c>
      <c r="Y1551" t="s">
        <v>6502</v>
      </c>
      <c r="Z1551" t="s">
        <v>8144</v>
      </c>
      <c r="AA1551">
        <v>0.9650469067366061</v>
      </c>
      <c r="AB1551">
        <f>HYPERLINK("Melting_Curves/meltCurve_P77181_paaY.pdf", "Melting_Curves/meltCurve_P77181_paaY.pdf")</f>
        <v>0</v>
      </c>
    </row>
    <row r="1552" spans="1:28">
      <c r="A1552" t="s">
        <v>1578</v>
      </c>
      <c r="B1552">
        <v>0.999984544473304</v>
      </c>
      <c r="C1552">
        <v>0.88716966592396</v>
      </c>
      <c r="D1552">
        <v>0.9799200242448119</v>
      </c>
      <c r="E1552">
        <v>0.993173732102659</v>
      </c>
      <c r="F1552">
        <v>1.09348483363694</v>
      </c>
      <c r="G1552">
        <v>0.961455701382823</v>
      </c>
      <c r="H1552">
        <v>0.999130496121462</v>
      </c>
      <c r="I1552">
        <v>0.893202460282788</v>
      </c>
      <c r="J1552">
        <v>0.733728720765871</v>
      </c>
      <c r="K1552">
        <v>0.610328686420309</v>
      </c>
      <c r="L1552">
        <v>2019.94273250976</v>
      </c>
      <c r="M1552">
        <v>31.8561887928205</v>
      </c>
      <c r="O1552">
        <v>63.1598791988273</v>
      </c>
      <c r="P1552">
        <v>-0.0579144987675657</v>
      </c>
      <c r="Q1552">
        <v>0.540704175291015</v>
      </c>
      <c r="R1552">
        <v>0.873019802425847</v>
      </c>
      <c r="S1552" t="s">
        <v>3220</v>
      </c>
      <c r="T1552" t="s">
        <v>3312</v>
      </c>
      <c r="U1552" t="s">
        <v>3312</v>
      </c>
      <c r="V1552" t="s">
        <v>3312</v>
      </c>
      <c r="W1552" t="s">
        <v>4861</v>
      </c>
      <c r="X1552">
        <v>9</v>
      </c>
      <c r="Y1552" t="s">
        <v>6503</v>
      </c>
      <c r="Z1552" t="s">
        <v>8145</v>
      </c>
      <c r="AA1552">
        <v>0.9420948023865922</v>
      </c>
      <c r="AB1552">
        <f>HYPERLINK("Melting_Curves/meltCurve_P77202_dsbG.pdf", "Melting_Curves/meltCurve_P77202_dsbG.pdf")</f>
        <v>0</v>
      </c>
    </row>
    <row r="1553" spans="1:28">
      <c r="A1553" t="s">
        <v>1579</v>
      </c>
      <c r="B1553">
        <v>0.999984544473304</v>
      </c>
      <c r="C1553">
        <v>1.14529493311911</v>
      </c>
      <c r="D1553">
        <v>1.04225576171885</v>
      </c>
      <c r="E1553">
        <v>0.948612262633009</v>
      </c>
      <c r="F1553">
        <v>0.812220501766467</v>
      </c>
      <c r="G1553">
        <v>0.477724421127683</v>
      </c>
      <c r="H1553">
        <v>0.4261583819463</v>
      </c>
      <c r="I1553">
        <v>0.340911528040908</v>
      </c>
      <c r="J1553">
        <v>0.290747122623829</v>
      </c>
      <c r="K1553">
        <v>0.261260691750358</v>
      </c>
      <c r="L1553">
        <v>1204.07914835995</v>
      </c>
      <c r="M1553">
        <v>23.1124586553536</v>
      </c>
      <c r="N1553">
        <v>54.1762453554673</v>
      </c>
      <c r="O1553">
        <v>51.7112399158131</v>
      </c>
      <c r="P1553">
        <v>-0.0788769627305788</v>
      </c>
      <c r="Q1553">
        <v>0.294103545142226</v>
      </c>
      <c r="R1553">
        <v>0.971038093576634</v>
      </c>
      <c r="S1553" t="s">
        <v>3221</v>
      </c>
      <c r="T1553" t="s">
        <v>3312</v>
      </c>
      <c r="U1553" t="s">
        <v>3312</v>
      </c>
      <c r="V1553" t="s">
        <v>3312</v>
      </c>
      <c r="W1553" t="s">
        <v>4862</v>
      </c>
      <c r="X1553">
        <v>8</v>
      </c>
      <c r="Y1553" t="s">
        <v>6504</v>
      </c>
      <c r="Z1553" t="s">
        <v>8146</v>
      </c>
      <c r="AA1553">
        <v>0.6565016122981864</v>
      </c>
      <c r="AB1553">
        <f>HYPERLINK("Melting_Curves/meltCurve_P77212_rclA.pdf", "Melting_Curves/meltCurve_P77212_rclA.pdf")</f>
        <v>0</v>
      </c>
    </row>
    <row r="1554" spans="1:28">
      <c r="A1554" t="s">
        <v>1580</v>
      </c>
      <c r="B1554">
        <v>0.999984544473304</v>
      </c>
      <c r="C1554">
        <v>0.863250042321098</v>
      </c>
      <c r="D1554">
        <v>0.5109994404422</v>
      </c>
      <c r="E1554">
        <v>0.440083684296781</v>
      </c>
      <c r="F1554">
        <v>0.276265432481728</v>
      </c>
      <c r="G1554">
        <v>0.166191697574808</v>
      </c>
      <c r="H1554">
        <v>0.12963206740576</v>
      </c>
      <c r="I1554">
        <v>0.096878902447093</v>
      </c>
      <c r="J1554">
        <v>0.0588044030214549</v>
      </c>
      <c r="K1554">
        <v>0.0608447843946092</v>
      </c>
      <c r="L1554">
        <v>547.258626932969</v>
      </c>
      <c r="M1554">
        <v>12.3168831380675</v>
      </c>
      <c r="N1554">
        <v>44.9161611465856</v>
      </c>
      <c r="O1554">
        <v>43.3090727728038</v>
      </c>
      <c r="P1554">
        <v>-0.0666898497023783</v>
      </c>
      <c r="Q1554">
        <v>0.0622152455178598</v>
      </c>
      <c r="R1554">
        <v>0.976431365537875</v>
      </c>
      <c r="S1554" t="s">
        <v>3222</v>
      </c>
      <c r="T1554" t="s">
        <v>3312</v>
      </c>
      <c r="U1554" t="s">
        <v>3312</v>
      </c>
      <c r="V1554" t="s">
        <v>3312</v>
      </c>
      <c r="W1554" t="s">
        <v>4863</v>
      </c>
      <c r="X1554">
        <v>4</v>
      </c>
      <c r="Y1554" t="s">
        <v>6505</v>
      </c>
      <c r="Z1554" t="s">
        <v>8147</v>
      </c>
      <c r="AA1554">
        <v>0.3281172119314938</v>
      </c>
      <c r="AB1554">
        <f>HYPERLINK("Melting_Curves/meltCurve_P77213_ybdK.pdf", "Melting_Curves/meltCurve_P77213_ybdK.pdf")</f>
        <v>0</v>
      </c>
    </row>
    <row r="1555" spans="1:28">
      <c r="A1555" t="s">
        <v>1581</v>
      </c>
      <c r="B1555">
        <v>0.999984544473304</v>
      </c>
      <c r="C1555">
        <v>1.41970636832274</v>
      </c>
      <c r="D1555">
        <v>1.5135403970117</v>
      </c>
      <c r="E1555">
        <v>0.5301478096234949</v>
      </c>
      <c r="F1555">
        <v>0.12050353580081</v>
      </c>
      <c r="G1555">
        <v>0.121337159875646</v>
      </c>
      <c r="H1555">
        <v>0.0746444340409218</v>
      </c>
      <c r="I1555">
        <v>0.0519449728349849</v>
      </c>
      <c r="J1555">
        <v>0.0499921940326973</v>
      </c>
      <c r="K1555">
        <v>0.06307800776864469</v>
      </c>
      <c r="L1555">
        <v>11647.9776635679</v>
      </c>
      <c r="M1555">
        <v>250</v>
      </c>
      <c r="N1555">
        <v>46.6245406402111</v>
      </c>
      <c r="O1555">
        <v>46.5889290976036</v>
      </c>
      <c r="P1555">
        <v>-1.23386334927174</v>
      </c>
      <c r="Q1555">
        <v>0.0802500478796813</v>
      </c>
      <c r="R1555">
        <v>0.860263648794233</v>
      </c>
      <c r="S1555" t="s">
        <v>3223</v>
      </c>
      <c r="T1555" t="s">
        <v>3312</v>
      </c>
      <c r="U1555" t="s">
        <v>3312</v>
      </c>
      <c r="V1555" t="s">
        <v>3312</v>
      </c>
      <c r="W1555" t="s">
        <v>4864</v>
      </c>
      <c r="X1555">
        <v>1</v>
      </c>
      <c r="Y1555" t="s">
        <v>6506</v>
      </c>
      <c r="Z1555" t="s">
        <v>8148</v>
      </c>
      <c r="AA1555">
        <v>0.374397232899192</v>
      </c>
      <c r="AB1555">
        <f>HYPERLINK("Melting_Curves/meltCurve_P77215_rhmD.pdf", "Melting_Curves/meltCurve_P77215_rhmD.pdf")</f>
        <v>0</v>
      </c>
    </row>
    <row r="1556" spans="1:28">
      <c r="A1556" t="s">
        <v>1582</v>
      </c>
      <c r="B1556">
        <v>0.999984544473304</v>
      </c>
      <c r="C1556">
        <v>1.26005628690693</v>
      </c>
      <c r="D1556">
        <v>1.44502247695532</v>
      </c>
      <c r="E1556">
        <v>1.25305815247561</v>
      </c>
      <c r="F1556">
        <v>0.822885985404139</v>
      </c>
      <c r="G1556">
        <v>0.116101506350773</v>
      </c>
      <c r="H1556">
        <v>0.07545801380933349</v>
      </c>
      <c r="I1556">
        <v>0.0364689303323868</v>
      </c>
      <c r="J1556">
        <v>0.0221086744070279</v>
      </c>
      <c r="K1556">
        <v>0.0264501628226246</v>
      </c>
      <c r="L1556">
        <v>3073.58512581574</v>
      </c>
      <c r="M1556">
        <v>59.6938790142046</v>
      </c>
      <c r="N1556">
        <v>51.5628784119757</v>
      </c>
      <c r="O1556">
        <v>51.4314268801166</v>
      </c>
      <c r="P1556">
        <v>-0.278288116656521</v>
      </c>
      <c r="Q1556">
        <v>0.0409235196664885</v>
      </c>
      <c r="R1556">
        <v>0.898521837443967</v>
      </c>
      <c r="S1556" t="s">
        <v>3224</v>
      </c>
      <c r="T1556" t="s">
        <v>3312</v>
      </c>
      <c r="U1556" t="s">
        <v>3312</v>
      </c>
      <c r="V1556" t="s">
        <v>3312</v>
      </c>
      <c r="W1556" t="s">
        <v>4865</v>
      </c>
      <c r="X1556">
        <v>8</v>
      </c>
      <c r="Y1556" t="s">
        <v>6507</v>
      </c>
      <c r="Z1556" t="s">
        <v>8149</v>
      </c>
      <c r="AA1556">
        <v>0.5056548599222725</v>
      </c>
      <c r="AB1556">
        <f>HYPERLINK("Melting_Curves/meltCurve_P77243_prpD.pdf", "Melting_Curves/meltCurve_P77243_prpD.pdf")</f>
        <v>0</v>
      </c>
    </row>
    <row r="1557" spans="1:28">
      <c r="A1557" t="s">
        <v>1583</v>
      </c>
      <c r="B1557">
        <v>0.999984544473304</v>
      </c>
      <c r="C1557">
        <v>0.755550551256032</v>
      </c>
      <c r="D1557">
        <v>0.925131503045444</v>
      </c>
      <c r="E1557">
        <v>0.659980321025126</v>
      </c>
      <c r="F1557">
        <v>0.332657439369369</v>
      </c>
      <c r="G1557">
        <v>0.0969751866820823</v>
      </c>
      <c r="H1557">
        <v>0.0325649541489099</v>
      </c>
      <c r="I1557">
        <v>0.0218673233694719</v>
      </c>
      <c r="J1557">
        <v>0.0120090431363288</v>
      </c>
      <c r="K1557">
        <v>0.0114500629998253</v>
      </c>
      <c r="L1557">
        <v>845.8647508073529</v>
      </c>
      <c r="M1557">
        <v>17.5896361070567</v>
      </c>
      <c r="N1557">
        <v>48.0888148867707</v>
      </c>
      <c r="O1557">
        <v>47.4801894600243</v>
      </c>
      <c r="P1557">
        <v>-0.092620694525911</v>
      </c>
      <c r="Q1557">
        <v>0</v>
      </c>
      <c r="R1557">
        <v>0.965818207470861</v>
      </c>
      <c r="S1557" t="s">
        <v>3225</v>
      </c>
      <c r="T1557" t="s">
        <v>3312</v>
      </c>
      <c r="U1557" t="s">
        <v>3312</v>
      </c>
      <c r="V1557" t="s">
        <v>3312</v>
      </c>
      <c r="W1557" t="s">
        <v>4866</v>
      </c>
      <c r="X1557">
        <v>7</v>
      </c>
      <c r="Y1557" t="s">
        <v>6508</v>
      </c>
      <c r="Z1557" t="s">
        <v>8150</v>
      </c>
      <c r="AA1557">
        <v>0.3862865507172701</v>
      </c>
      <c r="AB1557">
        <f>HYPERLINK("Melting_Curves/meltCurve_P77247_yniC.pdf", "Melting_Curves/meltCurve_P77247_yniC.pdf")</f>
        <v>0</v>
      </c>
    </row>
    <row r="1558" spans="1:28">
      <c r="A1558" t="s">
        <v>1584</v>
      </c>
      <c r="B1558">
        <v>0.999984544473304</v>
      </c>
      <c r="C1558">
        <v>0.827902534329898</v>
      </c>
      <c r="D1558">
        <v>0.829208248007604</v>
      </c>
      <c r="E1558">
        <v>0.776250007452344</v>
      </c>
      <c r="F1558">
        <v>0.762280240730917</v>
      </c>
      <c r="G1558">
        <v>0.6427056786618091</v>
      </c>
      <c r="H1558">
        <v>0.444483807563342</v>
      </c>
      <c r="I1558">
        <v>0.33352933576534</v>
      </c>
      <c r="J1558">
        <v>0.242436817853959</v>
      </c>
      <c r="K1558">
        <v>0.181871373325127</v>
      </c>
      <c r="L1558">
        <v>407.444075308257</v>
      </c>
      <c r="M1558">
        <v>7.31351685354047</v>
      </c>
      <c r="N1558">
        <v>55.7111020468851</v>
      </c>
      <c r="O1558">
        <v>51.999412040439</v>
      </c>
      <c r="P1558">
        <v>-0.0352170225809252</v>
      </c>
      <c r="Q1558">
        <v>0</v>
      </c>
      <c r="R1558">
        <v>0.951452611937619</v>
      </c>
      <c r="S1558" t="s">
        <v>3226</v>
      </c>
      <c r="T1558" t="s">
        <v>3312</v>
      </c>
      <c r="U1558" t="s">
        <v>3312</v>
      </c>
      <c r="V1558" t="s">
        <v>3312</v>
      </c>
      <c r="W1558" t="s">
        <v>4867</v>
      </c>
      <c r="X1558">
        <v>3</v>
      </c>
      <c r="Y1558" t="s">
        <v>6509</v>
      </c>
      <c r="Z1558" t="s">
        <v>8151</v>
      </c>
      <c r="AA1558">
        <v>0.6207302925612338</v>
      </c>
      <c r="AB1558">
        <f>HYPERLINK("Melting_Curves/meltCurve_P77252_ykgE.pdf", "Melting_Curves/meltCurve_P77252_ykgE.pdf")</f>
        <v>0</v>
      </c>
    </row>
    <row r="1559" spans="1:28">
      <c r="A1559" t="s">
        <v>1585</v>
      </c>
      <c r="B1559">
        <v>0.999984544473304</v>
      </c>
      <c r="C1559">
        <v>0.967788464555037</v>
      </c>
      <c r="D1559">
        <v>0.9623677612713299</v>
      </c>
      <c r="E1559">
        <v>0.834076424960659</v>
      </c>
      <c r="F1559">
        <v>0.516513835754195</v>
      </c>
      <c r="G1559">
        <v>0.113997569702271</v>
      </c>
      <c r="H1559">
        <v>0</v>
      </c>
      <c r="I1559">
        <v>0.0386741106150639</v>
      </c>
      <c r="J1559">
        <v>0</v>
      </c>
      <c r="K1559">
        <v>0</v>
      </c>
      <c r="L1559">
        <v>1275.00479693128</v>
      </c>
      <c r="M1559">
        <v>25.4777073872921</v>
      </c>
      <c r="N1559">
        <v>50.0439374075227</v>
      </c>
      <c r="O1559">
        <v>49.7386692516079</v>
      </c>
      <c r="P1559">
        <v>-0.128059403999849</v>
      </c>
      <c r="Q1559">
        <v>0</v>
      </c>
      <c r="R1559">
        <v>0.996254357499208</v>
      </c>
      <c r="S1559" t="s">
        <v>3227</v>
      </c>
      <c r="T1559" t="s">
        <v>3312</v>
      </c>
      <c r="U1559" t="s">
        <v>3312</v>
      </c>
      <c r="V1559" t="s">
        <v>3312</v>
      </c>
      <c r="W1559" t="s">
        <v>4868</v>
      </c>
      <c r="X1559">
        <v>1</v>
      </c>
      <c r="Y1559" t="s">
        <v>6510</v>
      </c>
      <c r="Z1559" t="s">
        <v>8152</v>
      </c>
      <c r="AA1559">
        <v>0.443236920832813</v>
      </c>
      <c r="AB1559">
        <f>HYPERLINK("Melting_Curves/meltCurve_P77258_nemA.pdf", "Melting_Curves/meltCurve_P77258_nemA.pdf")</f>
        <v>0</v>
      </c>
    </row>
    <row r="1560" spans="1:28">
      <c r="A1560" t="s">
        <v>1586</v>
      </c>
      <c r="B1560">
        <v>0.999984544473304</v>
      </c>
      <c r="C1560">
        <v>0.871293034357477</v>
      </c>
      <c r="D1560">
        <v>1.25675335007882</v>
      </c>
      <c r="E1560">
        <v>0.810474192704064</v>
      </c>
      <c r="F1560">
        <v>1.51341605352711</v>
      </c>
      <c r="G1560">
        <v>1.00143237466258</v>
      </c>
      <c r="H1560">
        <v>1.02672700399497</v>
      </c>
      <c r="I1560">
        <v>1.01422892182351</v>
      </c>
      <c r="J1560">
        <v>0.856227453849003</v>
      </c>
      <c r="K1560">
        <v>0.591314600653293</v>
      </c>
      <c r="L1560">
        <v>15000</v>
      </c>
      <c r="M1560">
        <v>233.398075906962</v>
      </c>
      <c r="O1560">
        <v>64.2631391872759</v>
      </c>
      <c r="P1560">
        <v>-0.371104546796953</v>
      </c>
      <c r="Q1560">
        <v>0.591284511397913</v>
      </c>
      <c r="R1560">
        <v>0.32853423941894</v>
      </c>
      <c r="S1560" t="s">
        <v>3228</v>
      </c>
      <c r="T1560" t="s">
        <v>3312</v>
      </c>
      <c r="U1560" t="s">
        <v>3312</v>
      </c>
      <c r="V1560" t="s">
        <v>3312</v>
      </c>
      <c r="W1560" t="s">
        <v>4869</v>
      </c>
      <c r="X1560">
        <v>2</v>
      </c>
      <c r="Y1560" t="s">
        <v>6511</v>
      </c>
      <c r="Z1560" t="s">
        <v>8153</v>
      </c>
      <c r="AA1560">
        <v>0.9628306242970622</v>
      </c>
      <c r="AB1560">
        <f>HYPERLINK("Melting_Curves/meltCurve_P77269_yphF.pdf", "Melting_Curves/meltCurve_P77269_yphF.pdf")</f>
        <v>0</v>
      </c>
    </row>
    <row r="1561" spans="1:28">
      <c r="A1561" t="s">
        <v>1587</v>
      </c>
      <c r="B1561">
        <v>0.999984544473304</v>
      </c>
      <c r="C1561">
        <v>0.925064960732916</v>
      </c>
      <c r="D1561">
        <v>0.705311851789598</v>
      </c>
      <c r="E1561">
        <v>0.844112588726594</v>
      </c>
      <c r="F1561">
        <v>0.842604474521668</v>
      </c>
      <c r="G1561">
        <v>0.6333732457537981</v>
      </c>
      <c r="H1561">
        <v>0.602954515280785</v>
      </c>
      <c r="I1561">
        <v>0.438049267066931</v>
      </c>
      <c r="J1561">
        <v>0.360495536754281</v>
      </c>
      <c r="K1561">
        <v>0.398497856082435</v>
      </c>
      <c r="L1561">
        <v>304.840342474188</v>
      </c>
      <c r="M1561">
        <v>5.07682552993304</v>
      </c>
      <c r="N1561">
        <v>60.0454638281491</v>
      </c>
      <c r="O1561">
        <v>52.5910505966099</v>
      </c>
      <c r="P1561">
        <v>-0.0242738573596441</v>
      </c>
      <c r="Q1561">
        <v>0</v>
      </c>
      <c r="R1561">
        <v>0.882024388131716</v>
      </c>
      <c r="S1561" t="s">
        <v>3229</v>
      </c>
      <c r="T1561" t="s">
        <v>3312</v>
      </c>
      <c r="U1561" t="s">
        <v>3312</v>
      </c>
      <c r="V1561" t="s">
        <v>3312</v>
      </c>
      <c r="W1561" t="s">
        <v>4870</v>
      </c>
      <c r="X1561">
        <v>2</v>
      </c>
      <c r="Y1561" t="s">
        <v>6512</v>
      </c>
      <c r="Z1561" t="s">
        <v>8154</v>
      </c>
      <c r="AA1561">
        <v>0.6808041881807162</v>
      </c>
      <c r="AB1561">
        <f>HYPERLINK("Melting_Curves/meltCurve_P77285_rsxG.pdf", "Melting_Curves/meltCurve_P77285_rsxG.pdf")</f>
        <v>0</v>
      </c>
    </row>
    <row r="1562" spans="1:28">
      <c r="A1562" t="s">
        <v>1588</v>
      </c>
      <c r="B1562">
        <v>0.999984544473304</v>
      </c>
      <c r="C1562">
        <v>1.19153293880009</v>
      </c>
      <c r="D1562">
        <v>0.970688268020699</v>
      </c>
      <c r="E1562">
        <v>1.04107635997296</v>
      </c>
      <c r="F1562">
        <v>0.967128724593214</v>
      </c>
      <c r="G1562">
        <v>0.57523086821009</v>
      </c>
      <c r="H1562">
        <v>0.28203726104733</v>
      </c>
      <c r="I1562">
        <v>0.0850961688319064</v>
      </c>
      <c r="J1562">
        <v>0.059106964072534</v>
      </c>
      <c r="K1562">
        <v>0.0528093106440103</v>
      </c>
      <c r="L1562">
        <v>1509.98977528229</v>
      </c>
      <c r="M1562">
        <v>27.679781444931</v>
      </c>
      <c r="N1562">
        <v>54.7588908185462</v>
      </c>
      <c r="O1562">
        <v>54.269733484532</v>
      </c>
      <c r="P1562">
        <v>-0.121183469324523</v>
      </c>
      <c r="Q1562">
        <v>0.0496260734633426</v>
      </c>
      <c r="R1562">
        <v>0.976394557168032</v>
      </c>
      <c r="S1562" t="s">
        <v>3230</v>
      </c>
      <c r="T1562" t="s">
        <v>3312</v>
      </c>
      <c r="U1562" t="s">
        <v>3312</v>
      </c>
      <c r="V1562" t="s">
        <v>3312</v>
      </c>
      <c r="W1562" t="s">
        <v>4871</v>
      </c>
      <c r="X1562">
        <v>9</v>
      </c>
      <c r="Y1562" t="s">
        <v>6513</v>
      </c>
      <c r="Z1562" t="s">
        <v>8155</v>
      </c>
      <c r="AA1562">
        <v>0.6126158450748332</v>
      </c>
      <c r="AB1562">
        <f>HYPERLINK("Melting_Curves/meltCurve_P77318_ydeN.pdf", "Melting_Curves/meltCurve_P77318_ydeN.pdf")</f>
        <v>0</v>
      </c>
    </row>
    <row r="1563" spans="1:28">
      <c r="A1563" t="s">
        <v>1589</v>
      </c>
      <c r="B1563">
        <v>0.999984544473304</v>
      </c>
      <c r="C1563">
        <v>0.870047304537668</v>
      </c>
      <c r="D1563">
        <v>1.15815100309327</v>
      </c>
      <c r="E1563">
        <v>1.10625188142154</v>
      </c>
      <c r="F1563">
        <v>1.14511090203692</v>
      </c>
      <c r="G1563">
        <v>0.953853039343812</v>
      </c>
      <c r="H1563">
        <v>0.827712668080109</v>
      </c>
      <c r="I1563">
        <v>0.934078846959646</v>
      </c>
      <c r="J1563">
        <v>0.723108479965387</v>
      </c>
      <c r="K1563">
        <v>0.630514452636194</v>
      </c>
      <c r="L1563">
        <v>905.320543337433</v>
      </c>
      <c r="M1563">
        <v>13.2455655263775</v>
      </c>
      <c r="O1563">
        <v>66.847384502629</v>
      </c>
      <c r="P1563">
        <v>-0.0425185688610871</v>
      </c>
      <c r="Q1563">
        <v>0.141814327582817</v>
      </c>
      <c r="R1563">
        <v>0.658555639888775</v>
      </c>
      <c r="S1563" t="s">
        <v>3231</v>
      </c>
      <c r="T1563" t="s">
        <v>3312</v>
      </c>
      <c r="U1563" t="s">
        <v>3312</v>
      </c>
      <c r="V1563" t="s">
        <v>3312</v>
      </c>
      <c r="W1563" t="s">
        <v>4872</v>
      </c>
      <c r="X1563">
        <v>1</v>
      </c>
      <c r="Y1563" t="s">
        <v>6514</v>
      </c>
      <c r="Z1563" t="s">
        <v>8156</v>
      </c>
      <c r="AA1563">
        <v>0.9305390128113548</v>
      </c>
      <c r="AB1563">
        <f>HYPERLINK("Melting_Curves/meltCurve_P77330_borD.pdf", "Melting_Curves/meltCurve_P77330_borD.pdf")</f>
        <v>0</v>
      </c>
    </row>
    <row r="1564" spans="1:28">
      <c r="A1564" t="s">
        <v>1590</v>
      </c>
      <c r="B1564">
        <v>0.999984544473304</v>
      </c>
      <c r="C1564">
        <v>0.941741902173776</v>
      </c>
      <c r="D1564">
        <v>0.510913702890729</v>
      </c>
      <c r="E1564">
        <v>0.253643650856915</v>
      </c>
      <c r="F1564">
        <v>0.0750832168306015</v>
      </c>
      <c r="G1564">
        <v>0.0503868184551064</v>
      </c>
      <c r="H1564">
        <v>0.0297052829301838</v>
      </c>
      <c r="I1564">
        <v>0.0294301920759938</v>
      </c>
      <c r="J1564">
        <v>0.0193391654628204</v>
      </c>
      <c r="K1564">
        <v>0.0284490542925122</v>
      </c>
      <c r="L1564">
        <v>974.27726782528</v>
      </c>
      <c r="M1564">
        <v>22.4431141114134</v>
      </c>
      <c r="N1564">
        <v>43.539573117307</v>
      </c>
      <c r="O1564">
        <v>43.0707090606459</v>
      </c>
      <c r="P1564">
        <v>-0.126093707299104</v>
      </c>
      <c r="Q1564">
        <v>0.0320711063784045</v>
      </c>
      <c r="R1564">
        <v>0.992666469726861</v>
      </c>
      <c r="S1564" t="s">
        <v>3232</v>
      </c>
      <c r="T1564" t="s">
        <v>3312</v>
      </c>
      <c r="U1564" t="s">
        <v>3312</v>
      </c>
      <c r="V1564" t="s">
        <v>3312</v>
      </c>
      <c r="W1564" t="s">
        <v>4873</v>
      </c>
      <c r="X1564">
        <v>1</v>
      </c>
      <c r="Y1564" t="s">
        <v>6515</v>
      </c>
      <c r="Z1564" t="s">
        <v>8157</v>
      </c>
      <c r="AA1564">
        <v>0.2491240276950043</v>
      </c>
      <c r="AB1564">
        <f>HYPERLINK("Melting_Curves/meltCurve_P77338_mscK.pdf", "Melting_Curves/meltCurve_P77338_mscK.pdf")</f>
        <v>0</v>
      </c>
    </row>
    <row r="1565" spans="1:28">
      <c r="A1565" t="s">
        <v>1591</v>
      </c>
      <c r="B1565">
        <v>0.999984544473304</v>
      </c>
      <c r="C1565">
        <v>1.0806044831904</v>
      </c>
      <c r="D1565">
        <v>1.22124196801151</v>
      </c>
      <c r="E1565">
        <v>0.915275667983564</v>
      </c>
      <c r="F1565">
        <v>0.194280476706</v>
      </c>
      <c r="G1565">
        <v>0.0609144641723268</v>
      </c>
      <c r="H1565">
        <v>0.0271435820730838</v>
      </c>
      <c r="I1565">
        <v>0.0252886764389757</v>
      </c>
      <c r="J1565">
        <v>0.0204318855484051</v>
      </c>
      <c r="K1565">
        <v>0.0203819744819476</v>
      </c>
      <c r="L1565">
        <v>2585.2921404135</v>
      </c>
      <c r="M1565">
        <v>53.0823089261646</v>
      </c>
      <c r="N1565">
        <v>48.7590468828702</v>
      </c>
      <c r="O1565">
        <v>48.6344992629966</v>
      </c>
      <c r="P1565">
        <v>-0.264852503522661</v>
      </c>
      <c r="Q1565">
        <v>0.02935973999328</v>
      </c>
      <c r="R1565">
        <v>0.976931800798681</v>
      </c>
      <c r="S1565" t="s">
        <v>3233</v>
      </c>
      <c r="T1565" t="s">
        <v>3312</v>
      </c>
      <c r="U1565" t="s">
        <v>3312</v>
      </c>
      <c r="V1565" t="s">
        <v>3312</v>
      </c>
      <c r="W1565" t="s">
        <v>4874</v>
      </c>
      <c r="X1565">
        <v>9</v>
      </c>
      <c r="Y1565" t="s">
        <v>6516</v>
      </c>
      <c r="Z1565" t="s">
        <v>8158</v>
      </c>
      <c r="AA1565">
        <v>0.4098703240209016</v>
      </c>
      <c r="AB1565">
        <f>HYPERLINK("Melting_Curves/meltCurve_P77348_mppA.pdf", "Melting_Curves/meltCurve_P77348_mppA.pdf")</f>
        <v>0</v>
      </c>
    </row>
    <row r="1566" spans="1:28">
      <c r="A1566" t="s">
        <v>1592</v>
      </c>
      <c r="B1566">
        <v>0.999984544473304</v>
      </c>
      <c r="C1566">
        <v>0.90941571642841</v>
      </c>
      <c r="D1566">
        <v>0.890069903419744</v>
      </c>
      <c r="E1566">
        <v>1.00983741784773</v>
      </c>
      <c r="F1566">
        <v>0.70258064656343</v>
      </c>
      <c r="G1566">
        <v>0.280252615948888</v>
      </c>
      <c r="H1566">
        <v>0.1823324439883</v>
      </c>
      <c r="I1566">
        <v>0.148008629093991</v>
      </c>
      <c r="J1566">
        <v>0.135242518211891</v>
      </c>
      <c r="K1566">
        <v>0.18237080844545</v>
      </c>
      <c r="L1566">
        <v>1853.63456992331</v>
      </c>
      <c r="M1566">
        <v>36.2824397925027</v>
      </c>
      <c r="N1566">
        <v>51.6302080735259</v>
      </c>
      <c r="O1566">
        <v>50.934573556143</v>
      </c>
      <c r="P1566">
        <v>-0.149915763927882</v>
      </c>
      <c r="Q1566">
        <v>0.158174361512363</v>
      </c>
      <c r="R1566">
        <v>0.983267203863866</v>
      </c>
      <c r="S1566" t="s">
        <v>3234</v>
      </c>
      <c r="T1566" t="s">
        <v>3312</v>
      </c>
      <c r="U1566" t="s">
        <v>3312</v>
      </c>
      <c r="V1566" t="s">
        <v>3312</v>
      </c>
      <c r="W1566" t="s">
        <v>4875</v>
      </c>
      <c r="X1566">
        <v>2</v>
      </c>
      <c r="Y1566" t="s">
        <v>6517</v>
      </c>
      <c r="Z1566" t="s">
        <v>8159</v>
      </c>
      <c r="AA1566">
        <v>0.5571324945874545</v>
      </c>
      <c r="AB1566">
        <f>HYPERLINK("Melting_Curves/meltCurve_P77368_ybcL.pdf", "Melting_Curves/meltCurve_P77368_ybcL.pdf")</f>
        <v>0</v>
      </c>
    </row>
    <row r="1567" spans="1:28">
      <c r="A1567" t="s">
        <v>1593</v>
      </c>
      <c r="B1567">
        <v>0.999984544473304</v>
      </c>
      <c r="C1567">
        <v>0.880417084415227</v>
      </c>
      <c r="D1567">
        <v>0.642458801388586</v>
      </c>
      <c r="E1567">
        <v>0.706304710085504</v>
      </c>
      <c r="F1567">
        <v>0.456045665766728</v>
      </c>
      <c r="G1567">
        <v>0.228499747860092</v>
      </c>
      <c r="H1567">
        <v>0.262844973201469</v>
      </c>
      <c r="I1567">
        <v>0.217239421048004</v>
      </c>
      <c r="J1567">
        <v>0.140546814196526</v>
      </c>
      <c r="K1567">
        <v>0.174393771442579</v>
      </c>
      <c r="L1567">
        <v>458.940310537111</v>
      </c>
      <c r="M1567">
        <v>9.654213011746711</v>
      </c>
      <c r="N1567">
        <v>48.6516590769333</v>
      </c>
      <c r="O1567">
        <v>45.6325368651317</v>
      </c>
      <c r="P1567">
        <v>-0.0476733593410027</v>
      </c>
      <c r="Q1567">
        <v>0.09915112980439721</v>
      </c>
      <c r="R1567">
        <v>0.954505454340728</v>
      </c>
      <c r="S1567" t="s">
        <v>3235</v>
      </c>
      <c r="T1567" t="s">
        <v>3312</v>
      </c>
      <c r="U1567" t="s">
        <v>3312</v>
      </c>
      <c r="V1567" t="s">
        <v>3312</v>
      </c>
      <c r="W1567" t="s">
        <v>4876</v>
      </c>
      <c r="X1567">
        <v>1</v>
      </c>
      <c r="Y1567" t="s">
        <v>6518</v>
      </c>
      <c r="Z1567" t="s">
        <v>8160</v>
      </c>
      <c r="AA1567">
        <v>0.4547751954211999</v>
      </c>
      <c r="AB1567">
        <f>HYPERLINK("Melting_Curves/meltCurve_P77376_ydgJ.pdf", "Melting_Curves/meltCurve_P77376_ydgJ.pdf")</f>
        <v>0</v>
      </c>
    </row>
    <row r="1568" spans="1:28">
      <c r="A1568" t="s">
        <v>1594</v>
      </c>
      <c r="B1568">
        <v>0.999984544473304</v>
      </c>
      <c r="C1568">
        <v>1.11014741534407</v>
      </c>
      <c r="D1568">
        <v>1.24249440677304</v>
      </c>
      <c r="E1568">
        <v>1.11287946247508</v>
      </c>
      <c r="F1568">
        <v>1.59790538734874</v>
      </c>
      <c r="G1568">
        <v>1.27749408310766</v>
      </c>
      <c r="H1568">
        <v>1.31430294279105</v>
      </c>
      <c r="I1568">
        <v>1.49455371673224</v>
      </c>
      <c r="J1568">
        <v>1.1741089983255</v>
      </c>
      <c r="K1568">
        <v>1.22742382958897</v>
      </c>
      <c r="L1568">
        <v>807.4388732394819</v>
      </c>
      <c r="M1568">
        <v>19.357905772948</v>
      </c>
      <c r="O1568">
        <v>41.2735863530438</v>
      </c>
      <c r="P1568">
        <v>0.0383513437045768</v>
      </c>
      <c r="Q1568">
        <v>1.32706821406218</v>
      </c>
      <c r="R1568">
        <v>0.396573804207314</v>
      </c>
      <c r="S1568" t="s">
        <v>3236</v>
      </c>
      <c r="T1568" t="s">
        <v>3312</v>
      </c>
      <c r="U1568" t="s">
        <v>3312</v>
      </c>
      <c r="V1568" t="s">
        <v>3312</v>
      </c>
      <c r="W1568" t="s">
        <v>4877</v>
      </c>
      <c r="X1568">
        <v>6</v>
      </c>
      <c r="Y1568" t="s">
        <v>6519</v>
      </c>
      <c r="Z1568" t="s">
        <v>8161</v>
      </c>
      <c r="AA1568">
        <v>1.270218612161507</v>
      </c>
      <c r="AB1568">
        <f>HYPERLINK("Melting_Curves/meltCurve_P77395_ybbN.pdf", "Melting_Curves/meltCurve_P77395_ybbN.pdf")</f>
        <v>0</v>
      </c>
    </row>
    <row r="1569" spans="1:28">
      <c r="A1569" t="s">
        <v>1595</v>
      </c>
      <c r="B1569">
        <v>0.999984544473304</v>
      </c>
      <c r="C1569">
        <v>0.796047590226835</v>
      </c>
      <c r="D1569">
        <v>1.24327235464268</v>
      </c>
      <c r="E1569">
        <v>1.12212495938735</v>
      </c>
      <c r="F1569">
        <v>0.957692901848062</v>
      </c>
      <c r="G1569">
        <v>0.818798163645893</v>
      </c>
      <c r="H1569">
        <v>0.55595743777361</v>
      </c>
      <c r="I1569">
        <v>0.431176048510089</v>
      </c>
      <c r="J1569">
        <v>0.195748594863541</v>
      </c>
      <c r="K1569">
        <v>0.212232817702235</v>
      </c>
      <c r="L1569">
        <v>1135.68960368871</v>
      </c>
      <c r="M1569">
        <v>19.7261779446962</v>
      </c>
      <c r="N1569">
        <v>58.6336534499719</v>
      </c>
      <c r="O1569">
        <v>56.9908375483717</v>
      </c>
      <c r="P1569">
        <v>-0.0735471187061331</v>
      </c>
      <c r="Q1569">
        <v>0.150090257105876</v>
      </c>
      <c r="R1569">
        <v>0.8961801238034059</v>
      </c>
      <c r="S1569" t="s">
        <v>3237</v>
      </c>
      <c r="T1569" t="s">
        <v>3312</v>
      </c>
      <c r="U1569" t="s">
        <v>3312</v>
      </c>
      <c r="V1569" t="s">
        <v>3312</v>
      </c>
      <c r="W1569" t="s">
        <v>4878</v>
      </c>
      <c r="X1569">
        <v>1</v>
      </c>
      <c r="Y1569" t="s">
        <v>6520</v>
      </c>
      <c r="Z1569" t="s">
        <v>8162</v>
      </c>
      <c r="AA1569">
        <v>0.7394735810182086</v>
      </c>
      <c r="AB1569">
        <f>HYPERLINK("Melting_Curves/meltCurve_P77433_ykgG.pdf", "Melting_Curves/meltCurve_P77433_ykgG.pdf")</f>
        <v>0</v>
      </c>
    </row>
    <row r="1570" spans="1:28">
      <c r="A1570" t="s">
        <v>1596</v>
      </c>
      <c r="B1570">
        <v>0.999984544473304</v>
      </c>
      <c r="C1570">
        <v>0.878561297659632</v>
      </c>
      <c r="D1570">
        <v>0.608680222436071</v>
      </c>
      <c r="E1570">
        <v>0.43251187208496</v>
      </c>
      <c r="F1570">
        <v>0.368667363213639</v>
      </c>
      <c r="G1570">
        <v>0.317059887702684</v>
      </c>
      <c r="H1570">
        <v>0.183015609870705</v>
      </c>
      <c r="I1570">
        <v>0.163518053894954</v>
      </c>
      <c r="J1570">
        <v>0.104993830108374</v>
      </c>
      <c r="K1570">
        <v>0.0615039421966329</v>
      </c>
      <c r="L1570">
        <v>468.449147453222</v>
      </c>
      <c r="M1570">
        <v>10.2719370207422</v>
      </c>
      <c r="N1570">
        <v>46.3884127974806</v>
      </c>
      <c r="O1570">
        <v>43.9777334164284</v>
      </c>
      <c r="P1570">
        <v>-0.0537652372702194</v>
      </c>
      <c r="Q1570">
        <v>0.0796533615912082</v>
      </c>
      <c r="R1570">
        <v>0.971209029192866</v>
      </c>
      <c r="S1570" t="s">
        <v>3238</v>
      </c>
      <c r="T1570" t="s">
        <v>3312</v>
      </c>
      <c r="U1570" t="s">
        <v>3312</v>
      </c>
      <c r="V1570" t="s">
        <v>3312</v>
      </c>
      <c r="W1570" t="s">
        <v>4879</v>
      </c>
      <c r="X1570">
        <v>2</v>
      </c>
      <c r="Y1570" t="s">
        <v>6521</v>
      </c>
      <c r="Z1570" t="s">
        <v>8163</v>
      </c>
      <c r="AA1570">
        <v>0.3855754338568697</v>
      </c>
      <c r="AB1570">
        <f>HYPERLINK("Melting_Curves/meltCurve_P77434_alaC.pdf", "Melting_Curves/meltCurve_P77434_alaC.pdf")</f>
        <v>0</v>
      </c>
    </row>
    <row r="1571" spans="1:28">
      <c r="A1571" t="s">
        <v>1597</v>
      </c>
      <c r="B1571">
        <v>0.999984544473304</v>
      </c>
      <c r="C1571">
        <v>0.780276695331139</v>
      </c>
      <c r="D1571">
        <v>0.581516260219157</v>
      </c>
      <c r="E1571">
        <v>0.328991754036852</v>
      </c>
      <c r="F1571">
        <v>0.150305387670164</v>
      </c>
      <c r="G1571">
        <v>0.09813750279639161</v>
      </c>
      <c r="H1571">
        <v>0.0622137623740769</v>
      </c>
      <c r="I1571">
        <v>0.0374529121057821</v>
      </c>
      <c r="J1571">
        <v>0.0265104310523986</v>
      </c>
      <c r="K1571">
        <v>0.0146896245664597</v>
      </c>
      <c r="L1571">
        <v>631.6825635551839</v>
      </c>
      <c r="M1571">
        <v>14.384374589792</v>
      </c>
      <c r="N1571">
        <v>44.0425950286697</v>
      </c>
      <c r="O1571">
        <v>43.0919156733033</v>
      </c>
      <c r="P1571">
        <v>-0.08175174967347471</v>
      </c>
      <c r="Q1571">
        <v>0.0204870775583194</v>
      </c>
      <c r="R1571">
        <v>0.995085441226313</v>
      </c>
      <c r="S1571" t="s">
        <v>3239</v>
      </c>
      <c r="T1571" t="s">
        <v>3312</v>
      </c>
      <c r="U1571" t="s">
        <v>3312</v>
      </c>
      <c r="V1571" t="s">
        <v>3312</v>
      </c>
      <c r="W1571" t="s">
        <v>4880</v>
      </c>
      <c r="X1571">
        <v>2</v>
      </c>
      <c r="Y1571" t="s">
        <v>6522</v>
      </c>
      <c r="Z1571" t="s">
        <v>8164</v>
      </c>
      <c r="AA1571">
        <v>0.2728983705479137</v>
      </c>
      <c r="AB1571">
        <f>HYPERLINK("Melting_Curves/meltCurve_P77444_sufS.pdf", "Melting_Curves/meltCurve_P77444_sufS.pdf")</f>
        <v>0</v>
      </c>
    </row>
    <row r="1572" spans="1:28">
      <c r="A1572" t="s">
        <v>1598</v>
      </c>
      <c r="B1572">
        <v>0.999984544473304</v>
      </c>
      <c r="C1572">
        <v>0.854889528517486</v>
      </c>
      <c r="D1572">
        <v>0.727446331294703</v>
      </c>
      <c r="E1572">
        <v>0.566034235254841</v>
      </c>
      <c r="F1572">
        <v>0.267697043167428</v>
      </c>
      <c r="G1572">
        <v>0.112590805869623</v>
      </c>
      <c r="H1572">
        <v>0.0424157412945615</v>
      </c>
      <c r="I1572">
        <v>0.0291619659433792</v>
      </c>
      <c r="J1572">
        <v>0.0150691574918893</v>
      </c>
      <c r="K1572">
        <v>0.0215724115080588</v>
      </c>
      <c r="L1572">
        <v>634.213310737342</v>
      </c>
      <c r="M1572">
        <v>13.606460172529</v>
      </c>
      <c r="N1572">
        <v>46.6111900850782</v>
      </c>
      <c r="O1572">
        <v>45.6389426930775</v>
      </c>
      <c r="P1572">
        <v>-0.0745441915811948</v>
      </c>
      <c r="Q1572">
        <v>0</v>
      </c>
      <c r="R1572">
        <v>0.992072088968258</v>
      </c>
      <c r="S1572" t="s">
        <v>3240</v>
      </c>
      <c r="T1572" t="s">
        <v>3312</v>
      </c>
      <c r="U1572" t="s">
        <v>3312</v>
      </c>
      <c r="V1572" t="s">
        <v>3312</v>
      </c>
      <c r="W1572" t="s">
        <v>4881</v>
      </c>
      <c r="X1572">
        <v>4</v>
      </c>
      <c r="Y1572" t="s">
        <v>6523</v>
      </c>
      <c r="Z1572" t="s">
        <v>8165</v>
      </c>
      <c r="AA1572">
        <v>0.3474272735323926</v>
      </c>
      <c r="AB1572">
        <f>HYPERLINK("Melting_Curves/meltCurve_P77454_glsA1.pdf", "Melting_Curves/meltCurve_P77454_glsA1.pdf")</f>
        <v>0</v>
      </c>
    </row>
    <row r="1573" spans="1:28">
      <c r="A1573" t="s">
        <v>1599</v>
      </c>
      <c r="B1573">
        <v>0.999984544473304</v>
      </c>
      <c r="C1573">
        <v>1.01902669256671</v>
      </c>
      <c r="D1573">
        <v>0.5769729354681979</v>
      </c>
      <c r="E1573">
        <v>0.281630753830329</v>
      </c>
      <c r="F1573">
        <v>0.109111622053905</v>
      </c>
      <c r="G1573">
        <v>0.0527239703771094</v>
      </c>
      <c r="H1573">
        <v>0.0424347589857155</v>
      </c>
      <c r="I1573">
        <v>0.0327492620901716</v>
      </c>
      <c r="J1573">
        <v>0.0312323473605375</v>
      </c>
      <c r="K1573">
        <v>0.0244792155596582</v>
      </c>
      <c r="L1573">
        <v>1024.48545756687</v>
      </c>
      <c r="M1573">
        <v>23.3001809775096</v>
      </c>
      <c r="N1573">
        <v>44.124362000525</v>
      </c>
      <c r="O1573">
        <v>43.6489783437909</v>
      </c>
      <c r="P1573">
        <v>-0.128198439356173</v>
      </c>
      <c r="Q1573">
        <v>0.0393845193984203</v>
      </c>
      <c r="R1573">
        <v>0.988461200458579</v>
      </c>
      <c r="S1573" t="s">
        <v>3241</v>
      </c>
      <c r="T1573" t="s">
        <v>3312</v>
      </c>
      <c r="U1573" t="s">
        <v>3312</v>
      </c>
      <c r="V1573" t="s">
        <v>3312</v>
      </c>
      <c r="W1573" t="s">
        <v>4882</v>
      </c>
      <c r="X1573">
        <v>7</v>
      </c>
      <c r="Y1573" t="s">
        <v>6524</v>
      </c>
      <c r="Z1573" t="s">
        <v>8166</v>
      </c>
      <c r="AA1573">
        <v>0.2717371731158894</v>
      </c>
      <c r="AB1573">
        <f>HYPERLINK("Melting_Curves/meltCurve_P77488_dxs.pdf", "Melting_Curves/meltCurve_P77488_dxs.pdf")</f>
        <v>0</v>
      </c>
    </row>
    <row r="1574" spans="1:28">
      <c r="A1574" t="s">
        <v>1600</v>
      </c>
      <c r="B1574">
        <v>0.999984544473304</v>
      </c>
      <c r="C1574">
        <v>0.898038743704317</v>
      </c>
      <c r="D1574">
        <v>0.517165884846168</v>
      </c>
      <c r="E1574">
        <v>0.714031293903287</v>
      </c>
      <c r="F1574">
        <v>0.35186160904955</v>
      </c>
      <c r="G1574">
        <v>0.170802632185021</v>
      </c>
      <c r="H1574">
        <v>0.123518718207223</v>
      </c>
      <c r="I1574">
        <v>0.0937711893839922</v>
      </c>
      <c r="J1574">
        <v>0.08000854201127459</v>
      </c>
      <c r="K1574">
        <v>0.0762750152484331</v>
      </c>
      <c r="L1574">
        <v>462.760038561592</v>
      </c>
      <c r="M1574">
        <v>9.80792304029108</v>
      </c>
      <c r="N1574">
        <v>47.1822634816171</v>
      </c>
      <c r="O1574">
        <v>45.3462974866799</v>
      </c>
      <c r="P1574">
        <v>-0.0541006718882925</v>
      </c>
      <c r="Q1574">
        <v>0</v>
      </c>
      <c r="R1574">
        <v>0.925276016164373</v>
      </c>
      <c r="S1574" t="s">
        <v>3242</v>
      </c>
      <c r="T1574" t="s">
        <v>3312</v>
      </c>
      <c r="U1574" t="s">
        <v>3312</v>
      </c>
      <c r="V1574" t="s">
        <v>3312</v>
      </c>
      <c r="W1574" t="s">
        <v>4883</v>
      </c>
      <c r="X1574">
        <v>4</v>
      </c>
      <c r="Y1574" t="s">
        <v>6525</v>
      </c>
      <c r="Z1574" t="s">
        <v>8167</v>
      </c>
      <c r="AA1574">
        <v>0.3831584960247235</v>
      </c>
      <c r="AB1574">
        <f>HYPERLINK("Melting_Curves/meltCurve_P77499_sufC.pdf", "Melting_Curves/meltCurve_P77499_sufC.pdf")</f>
        <v>0</v>
      </c>
    </row>
    <row r="1575" spans="1:28">
      <c r="A1575" t="s">
        <v>1601</v>
      </c>
      <c r="B1575">
        <v>0.999984544473304</v>
      </c>
      <c r="C1575">
        <v>0.973667073028145</v>
      </c>
      <c r="D1575">
        <v>0.6499309228317089</v>
      </c>
      <c r="E1575">
        <v>0.404960296639075</v>
      </c>
      <c r="F1575">
        <v>0.30196916482839</v>
      </c>
      <c r="G1575">
        <v>0.23777209965736</v>
      </c>
      <c r="H1575">
        <v>0.242138721973854</v>
      </c>
      <c r="I1575">
        <v>0.192680085281791</v>
      </c>
      <c r="J1575">
        <v>0.141241087437021</v>
      </c>
      <c r="K1575">
        <v>0.0836358762366672</v>
      </c>
      <c r="L1575">
        <v>779.339230536401</v>
      </c>
      <c r="M1575">
        <v>17.5574546804851</v>
      </c>
      <c r="N1575">
        <v>45.4543758304937</v>
      </c>
      <c r="O1575">
        <v>43.8241204934832</v>
      </c>
      <c r="P1575">
        <v>-0.0832552997327784</v>
      </c>
      <c r="Q1575">
        <v>0.168810790684688</v>
      </c>
      <c r="R1575">
        <v>0.976856689847113</v>
      </c>
      <c r="S1575" t="s">
        <v>3243</v>
      </c>
      <c r="T1575" t="s">
        <v>3312</v>
      </c>
      <c r="U1575" t="s">
        <v>3312</v>
      </c>
      <c r="V1575" t="s">
        <v>3312</v>
      </c>
      <c r="W1575" t="s">
        <v>4884</v>
      </c>
      <c r="X1575">
        <v>5</v>
      </c>
      <c r="Y1575" t="s">
        <v>6526</v>
      </c>
      <c r="Z1575" t="s">
        <v>8168</v>
      </c>
      <c r="AA1575">
        <v>0.3880808219715319</v>
      </c>
      <c r="AB1575">
        <f>HYPERLINK("Melting_Curves/meltCurve_P77522_sufB.pdf", "Melting_Curves/meltCurve_P77522_sufB.pdf")</f>
        <v>0</v>
      </c>
    </row>
    <row r="1576" spans="1:28">
      <c r="A1576" t="s">
        <v>1602</v>
      </c>
      <c r="B1576">
        <v>0.999984544473304</v>
      </c>
      <c r="C1576">
        <v>0.889330096323217</v>
      </c>
      <c r="D1576">
        <v>0.86954415799886</v>
      </c>
      <c r="E1576">
        <v>0.981616399019281</v>
      </c>
      <c r="F1576">
        <v>1.0324645784292</v>
      </c>
      <c r="G1576">
        <v>0.814611822345738</v>
      </c>
      <c r="H1576">
        <v>0.810997064795401</v>
      </c>
      <c r="I1576">
        <v>0.561027702122347</v>
      </c>
      <c r="J1576">
        <v>0.368938663742445</v>
      </c>
      <c r="K1576">
        <v>0.161567261717517</v>
      </c>
      <c r="L1576">
        <v>1029.24247567649</v>
      </c>
      <c r="M1576">
        <v>16.6885003977687</v>
      </c>
      <c r="N1576">
        <v>61.6737546883759</v>
      </c>
      <c r="O1576">
        <v>60.8086030755201</v>
      </c>
      <c r="P1576">
        <v>-0.0686153227915091</v>
      </c>
      <c r="Q1576">
        <v>0</v>
      </c>
      <c r="R1576">
        <v>0.937853754459672</v>
      </c>
      <c r="S1576" t="s">
        <v>3244</v>
      </c>
      <c r="T1576" t="s">
        <v>3312</v>
      </c>
      <c r="U1576" t="s">
        <v>3312</v>
      </c>
      <c r="V1576" t="s">
        <v>3312</v>
      </c>
      <c r="W1576" t="s">
        <v>4885</v>
      </c>
      <c r="X1576">
        <v>2</v>
      </c>
      <c r="Y1576" t="s">
        <v>6527</v>
      </c>
      <c r="Z1576" t="s">
        <v>8169</v>
      </c>
      <c r="AA1576">
        <v>0.8078340991950431</v>
      </c>
      <c r="AB1576">
        <f>HYPERLINK("Melting_Curves/meltCurve_P77526_yfcG.pdf", "Melting_Curves/meltCurve_P77526_yfcG.pdf")</f>
        <v>0</v>
      </c>
    </row>
    <row r="1577" spans="1:28">
      <c r="A1577" t="s">
        <v>1603</v>
      </c>
      <c r="B1577">
        <v>0.999984544473304</v>
      </c>
      <c r="C1577">
        <v>0.982212824813637</v>
      </c>
      <c r="D1577">
        <v>0.653408416251795</v>
      </c>
      <c r="E1577">
        <v>0.573824221264691</v>
      </c>
      <c r="F1577">
        <v>0.395820015360898</v>
      </c>
      <c r="G1577">
        <v>0.281606663124746</v>
      </c>
      <c r="H1577">
        <v>0.220513807225565</v>
      </c>
      <c r="I1577">
        <v>0.234693463644199</v>
      </c>
      <c r="J1577">
        <v>0.166687642216929</v>
      </c>
      <c r="K1577">
        <v>0.168389730547691</v>
      </c>
      <c r="L1577">
        <v>586.1413173715609</v>
      </c>
      <c r="M1577">
        <v>12.7546040024352</v>
      </c>
      <c r="N1577">
        <v>47.4738926516057</v>
      </c>
      <c r="O1577">
        <v>44.86955735614</v>
      </c>
      <c r="P1577">
        <v>-0.0591720516501966</v>
      </c>
      <c r="Q1577">
        <v>0.167510697162435</v>
      </c>
      <c r="R1577">
        <v>0.97613761021107</v>
      </c>
      <c r="S1577" t="s">
        <v>3245</v>
      </c>
      <c r="T1577" t="s">
        <v>3312</v>
      </c>
      <c r="U1577" t="s">
        <v>3312</v>
      </c>
      <c r="V1577" t="s">
        <v>3312</v>
      </c>
      <c r="W1577" t="s">
        <v>4886</v>
      </c>
      <c r="X1577">
        <v>2</v>
      </c>
      <c r="Y1577" t="s">
        <v>6528</v>
      </c>
      <c r="Z1577" t="s">
        <v>8170</v>
      </c>
      <c r="AA1577">
        <v>0.4419054060946216</v>
      </c>
      <c r="AB1577">
        <f>HYPERLINK("Melting_Curves/meltCurve_P77529_ydjN.pdf", "Melting_Curves/meltCurve_P77529_ydjN.pdf")</f>
        <v>0</v>
      </c>
    </row>
    <row r="1578" spans="1:28">
      <c r="A1578" t="s">
        <v>1604</v>
      </c>
      <c r="B1578">
        <v>0.999984544473304</v>
      </c>
      <c r="C1578">
        <v>0.57629893268275</v>
      </c>
      <c r="D1578">
        <v>0.154120786303408</v>
      </c>
      <c r="E1578">
        <v>0.130953168811863</v>
      </c>
      <c r="F1578">
        <v>0.0978476607410781</v>
      </c>
      <c r="G1578">
        <v>0.06546502701044569</v>
      </c>
      <c r="H1578">
        <v>0.0586463680912481</v>
      </c>
      <c r="I1578">
        <v>0.0474286177793865</v>
      </c>
      <c r="J1578">
        <v>0.0386915084352676</v>
      </c>
      <c r="K1578">
        <v>0.0331603360022959</v>
      </c>
      <c r="L1578">
        <v>1485.2566836125</v>
      </c>
      <c r="M1578">
        <v>36.9928682841632</v>
      </c>
      <c r="N1578">
        <v>40.3082829621371</v>
      </c>
      <c r="O1578">
        <v>40.0330253930466</v>
      </c>
      <c r="P1578">
        <v>-0.215380776467857</v>
      </c>
      <c r="Q1578">
        <v>0.06767767313147249</v>
      </c>
      <c r="R1578">
        <v>0.990668172126016</v>
      </c>
      <c r="S1578" t="s">
        <v>3246</v>
      </c>
      <c r="T1578" t="s">
        <v>3312</v>
      </c>
      <c r="U1578" t="s">
        <v>3312</v>
      </c>
      <c r="V1578" t="s">
        <v>3312</v>
      </c>
      <c r="W1578" t="s">
        <v>4887</v>
      </c>
      <c r="X1578">
        <v>4</v>
      </c>
      <c r="Y1578" t="s">
        <v>6529</v>
      </c>
      <c r="Z1578" t="s">
        <v>8171</v>
      </c>
      <c r="AA1578">
        <v>0.1697427188990362</v>
      </c>
      <c r="AB1578">
        <f>HYPERLINK("Melting_Curves/meltCurve_P77541_prpB.pdf", "Melting_Curves/meltCurve_P77541_prpB.pdf")</f>
        <v>0</v>
      </c>
    </row>
    <row r="1579" spans="1:28">
      <c r="A1579" t="s">
        <v>1605</v>
      </c>
      <c r="B1579">
        <v>0.999984544473304</v>
      </c>
      <c r="C1579">
        <v>0.5413306237082049</v>
      </c>
      <c r="D1579">
        <v>0.261401904667075</v>
      </c>
      <c r="E1579">
        <v>0.09236103511506941</v>
      </c>
      <c r="F1579">
        <v>0.0406165020917526</v>
      </c>
      <c r="G1579">
        <v>0.0241156230917137</v>
      </c>
      <c r="H1579">
        <v>0.0284517544326944</v>
      </c>
      <c r="I1579">
        <v>0.0180785885001672</v>
      </c>
      <c r="J1579">
        <v>0.018812099345074</v>
      </c>
      <c r="K1579">
        <v>0.0153971524977066</v>
      </c>
      <c r="L1579">
        <v>974.862445058665</v>
      </c>
      <c r="M1579">
        <v>24.0642649391696</v>
      </c>
      <c r="N1579">
        <v>40.6094015352804</v>
      </c>
      <c r="O1579">
        <v>40.2341512081616</v>
      </c>
      <c r="P1579">
        <v>-0.145285157971144</v>
      </c>
      <c r="Q1579">
        <v>0.028379542387097</v>
      </c>
      <c r="R1579">
        <v>0.984938814418311</v>
      </c>
      <c r="S1579" t="s">
        <v>3247</v>
      </c>
      <c r="T1579" t="s">
        <v>3312</v>
      </c>
      <c r="U1579" t="s">
        <v>3312</v>
      </c>
      <c r="V1579" t="s">
        <v>3312</v>
      </c>
      <c r="W1579" t="s">
        <v>4888</v>
      </c>
      <c r="X1579">
        <v>1</v>
      </c>
      <c r="Y1579" t="s">
        <v>6530</v>
      </c>
      <c r="Z1579" t="s">
        <v>8172</v>
      </c>
      <c r="AA1579">
        <v>0.1538203643980539</v>
      </c>
      <c r="AB1579">
        <f>HYPERLINK("Melting_Curves/meltCurve_P77544_yfcF.pdf", "Melting_Curves/meltCurve_P77544_yfcF.pdf")</f>
        <v>0</v>
      </c>
    </row>
    <row r="1580" spans="1:28">
      <c r="A1580" t="s">
        <v>1606</v>
      </c>
      <c r="B1580">
        <v>0.999984544473304</v>
      </c>
      <c r="C1580">
        <v>1.17031021345756</v>
      </c>
      <c r="D1580">
        <v>1.19733232036494</v>
      </c>
      <c r="E1580">
        <v>1.15009474544414</v>
      </c>
      <c r="F1580">
        <v>1.24087352136577</v>
      </c>
      <c r="G1580">
        <v>1.08309191086036</v>
      </c>
      <c r="H1580">
        <v>1.1095454982961</v>
      </c>
      <c r="I1580">
        <v>0.938103459024251</v>
      </c>
      <c r="J1580">
        <v>0.765196760431691</v>
      </c>
      <c r="K1580">
        <v>0.519644339889676</v>
      </c>
      <c r="L1580">
        <v>2754.38858330982</v>
      </c>
      <c r="M1580">
        <v>42.585337159053</v>
      </c>
      <c r="O1580">
        <v>64.537137339323</v>
      </c>
      <c r="P1580">
        <v>-0.09720785991703459</v>
      </c>
      <c r="Q1580">
        <v>0.410735538083896</v>
      </c>
      <c r="R1580">
        <v>0.629092296307482</v>
      </c>
      <c r="S1580" t="s">
        <v>3248</v>
      </c>
      <c r="T1580" t="s">
        <v>3312</v>
      </c>
      <c r="U1580" t="s">
        <v>3312</v>
      </c>
      <c r="V1580" t="s">
        <v>3312</v>
      </c>
      <c r="W1580" t="s">
        <v>4889</v>
      </c>
      <c r="X1580">
        <v>9</v>
      </c>
      <c r="Y1580" t="s">
        <v>6531</v>
      </c>
      <c r="Z1580" t="s">
        <v>8173</v>
      </c>
      <c r="AA1580">
        <v>0.9497777853408902</v>
      </c>
      <c r="AB1580">
        <f>HYPERLINK("Melting_Curves/meltCurve_P77552_ydhQ.pdf", "Melting_Curves/meltCurve_P77552_ydhQ.pdf")</f>
        <v>0</v>
      </c>
    </row>
    <row r="1581" spans="1:28">
      <c r="A1581" t="s">
        <v>1607</v>
      </c>
      <c r="B1581">
        <v>0.999984544473304</v>
      </c>
      <c r="C1581">
        <v>1.10622247705088</v>
      </c>
      <c r="D1581">
        <v>1.34375692662527</v>
      </c>
      <c r="E1581">
        <v>1.04062469265574</v>
      </c>
      <c r="F1581">
        <v>0.888825380377063</v>
      </c>
      <c r="G1581">
        <v>0.65923028251702</v>
      </c>
      <c r="H1581">
        <v>0.279935765947554</v>
      </c>
      <c r="I1581">
        <v>0.162529172877717</v>
      </c>
      <c r="J1581">
        <v>0.139716599060304</v>
      </c>
      <c r="K1581">
        <v>0.10149921031338</v>
      </c>
      <c r="L1581">
        <v>1499.15171241503</v>
      </c>
      <c r="M1581">
        <v>27.4650438482843</v>
      </c>
      <c r="N1581">
        <v>55.0813747892445</v>
      </c>
      <c r="O1581">
        <v>54.2970789581874</v>
      </c>
      <c r="P1581">
        <v>-0.112569929420305</v>
      </c>
      <c r="Q1581">
        <v>0.109826750576623</v>
      </c>
      <c r="R1581">
        <v>0.931129387528032</v>
      </c>
      <c r="S1581" t="s">
        <v>3249</v>
      </c>
      <c r="T1581" t="s">
        <v>3312</v>
      </c>
      <c r="U1581" t="s">
        <v>3312</v>
      </c>
      <c r="V1581" t="s">
        <v>3312</v>
      </c>
      <c r="W1581" t="s">
        <v>4890</v>
      </c>
      <c r="X1581">
        <v>4</v>
      </c>
      <c r="Y1581" t="s">
        <v>6532</v>
      </c>
      <c r="Z1581" t="s">
        <v>8174</v>
      </c>
      <c r="AA1581">
        <v>0.6381831382810812</v>
      </c>
      <c r="AB1581">
        <f>HYPERLINK("Melting_Curves/meltCurve_P77554_yahJ.pdf", "Melting_Curves/meltCurve_P77554_yahJ.pdf")</f>
        <v>0</v>
      </c>
    </row>
    <row r="1582" spans="1:28">
      <c r="A1582" t="s">
        <v>1608</v>
      </c>
      <c r="B1582">
        <v>0.999984544473304</v>
      </c>
      <c r="C1582">
        <v>0.852948900257534</v>
      </c>
      <c r="D1582">
        <v>1.85857786885089</v>
      </c>
      <c r="E1582">
        <v>0.366121315244348</v>
      </c>
      <c r="F1582">
        <v>0.39305771775464</v>
      </c>
      <c r="G1582">
        <v>0.221693863323708</v>
      </c>
      <c r="H1582">
        <v>0.191543781222954</v>
      </c>
      <c r="I1582">
        <v>0.183762848628708</v>
      </c>
      <c r="J1582">
        <v>0.136261708135122</v>
      </c>
      <c r="K1582">
        <v>0.129594166497587</v>
      </c>
      <c r="L1582">
        <v>11584.9057847858</v>
      </c>
      <c r="M1582">
        <v>250</v>
      </c>
      <c r="N1582">
        <v>46.4403625119838</v>
      </c>
      <c r="O1582">
        <v>46.3366578830409</v>
      </c>
      <c r="P1582">
        <v>-1.06648956491473</v>
      </c>
      <c r="Q1582">
        <v>0.209319010184093</v>
      </c>
      <c r="R1582">
        <v>0.710370194275121</v>
      </c>
      <c r="S1582" t="s">
        <v>3250</v>
      </c>
      <c r="T1582" t="s">
        <v>3312</v>
      </c>
      <c r="U1582" t="s">
        <v>3312</v>
      </c>
      <c r="V1582" t="s">
        <v>3312</v>
      </c>
      <c r="W1582" t="s">
        <v>4891</v>
      </c>
      <c r="X1582">
        <v>1</v>
      </c>
      <c r="Y1582" t="s">
        <v>6533</v>
      </c>
      <c r="Z1582" t="s">
        <v>8175</v>
      </c>
      <c r="AA1582">
        <v>0.4555387281720658</v>
      </c>
      <c r="AB1582">
        <f>HYPERLINK("Melting_Curves/meltCurve_P77562_yaiW.pdf", "Melting_Curves/meltCurve_P77562_yaiW.pdf")</f>
        <v>0</v>
      </c>
    </row>
    <row r="1583" spans="1:28">
      <c r="A1583" t="s">
        <v>1609</v>
      </c>
      <c r="B1583">
        <v>0.999984544473304</v>
      </c>
      <c r="C1583">
        <v>0.746269542642918</v>
      </c>
      <c r="D1583">
        <v>0.644413519984687</v>
      </c>
      <c r="E1583">
        <v>0.503811846380932</v>
      </c>
      <c r="F1583">
        <v>0.383374206261719</v>
      </c>
      <c r="G1583">
        <v>0.264309306353372</v>
      </c>
      <c r="H1583">
        <v>0.183562250025412</v>
      </c>
      <c r="I1583">
        <v>0.158044620772476</v>
      </c>
      <c r="J1583">
        <v>0.101448645049326</v>
      </c>
      <c r="K1583">
        <v>0.132759112349239</v>
      </c>
      <c r="L1583">
        <v>417.100238499548</v>
      </c>
      <c r="M1583">
        <v>9.10471515403913</v>
      </c>
      <c r="N1583">
        <v>46.5343879757954</v>
      </c>
      <c r="O1583">
        <v>43.7636854220448</v>
      </c>
      <c r="P1583">
        <v>-0.04861438951664</v>
      </c>
      <c r="Q1583">
        <v>0.0659490158807558</v>
      </c>
      <c r="R1583">
        <v>0.98129273000904</v>
      </c>
      <c r="S1583" t="s">
        <v>3251</v>
      </c>
      <c r="T1583" t="s">
        <v>3312</v>
      </c>
      <c r="U1583" t="s">
        <v>3312</v>
      </c>
      <c r="V1583" t="s">
        <v>3312</v>
      </c>
      <c r="W1583" t="s">
        <v>4892</v>
      </c>
      <c r="X1583">
        <v>8</v>
      </c>
      <c r="Y1583" t="s">
        <v>6534</v>
      </c>
      <c r="Z1583" t="s">
        <v>8176</v>
      </c>
      <c r="AA1583">
        <v>0.3905298603048189</v>
      </c>
      <c r="AB1583">
        <f>HYPERLINK("Melting_Curves/meltCurve_P77581_astC.pdf", "Melting_Curves/meltCurve_P77581_astC.pdf")</f>
        <v>0</v>
      </c>
    </row>
    <row r="1584" spans="1:28">
      <c r="A1584" t="s">
        <v>1610</v>
      </c>
      <c r="B1584">
        <v>0.999984544473304</v>
      </c>
      <c r="C1584">
        <v>1.80891233488173</v>
      </c>
      <c r="D1584">
        <v>0.104723142438741</v>
      </c>
      <c r="E1584">
        <v>0.624722947576163</v>
      </c>
      <c r="F1584">
        <v>1.20989681129191</v>
      </c>
      <c r="G1584">
        <v>0.272287448754933</v>
      </c>
      <c r="H1584">
        <v>0.7721823434612129</v>
      </c>
      <c r="I1584">
        <v>0.681346242001216</v>
      </c>
      <c r="J1584">
        <v>1.24141248395804</v>
      </c>
      <c r="K1584">
        <v>1.04422117973485</v>
      </c>
      <c r="L1584">
        <v>10354.4443648473</v>
      </c>
      <c r="M1584">
        <v>250</v>
      </c>
      <c r="O1584">
        <v>41.4151269867475</v>
      </c>
      <c r="P1584">
        <v>-0.386527339430238</v>
      </c>
      <c r="Q1584">
        <v>0.743870738699186</v>
      </c>
      <c r="R1584">
        <v>0.166358665849752</v>
      </c>
      <c r="S1584" t="s">
        <v>3252</v>
      </c>
      <c r="T1584" t="s">
        <v>3312</v>
      </c>
      <c r="U1584" t="s">
        <v>3312</v>
      </c>
      <c r="V1584" t="s">
        <v>3312</v>
      </c>
      <c r="W1584" t="s">
        <v>4893</v>
      </c>
      <c r="X1584">
        <v>1</v>
      </c>
      <c r="Y1584" t="s">
        <v>6535</v>
      </c>
      <c r="Z1584" t="s">
        <v>8177</v>
      </c>
      <c r="AA1584">
        <v>0.7816067586844039</v>
      </c>
      <c r="AB1584">
        <f>HYPERLINK("Melting_Curves/meltCurve_P77611_rsxC.pdf", "Melting_Curves/meltCurve_P77611_rsxC.pdf")</f>
        <v>0</v>
      </c>
    </row>
    <row r="1585" spans="1:28">
      <c r="A1585" t="s">
        <v>1611</v>
      </c>
      <c r="B1585">
        <v>0.999984544473304</v>
      </c>
      <c r="C1585">
        <v>0.765323127729252</v>
      </c>
      <c r="D1585">
        <v>0.835565534477456</v>
      </c>
      <c r="E1585">
        <v>0.471847615577943</v>
      </c>
      <c r="F1585">
        <v>0.18211705901716</v>
      </c>
      <c r="G1585">
        <v>0.103064529906428</v>
      </c>
      <c r="H1585">
        <v>0.0904406142672044</v>
      </c>
      <c r="I1585">
        <v>0.0650898030349214</v>
      </c>
      <c r="J1585">
        <v>0.0533652897809678</v>
      </c>
      <c r="K1585">
        <v>0.100978008383175</v>
      </c>
      <c r="L1585">
        <v>764.2282679174421</v>
      </c>
      <c r="M1585">
        <v>16.7101532268737</v>
      </c>
      <c r="N1585">
        <v>46.0447187485133</v>
      </c>
      <c r="O1585">
        <v>45.0944373293708</v>
      </c>
      <c r="P1585">
        <v>-0.0877116103609087</v>
      </c>
      <c r="Q1585">
        <v>0.0532595963579105</v>
      </c>
      <c r="R1585">
        <v>0.970212390857134</v>
      </c>
      <c r="S1585" t="s">
        <v>3253</v>
      </c>
      <c r="T1585" t="s">
        <v>3312</v>
      </c>
      <c r="U1585" t="s">
        <v>3312</v>
      </c>
      <c r="V1585" t="s">
        <v>3312</v>
      </c>
      <c r="W1585" t="s">
        <v>4894</v>
      </c>
      <c r="X1585">
        <v>2</v>
      </c>
      <c r="Y1585" t="s">
        <v>6536</v>
      </c>
      <c r="Z1585" t="s">
        <v>8178</v>
      </c>
      <c r="AA1585">
        <v>0.3467070891294656</v>
      </c>
      <c r="AB1585">
        <f>HYPERLINK("Melting_Curves/meltCurve_P77625_yfbT.pdf", "Melting_Curves/meltCurve_P77625_yfbT.pdf")</f>
        <v>0</v>
      </c>
    </row>
    <row r="1586" spans="1:28">
      <c r="A1586" t="s">
        <v>1612</v>
      </c>
      <c r="B1586">
        <v>0.999984544473304</v>
      </c>
      <c r="C1586">
        <v>0.948647937423149</v>
      </c>
      <c r="D1586">
        <v>0.798877916475276</v>
      </c>
      <c r="E1586">
        <v>0.597577619485787</v>
      </c>
      <c r="F1586">
        <v>0.553645253423938</v>
      </c>
      <c r="G1586">
        <v>0.488509071489903</v>
      </c>
      <c r="H1586">
        <v>0.395517175721156</v>
      </c>
      <c r="I1586">
        <v>0.382773978065207</v>
      </c>
      <c r="J1586">
        <v>0.384710541926312</v>
      </c>
      <c r="K1586">
        <v>0.271435399615196</v>
      </c>
      <c r="L1586">
        <v>513.845659663488</v>
      </c>
      <c r="M1586">
        <v>11.0181981475495</v>
      </c>
      <c r="N1586">
        <v>51.3777223061302</v>
      </c>
      <c r="O1586">
        <v>45.1788720478325</v>
      </c>
      <c r="P1586">
        <v>-0.041526066274576</v>
      </c>
      <c r="Q1586">
        <v>0.319136602409424</v>
      </c>
      <c r="R1586">
        <v>0.972844747107094</v>
      </c>
      <c r="S1586" t="s">
        <v>3254</v>
      </c>
      <c r="T1586" t="s">
        <v>3312</v>
      </c>
      <c r="U1586" t="s">
        <v>3312</v>
      </c>
      <c r="V1586" t="s">
        <v>3312</v>
      </c>
      <c r="W1586" t="s">
        <v>4895</v>
      </c>
      <c r="X1586">
        <v>2</v>
      </c>
      <c r="Y1586" t="s">
        <v>6537</v>
      </c>
      <c r="Z1586" t="s">
        <v>8179</v>
      </c>
      <c r="AA1586">
        <v>0.5639064759844828</v>
      </c>
      <c r="AB1586">
        <f>HYPERLINK("Melting_Curves/meltCurve_P77671_allB.pdf", "Melting_Curves/meltCurve_P77671_allB.pdf")</f>
        <v>0</v>
      </c>
    </row>
    <row r="1587" spans="1:28">
      <c r="A1587" t="s">
        <v>1613</v>
      </c>
      <c r="B1587">
        <v>0.999984544473304</v>
      </c>
      <c r="C1587">
        <v>1.23494183142394</v>
      </c>
      <c r="D1587">
        <v>1.2098148986322</v>
      </c>
      <c r="E1587">
        <v>1.15709244274183</v>
      </c>
      <c r="F1587">
        <v>1.00615488610662</v>
      </c>
      <c r="G1587">
        <v>1.09948664033442</v>
      </c>
      <c r="H1587">
        <v>0.709284064954088</v>
      </c>
      <c r="I1587">
        <v>0.621129945757547</v>
      </c>
      <c r="J1587">
        <v>0.494585091296236</v>
      </c>
      <c r="K1587">
        <v>0.311896984049522</v>
      </c>
      <c r="L1587">
        <v>1290.18324227515</v>
      </c>
      <c r="M1587">
        <v>21.3615956664816</v>
      </c>
      <c r="N1587">
        <v>62.7519589945252</v>
      </c>
      <c r="O1587">
        <v>59.8754961387387</v>
      </c>
      <c r="P1587">
        <v>-0.064604689641224</v>
      </c>
      <c r="Q1587">
        <v>0.27568312219522</v>
      </c>
      <c r="R1587">
        <v>0.828076274196716</v>
      </c>
      <c r="S1587" t="s">
        <v>3255</v>
      </c>
      <c r="T1587" t="s">
        <v>3312</v>
      </c>
      <c r="U1587" t="s">
        <v>3312</v>
      </c>
      <c r="V1587" t="s">
        <v>3312</v>
      </c>
      <c r="W1587" t="s">
        <v>4896</v>
      </c>
      <c r="X1587">
        <v>9</v>
      </c>
      <c r="Y1587" t="s">
        <v>6538</v>
      </c>
      <c r="Z1587" t="s">
        <v>8180</v>
      </c>
      <c r="AA1587">
        <v>0.8405421821875029</v>
      </c>
      <c r="AB1587">
        <f>HYPERLINK("Melting_Curves/meltCurve_P77674_prr.pdf", "Melting_Curves/meltCurve_P77674_prr.pdf")</f>
        <v>0</v>
      </c>
    </row>
    <row r="1588" spans="1:28">
      <c r="A1588" t="s">
        <v>1614</v>
      </c>
      <c r="B1588">
        <v>0.999984544473304</v>
      </c>
      <c r="C1588">
        <v>1.10021626825113</v>
      </c>
      <c r="D1588">
        <v>0.825233118006626</v>
      </c>
      <c r="E1588">
        <v>0.341518803913414</v>
      </c>
      <c r="F1588">
        <v>0.157918565246812</v>
      </c>
      <c r="G1588">
        <v>0.09430773336406741</v>
      </c>
      <c r="H1588">
        <v>0.0885487443402886</v>
      </c>
      <c r="I1588">
        <v>0.0758570405690687</v>
      </c>
      <c r="J1588">
        <v>0.056641239822392</v>
      </c>
      <c r="K1588">
        <v>0.0380845321579853</v>
      </c>
      <c r="L1588">
        <v>1357.99709666572</v>
      </c>
      <c r="M1588">
        <v>30.004963246428</v>
      </c>
      <c r="N1588">
        <v>45.5039967017955</v>
      </c>
      <c r="O1588">
        <v>45.0594953623533</v>
      </c>
      <c r="P1588">
        <v>-0.154062162598911</v>
      </c>
      <c r="Q1588">
        <v>0.0745644705232185</v>
      </c>
      <c r="R1588">
        <v>0.989448995452389</v>
      </c>
      <c r="S1588" t="s">
        <v>3256</v>
      </c>
      <c r="T1588" t="s">
        <v>3312</v>
      </c>
      <c r="U1588" t="s">
        <v>3312</v>
      </c>
      <c r="V1588" t="s">
        <v>3312</v>
      </c>
      <c r="W1588" t="s">
        <v>4897</v>
      </c>
      <c r="X1588">
        <v>1</v>
      </c>
      <c r="Y1588" t="s">
        <v>6539</v>
      </c>
      <c r="Z1588" t="s">
        <v>8181</v>
      </c>
      <c r="AA1588">
        <v>0.3345520840884422</v>
      </c>
      <c r="AB1588">
        <f>HYPERLINK("Melting_Curves/meltCurve_P77689_sufD.pdf", "Melting_Curves/meltCurve_P77689_sufD.pdf")</f>
        <v>0</v>
      </c>
    </row>
    <row r="1589" spans="1:28">
      <c r="A1589" t="s">
        <v>1615</v>
      </c>
      <c r="B1589">
        <v>0.999984544473304</v>
      </c>
      <c r="C1589">
        <v>1.02078587769315</v>
      </c>
      <c r="D1589">
        <v>0.94715032818665</v>
      </c>
      <c r="E1589">
        <v>1.10740107290099</v>
      </c>
      <c r="F1589">
        <v>1.13208292845358</v>
      </c>
      <c r="G1589">
        <v>0.917598030406877</v>
      </c>
      <c r="H1589">
        <v>0.963879060259202</v>
      </c>
      <c r="I1589">
        <v>0.8719461414779101</v>
      </c>
      <c r="J1589">
        <v>0.754287645149946</v>
      </c>
      <c r="K1589">
        <v>0.767778184732533</v>
      </c>
      <c r="L1589">
        <v>1742.46082500812</v>
      </c>
      <c r="M1589">
        <v>28.7172807446577</v>
      </c>
      <c r="O1589">
        <v>60.3844468287183</v>
      </c>
      <c r="P1589">
        <v>-0.0315174737715318</v>
      </c>
      <c r="Q1589">
        <v>0.734912184296115</v>
      </c>
      <c r="R1589">
        <v>0.726662693254653</v>
      </c>
      <c r="S1589" t="s">
        <v>3257</v>
      </c>
      <c r="T1589" t="s">
        <v>3312</v>
      </c>
      <c r="U1589" t="s">
        <v>3312</v>
      </c>
      <c r="V1589" t="s">
        <v>3312</v>
      </c>
      <c r="W1589" t="s">
        <v>4898</v>
      </c>
      <c r="X1589">
        <v>7</v>
      </c>
      <c r="Y1589" t="s">
        <v>6540</v>
      </c>
      <c r="Z1589" t="s">
        <v>8182</v>
      </c>
      <c r="AA1589">
        <v>0.9447027591950835</v>
      </c>
      <c r="AB1589">
        <f>HYPERLINK("Melting_Curves/meltCurve_P77695_gnsB.pdf", "Melting_Curves/meltCurve_P77695_gnsB.pdf")</f>
        <v>0</v>
      </c>
    </row>
    <row r="1590" spans="1:28">
      <c r="A1590" t="s">
        <v>1616</v>
      </c>
      <c r="B1590">
        <v>0.999984544473304</v>
      </c>
      <c r="C1590">
        <v>1.25244833896356</v>
      </c>
      <c r="D1590">
        <v>0.877202874519285</v>
      </c>
      <c r="E1590">
        <v>0.788305334119374</v>
      </c>
      <c r="F1590">
        <v>0.614640691705979</v>
      </c>
      <c r="G1590">
        <v>0.56357863985502</v>
      </c>
      <c r="H1590">
        <v>0.5427795062267</v>
      </c>
      <c r="I1590">
        <v>0.579773744973637</v>
      </c>
      <c r="J1590">
        <v>0.544074364683061</v>
      </c>
      <c r="K1590">
        <v>0.556594305608775</v>
      </c>
      <c r="L1590">
        <v>1198.68764418216</v>
      </c>
      <c r="M1590">
        <v>25.7596916880192</v>
      </c>
      <c r="O1590">
        <v>46.2557410850062</v>
      </c>
      <c r="P1590">
        <v>-0.062013026904109</v>
      </c>
      <c r="Q1590">
        <v>0.554587173349248</v>
      </c>
      <c r="R1590">
        <v>0.862151089333491</v>
      </c>
      <c r="S1590" t="s">
        <v>3258</v>
      </c>
      <c r="T1590" t="s">
        <v>3312</v>
      </c>
      <c r="U1590" t="s">
        <v>3312</v>
      </c>
      <c r="V1590" t="s">
        <v>3312</v>
      </c>
      <c r="W1590" t="s">
        <v>4899</v>
      </c>
      <c r="X1590">
        <v>1</v>
      </c>
      <c r="Y1590" t="s">
        <v>6541</v>
      </c>
      <c r="Z1590" t="s">
        <v>8183</v>
      </c>
      <c r="AA1590">
        <v>0.6996285324924123</v>
      </c>
      <c r="AB1590">
        <f>HYPERLINK("Melting_Curves/meltCurve_P77712_fadM.pdf", "Melting_Curves/meltCurve_P77712_fadM.pdf")</f>
        <v>0</v>
      </c>
    </row>
    <row r="1591" spans="1:28">
      <c r="A1591" t="s">
        <v>1617</v>
      </c>
      <c r="B1591">
        <v>0.999984544473304</v>
      </c>
      <c r="C1591">
        <v>1.49393612299046</v>
      </c>
      <c r="D1591">
        <v>0.921128512459028</v>
      </c>
      <c r="E1591">
        <v>0.264278777721749</v>
      </c>
      <c r="F1591">
        <v>0.126912956314735</v>
      </c>
      <c r="G1591">
        <v>0.08956068033664689</v>
      </c>
      <c r="H1591">
        <v>0.088384725780551</v>
      </c>
      <c r="I1591">
        <v>0.0514635290039849</v>
      </c>
      <c r="J1591">
        <v>0.0561226581086561</v>
      </c>
      <c r="K1591">
        <v>0.0413549238184043</v>
      </c>
      <c r="L1591">
        <v>2207.52372403684</v>
      </c>
      <c r="M1591">
        <v>48.7220727658339</v>
      </c>
      <c r="N1591">
        <v>45.4580415287917</v>
      </c>
      <c r="O1591">
        <v>45.2323610949351</v>
      </c>
      <c r="P1591">
        <v>-0.2493470901959</v>
      </c>
      <c r="Q1591">
        <v>0.074050315499157</v>
      </c>
      <c r="R1591">
        <v>0.899323356513852</v>
      </c>
      <c r="S1591" t="s">
        <v>3259</v>
      </c>
      <c r="T1591" t="s">
        <v>3312</v>
      </c>
      <c r="U1591" t="s">
        <v>3312</v>
      </c>
      <c r="V1591" t="s">
        <v>3312</v>
      </c>
      <c r="W1591" t="s">
        <v>4900</v>
      </c>
      <c r="X1591">
        <v>1</v>
      </c>
      <c r="Y1591" t="s">
        <v>6542</v>
      </c>
      <c r="Z1591" t="s">
        <v>8184</v>
      </c>
      <c r="AA1591">
        <v>0.3324417209450372</v>
      </c>
      <c r="AB1591">
        <f>HYPERLINK("Melting_Curves/meltCurve_P77713_yagH.pdf", "Melting_Curves/meltCurve_P77713_yagH.pdf")</f>
        <v>0</v>
      </c>
    </row>
    <row r="1592" spans="1:28">
      <c r="A1592" t="s">
        <v>1618</v>
      </c>
      <c r="B1592">
        <v>0.999984544473304</v>
      </c>
      <c r="C1592">
        <v>1.13879547168552</v>
      </c>
      <c r="D1592">
        <v>0.681496556438777</v>
      </c>
      <c r="E1592">
        <v>0.332698948719921</v>
      </c>
      <c r="F1592">
        <v>0.18534917950071</v>
      </c>
      <c r="G1592">
        <v>0.105330065211114</v>
      </c>
      <c r="H1592">
        <v>0.0698246907019629</v>
      </c>
      <c r="I1592">
        <v>0.0421317974827657</v>
      </c>
      <c r="J1592">
        <v>0.0230226721204108</v>
      </c>
      <c r="K1592">
        <v>0.0330118050970488</v>
      </c>
      <c r="L1592">
        <v>1069.90641346005</v>
      </c>
      <c r="M1592">
        <v>23.8587327765165</v>
      </c>
      <c r="N1592">
        <v>45.0794489459355</v>
      </c>
      <c r="O1592">
        <v>44.5319195904072</v>
      </c>
      <c r="P1592">
        <v>-0.126078398319346</v>
      </c>
      <c r="Q1592">
        <v>0.0587225027979944</v>
      </c>
      <c r="R1592">
        <v>0.971722503401961</v>
      </c>
      <c r="S1592" t="s">
        <v>3260</v>
      </c>
      <c r="T1592" t="s">
        <v>3312</v>
      </c>
      <c r="U1592" t="s">
        <v>3312</v>
      </c>
      <c r="V1592" t="s">
        <v>3312</v>
      </c>
      <c r="W1592" t="s">
        <v>4901</v>
      </c>
      <c r="X1592">
        <v>4</v>
      </c>
      <c r="Y1592" t="s">
        <v>6543</v>
      </c>
      <c r="Z1592" t="s">
        <v>8185</v>
      </c>
      <c r="AA1592">
        <v>0.3133386147643297</v>
      </c>
      <c r="AB1592">
        <f>HYPERLINK("Melting_Curves/meltCurve_P77718_thiI.pdf", "Melting_Curves/meltCurve_P77718_thiI.pdf")</f>
        <v>0</v>
      </c>
    </row>
    <row r="1593" spans="1:28">
      <c r="A1593" t="s">
        <v>1619</v>
      </c>
      <c r="B1593">
        <v>0.999984544473304</v>
      </c>
      <c r="C1593">
        <v>0.858096414834463</v>
      </c>
      <c r="D1593">
        <v>0.742313577072327</v>
      </c>
      <c r="E1593">
        <v>0.630970029360138</v>
      </c>
      <c r="F1593">
        <v>0.704493521076061</v>
      </c>
      <c r="G1593">
        <v>0.56173305192106</v>
      </c>
      <c r="H1593">
        <v>0.542235986763271</v>
      </c>
      <c r="I1593">
        <v>0.408290573007714</v>
      </c>
      <c r="J1593">
        <v>0.319874807761538</v>
      </c>
      <c r="K1593">
        <v>0.250909612455145</v>
      </c>
      <c r="L1593">
        <v>268.875043279137</v>
      </c>
      <c r="M1593">
        <v>4.81995337390848</v>
      </c>
      <c r="N1593">
        <v>55.7837436216056</v>
      </c>
      <c r="O1593">
        <v>48.2600692215868</v>
      </c>
      <c r="P1593">
        <v>-0.0251420160022096</v>
      </c>
      <c r="Q1593">
        <v>0</v>
      </c>
      <c r="R1593">
        <v>0.930789006305027</v>
      </c>
      <c r="S1593" t="s">
        <v>3261</v>
      </c>
      <c r="T1593" t="s">
        <v>3312</v>
      </c>
      <c r="U1593" t="s">
        <v>3312</v>
      </c>
      <c r="V1593" t="s">
        <v>3312</v>
      </c>
      <c r="W1593" t="s">
        <v>4902</v>
      </c>
      <c r="X1593">
        <v>2</v>
      </c>
      <c r="Y1593" t="s">
        <v>6544</v>
      </c>
      <c r="Z1593" t="s">
        <v>8186</v>
      </c>
      <c r="AA1593">
        <v>0.5994874759985616</v>
      </c>
      <c r="AB1593">
        <f>HYPERLINK("Melting_Curves/meltCurve_P77721_ydjF.pdf", "Melting_Curves/meltCurve_P77721_ydjF.pdf")</f>
        <v>0</v>
      </c>
    </row>
    <row r="1594" spans="1:28">
      <c r="A1594" t="s">
        <v>1620</v>
      </c>
      <c r="B1594">
        <v>0.999984544473304</v>
      </c>
      <c r="C1594">
        <v>0.631414819204007</v>
      </c>
      <c r="D1594">
        <v>0.375007133901238</v>
      </c>
      <c r="E1594">
        <v>0.08030429960857401</v>
      </c>
      <c r="F1594">
        <v>0.0478579478261922</v>
      </c>
      <c r="G1594">
        <v>0.0290244972721149</v>
      </c>
      <c r="H1594">
        <v>0.0263533311721572</v>
      </c>
      <c r="I1594">
        <v>0.0221107796421935</v>
      </c>
      <c r="J1594">
        <v>0.018194908701666</v>
      </c>
      <c r="K1594">
        <v>0.0157673980082316</v>
      </c>
      <c r="L1594">
        <v>861.416661984564</v>
      </c>
      <c r="M1594">
        <v>20.8034549743221</v>
      </c>
      <c r="N1594">
        <v>41.4849416642505</v>
      </c>
      <c r="O1594">
        <v>41.0304666592765</v>
      </c>
      <c r="P1594">
        <v>-0.12434198282439</v>
      </c>
      <c r="Q1594">
        <v>0.0190729620222884</v>
      </c>
      <c r="R1594">
        <v>0.988152499570057</v>
      </c>
      <c r="S1594" t="s">
        <v>3262</v>
      </c>
      <c r="T1594" t="s">
        <v>3312</v>
      </c>
      <c r="U1594" t="s">
        <v>3312</v>
      </c>
      <c r="V1594" t="s">
        <v>3312</v>
      </c>
      <c r="W1594" t="s">
        <v>4903</v>
      </c>
      <c r="X1594">
        <v>8</v>
      </c>
      <c r="Y1594" t="s">
        <v>6545</v>
      </c>
      <c r="Z1594" t="s">
        <v>8187</v>
      </c>
      <c r="AA1594">
        <v>0.1776197672369268</v>
      </c>
      <c r="AB1594">
        <f>HYPERLINK("Melting_Curves/meltCurve_P77735_yajO.pdf", "Melting_Curves/meltCurve_P77735_yajO.pdf")</f>
        <v>0</v>
      </c>
    </row>
    <row r="1595" spans="1:28">
      <c r="A1595" t="s">
        <v>1621</v>
      </c>
      <c r="B1595">
        <v>0.999984544473304</v>
      </c>
      <c r="C1595">
        <v>0.711987089382054</v>
      </c>
      <c r="D1595">
        <v>0.451174500343483</v>
      </c>
      <c r="E1595">
        <v>0.279327052502102</v>
      </c>
      <c r="F1595">
        <v>0.158372248461021</v>
      </c>
      <c r="G1595">
        <v>0.140029639945845</v>
      </c>
      <c r="H1595">
        <v>0.0929955523951211</v>
      </c>
      <c r="I1595">
        <v>0.0814008465220882</v>
      </c>
      <c r="J1595">
        <v>0.0519313636024719</v>
      </c>
      <c r="K1595">
        <v>0.0349650568205576</v>
      </c>
      <c r="L1595">
        <v>665.615962142566</v>
      </c>
      <c r="M1595">
        <v>15.7143998798068</v>
      </c>
      <c r="N1595">
        <v>42.7761650798653</v>
      </c>
      <c r="O1595">
        <v>41.6889322503077</v>
      </c>
      <c r="P1595">
        <v>-0.0875198909544934</v>
      </c>
      <c r="Q1595">
        <v>0.0713476260520598</v>
      </c>
      <c r="R1595">
        <v>0.985293266795467</v>
      </c>
      <c r="S1595" t="s">
        <v>3263</v>
      </c>
      <c r="T1595" t="s">
        <v>3312</v>
      </c>
      <c r="U1595" t="s">
        <v>3312</v>
      </c>
      <c r="V1595" t="s">
        <v>3312</v>
      </c>
      <c r="W1595" t="s">
        <v>4904</v>
      </c>
      <c r="X1595">
        <v>5</v>
      </c>
      <c r="Y1595" t="s">
        <v>6546</v>
      </c>
      <c r="Z1595" t="s">
        <v>8188</v>
      </c>
      <c r="AA1595">
        <v>0.2605616905392795</v>
      </c>
      <c r="AB1595">
        <f>HYPERLINK("Melting_Curves/meltCurve_P77737_oppF.pdf", "Melting_Curves/meltCurve_P77737_oppF.pdf")</f>
        <v>0</v>
      </c>
    </row>
    <row r="1596" spans="1:28">
      <c r="A1596" t="s">
        <v>1622</v>
      </c>
      <c r="B1596">
        <v>0.999984544473304</v>
      </c>
      <c r="C1596">
        <v>0.745011374149455</v>
      </c>
      <c r="D1596">
        <v>0.50163298085243</v>
      </c>
      <c r="E1596">
        <v>0.542916125431456</v>
      </c>
      <c r="F1596">
        <v>0.430478229460407</v>
      </c>
      <c r="G1596">
        <v>0.362636977136109</v>
      </c>
      <c r="H1596">
        <v>0.311244174483636</v>
      </c>
      <c r="I1596">
        <v>0.303562090216444</v>
      </c>
      <c r="J1596">
        <v>0.185770978326302</v>
      </c>
      <c r="K1596">
        <v>0.329005239009294</v>
      </c>
      <c r="L1596">
        <v>491.284785699246</v>
      </c>
      <c r="M1596">
        <v>11.549513652319</v>
      </c>
      <c r="N1596">
        <v>45.7581429456954</v>
      </c>
      <c r="O1596">
        <v>41.3219744398558</v>
      </c>
      <c r="P1596">
        <v>-0.0504479623652479</v>
      </c>
      <c r="Q1596">
        <v>0.278228279955927</v>
      </c>
      <c r="R1596">
        <v>0.911692081932713</v>
      </c>
      <c r="S1596" t="s">
        <v>3264</v>
      </c>
      <c r="T1596" t="s">
        <v>3312</v>
      </c>
      <c r="U1596" t="s">
        <v>3312</v>
      </c>
      <c r="V1596" t="s">
        <v>3312</v>
      </c>
      <c r="W1596" t="s">
        <v>4905</v>
      </c>
      <c r="X1596">
        <v>1</v>
      </c>
      <c r="Y1596" t="s">
        <v>6547</v>
      </c>
      <c r="Z1596" t="s">
        <v>8189</v>
      </c>
      <c r="AA1596">
        <v>0.4449737426784507</v>
      </c>
      <c r="AB1596">
        <f>HYPERLINK("Melting_Curves/meltCurve_P77739_yniA.pdf", "Melting_Curves/meltCurve_P77739_yniA.pdf")</f>
        <v>0</v>
      </c>
    </row>
    <row r="1597" spans="1:28">
      <c r="A1597" t="s">
        <v>1623</v>
      </c>
      <c r="B1597">
        <v>0.999984544473304</v>
      </c>
      <c r="C1597">
        <v>1.30987383655891</v>
      </c>
      <c r="D1597">
        <v>0.67549212275613</v>
      </c>
      <c r="E1597">
        <v>0.803559087579509</v>
      </c>
      <c r="F1597">
        <v>0.478070006480741</v>
      </c>
      <c r="G1597">
        <v>0.396202777153964</v>
      </c>
      <c r="H1597">
        <v>0.307088819733284</v>
      </c>
      <c r="I1597">
        <v>0.123045943603439</v>
      </c>
      <c r="J1597">
        <v>0.0421015186408642</v>
      </c>
      <c r="K1597">
        <v>0.0348461721685647</v>
      </c>
      <c r="L1597">
        <v>581.139481150642</v>
      </c>
      <c r="M1597">
        <v>11.3712462173701</v>
      </c>
      <c r="N1597">
        <v>51.1060499914438</v>
      </c>
      <c r="O1597">
        <v>49.6020633083388</v>
      </c>
      <c r="P1597">
        <v>-0.0573293770357588</v>
      </c>
      <c r="Q1597">
        <v>0</v>
      </c>
      <c r="R1597">
        <v>0.884232585301863</v>
      </c>
      <c r="S1597" t="s">
        <v>3265</v>
      </c>
      <c r="T1597" t="s">
        <v>3312</v>
      </c>
      <c r="U1597" t="s">
        <v>3312</v>
      </c>
      <c r="V1597" t="s">
        <v>3312</v>
      </c>
      <c r="W1597" t="s">
        <v>4906</v>
      </c>
      <c r="X1597">
        <v>12</v>
      </c>
      <c r="Y1597" t="s">
        <v>6548</v>
      </c>
      <c r="Z1597" t="s">
        <v>8190</v>
      </c>
      <c r="AA1597">
        <v>0.4973397180278633</v>
      </c>
      <c r="AB1597">
        <f>HYPERLINK("Melting_Curves/meltCurve_P77748_ydiJ.pdf", "Melting_Curves/meltCurve_P77748_ydiJ.pdf")</f>
        <v>0</v>
      </c>
    </row>
    <row r="1598" spans="1:28">
      <c r="A1598" t="s">
        <v>1624</v>
      </c>
      <c r="B1598">
        <v>0.999984544473304</v>
      </c>
      <c r="C1598">
        <v>1.06982424132226</v>
      </c>
      <c r="D1598">
        <v>0.9956991215065401</v>
      </c>
      <c r="E1598">
        <v>1.18227581229095</v>
      </c>
      <c r="F1598">
        <v>1.3445802424123</v>
      </c>
      <c r="G1598">
        <v>1.06871863210735</v>
      </c>
      <c r="H1598">
        <v>1.25129543959245</v>
      </c>
      <c r="I1598">
        <v>1.3471852024621</v>
      </c>
      <c r="J1598">
        <v>1.46159074077103</v>
      </c>
      <c r="K1598">
        <v>1.14058786021853</v>
      </c>
      <c r="L1598">
        <v>11615.3823190441</v>
      </c>
      <c r="M1598">
        <v>250</v>
      </c>
      <c r="O1598">
        <v>46.4585560668622</v>
      </c>
      <c r="P1598">
        <v>0.361872283522537</v>
      </c>
      <c r="Q1598">
        <v>1.26899301993587</v>
      </c>
      <c r="R1598">
        <v>0.5216719556596729</v>
      </c>
      <c r="S1598" t="s">
        <v>3266</v>
      </c>
      <c r="T1598" t="s">
        <v>3312</v>
      </c>
      <c r="U1598" t="s">
        <v>3312</v>
      </c>
      <c r="V1598" t="s">
        <v>3312</v>
      </c>
      <c r="W1598" t="s">
        <v>4907</v>
      </c>
      <c r="X1598">
        <v>4</v>
      </c>
      <c r="Y1598" t="s">
        <v>6549</v>
      </c>
      <c r="Z1598" t="s">
        <v>8191</v>
      </c>
      <c r="AA1598">
        <v>1.184134908670192</v>
      </c>
      <c r="AB1598">
        <f>HYPERLINK("Melting_Curves/meltCurve_P77754_spy.pdf", "Melting_Curves/meltCurve_P77754_spy.pdf")</f>
        <v>0</v>
      </c>
    </row>
    <row r="1599" spans="1:28">
      <c r="A1599" t="s">
        <v>1625</v>
      </c>
      <c r="B1599">
        <v>0.999984544473304</v>
      </c>
      <c r="C1599">
        <v>0.72254821370346</v>
      </c>
      <c r="D1599">
        <v>0.614675389887922</v>
      </c>
      <c r="E1599">
        <v>0.268215209746797</v>
      </c>
      <c r="F1599">
        <v>0.115673934992042</v>
      </c>
      <c r="G1599">
        <v>0.0463697735185985</v>
      </c>
      <c r="H1599">
        <v>0.0219551124047423</v>
      </c>
      <c r="I1599">
        <v>0.0234137307772677</v>
      </c>
      <c r="J1599">
        <v>0.0212170688174375</v>
      </c>
      <c r="K1599">
        <v>0.019034947874972</v>
      </c>
      <c r="L1599">
        <v>661.198794390797</v>
      </c>
      <c r="M1599">
        <v>15.1471133876359</v>
      </c>
      <c r="N1599">
        <v>43.6765147400234</v>
      </c>
      <c r="O1599">
        <v>42.9121825317061</v>
      </c>
      <c r="P1599">
        <v>-0.0878768707019924</v>
      </c>
      <c r="Q1599">
        <v>0.00426690725924651</v>
      </c>
      <c r="R1599">
        <v>0.987553674863235</v>
      </c>
      <c r="S1599" t="s">
        <v>3267</v>
      </c>
      <c r="T1599" t="s">
        <v>3312</v>
      </c>
      <c r="U1599" t="s">
        <v>3312</v>
      </c>
      <c r="V1599" t="s">
        <v>3312</v>
      </c>
      <c r="W1599" t="s">
        <v>4908</v>
      </c>
      <c r="X1599">
        <v>1</v>
      </c>
      <c r="Y1599" t="s">
        <v>6550</v>
      </c>
      <c r="Z1599" t="s">
        <v>8192</v>
      </c>
      <c r="AA1599">
        <v>0.2497445150281784</v>
      </c>
      <c r="AB1599">
        <f>HYPERLINK("Melting_Curves/meltCurve_P77756_queC.pdf", "Melting_Curves/meltCurve_P77756_queC.pdf")</f>
        <v>0</v>
      </c>
    </row>
    <row r="1600" spans="1:28">
      <c r="A1600" t="s">
        <v>1626</v>
      </c>
      <c r="B1600">
        <v>0.999984544473304</v>
      </c>
      <c r="C1600">
        <v>1.03778555705945</v>
      </c>
      <c r="D1600">
        <v>0.984428942627448</v>
      </c>
      <c r="E1600">
        <v>0.864983911624458</v>
      </c>
      <c r="F1600">
        <v>0.5657979619214351</v>
      </c>
      <c r="G1600">
        <v>0.187262731809014</v>
      </c>
      <c r="H1600">
        <v>0.0924294768897507</v>
      </c>
      <c r="I1600">
        <v>0.0637038005471974</v>
      </c>
      <c r="J1600">
        <v>0.048377874459259</v>
      </c>
      <c r="K1600">
        <v>0.0599244155697608</v>
      </c>
      <c r="L1600">
        <v>1261.15530625867</v>
      </c>
      <c r="M1600">
        <v>25.0377158007043</v>
      </c>
      <c r="N1600">
        <v>50.5755361768802</v>
      </c>
      <c r="O1600">
        <v>50.0521996987667</v>
      </c>
      <c r="P1600">
        <v>-0.119016359952789</v>
      </c>
      <c r="Q1600">
        <v>0.0483235691694766</v>
      </c>
      <c r="R1600">
        <v>0.998203164846665</v>
      </c>
      <c r="S1600" t="s">
        <v>3268</v>
      </c>
      <c r="T1600" t="s">
        <v>3312</v>
      </c>
      <c r="U1600" t="s">
        <v>3312</v>
      </c>
      <c r="V1600" t="s">
        <v>3312</v>
      </c>
      <c r="W1600" t="s">
        <v>4909</v>
      </c>
      <c r="X1600">
        <v>4</v>
      </c>
      <c r="Y1600" t="s">
        <v>6551</v>
      </c>
      <c r="Z1600" t="s">
        <v>8193</v>
      </c>
      <c r="AA1600">
        <v>0.4807908905057327</v>
      </c>
      <c r="AB1600">
        <f>HYPERLINK("Melting_Curves/meltCurve_P77774_bamB.pdf", "Melting_Curves/meltCurve_P77774_bamB.pdf")</f>
        <v>0</v>
      </c>
    </row>
    <row r="1601" spans="1:28">
      <c r="A1601" t="s">
        <v>1627</v>
      </c>
      <c r="B1601">
        <v>0.999984544473304</v>
      </c>
      <c r="C1601">
        <v>0.704157156869377</v>
      </c>
      <c r="D1601">
        <v>0.378907751857029</v>
      </c>
      <c r="E1601">
        <v>0.07508514364431999</v>
      </c>
      <c r="F1601">
        <v>0.0677644458900287</v>
      </c>
      <c r="G1601">
        <v>0.054148102260086</v>
      </c>
      <c r="H1601">
        <v>0.0352144824886167</v>
      </c>
      <c r="I1601">
        <v>0.0331355781475549</v>
      </c>
      <c r="J1601">
        <v>0.0197140055787316</v>
      </c>
      <c r="K1601">
        <v>0.0219794064435342</v>
      </c>
      <c r="L1601">
        <v>952.74572711963</v>
      </c>
      <c r="M1601">
        <v>22.8731911439653</v>
      </c>
      <c r="N1601">
        <v>41.7697935059715</v>
      </c>
      <c r="O1601">
        <v>41.3389356706582</v>
      </c>
      <c r="P1601">
        <v>-0.134058333327557</v>
      </c>
      <c r="Q1601">
        <v>0.0308793537378527</v>
      </c>
      <c r="R1601">
        <v>0.993636066340622</v>
      </c>
      <c r="S1601" t="s">
        <v>3269</v>
      </c>
      <c r="T1601" t="s">
        <v>3312</v>
      </c>
      <c r="U1601" t="s">
        <v>3312</v>
      </c>
      <c r="V1601" t="s">
        <v>3312</v>
      </c>
      <c r="W1601" t="s">
        <v>4910</v>
      </c>
      <c r="X1601">
        <v>7</v>
      </c>
      <c r="Y1601" t="s">
        <v>6552</v>
      </c>
      <c r="Z1601" t="s">
        <v>8194</v>
      </c>
      <c r="AA1601">
        <v>0.1922340269200513</v>
      </c>
      <c r="AB1601">
        <f>HYPERLINK("Melting_Curves/meltCurve_P77775_yfcH.pdf", "Melting_Curves/meltCurve_P77775_yfcH.pdf")</f>
        <v>0</v>
      </c>
    </row>
    <row r="1602" spans="1:28">
      <c r="A1602" t="s">
        <v>1628</v>
      </c>
      <c r="B1602">
        <v>0.999984544473304</v>
      </c>
      <c r="C1602">
        <v>0.994308640820238</v>
      </c>
      <c r="D1602">
        <v>0.591927480173609</v>
      </c>
      <c r="E1602">
        <v>0.424366123285501</v>
      </c>
      <c r="F1602">
        <v>0.233819936521163</v>
      </c>
      <c r="G1602">
        <v>0.124445338812973</v>
      </c>
      <c r="H1602">
        <v>0.093431736970072</v>
      </c>
      <c r="I1602">
        <v>0.0859211117560876</v>
      </c>
      <c r="J1602">
        <v>0.0540615288748226</v>
      </c>
      <c r="K1602">
        <v>0.0722632628642192</v>
      </c>
      <c r="L1602">
        <v>735.604082824726</v>
      </c>
      <c r="M1602">
        <v>16.4162052734047</v>
      </c>
      <c r="N1602">
        <v>45.2266405678254</v>
      </c>
      <c r="O1602">
        <v>44.1605050619976</v>
      </c>
      <c r="P1602">
        <v>-0.0864138170983748</v>
      </c>
      <c r="Q1602">
        <v>0.07023351117284719</v>
      </c>
      <c r="R1602">
        <v>0.981591785242113</v>
      </c>
      <c r="S1602" t="s">
        <v>3270</v>
      </c>
      <c r="T1602" t="s">
        <v>3312</v>
      </c>
      <c r="U1602" t="s">
        <v>3312</v>
      </c>
      <c r="V1602" t="s">
        <v>3312</v>
      </c>
      <c r="W1602" t="s">
        <v>4911</v>
      </c>
      <c r="X1602">
        <v>1</v>
      </c>
      <c r="Y1602" t="s">
        <v>6553</v>
      </c>
      <c r="Z1602" t="s">
        <v>8195</v>
      </c>
      <c r="AA1602">
        <v>0.3308043253249733</v>
      </c>
      <c r="AB1602">
        <f>HYPERLINK("Melting_Curves/meltCurve_P77783_ynfF.pdf", "Melting_Curves/meltCurve_P77783_ynfF.pdf")</f>
        <v>0</v>
      </c>
    </row>
    <row r="1603" spans="1:28">
      <c r="A1603" t="s">
        <v>1629</v>
      </c>
      <c r="B1603">
        <v>0.999984544473304</v>
      </c>
      <c r="C1603">
        <v>1.34661007024709</v>
      </c>
      <c r="D1603">
        <v>1.20669320875209</v>
      </c>
      <c r="E1603">
        <v>1.20221018523385</v>
      </c>
      <c r="F1603">
        <v>1.29716286671823</v>
      </c>
      <c r="G1603">
        <v>1.03771062218925</v>
      </c>
      <c r="H1603">
        <v>1.14881607832267</v>
      </c>
      <c r="I1603">
        <v>0.787805503099845</v>
      </c>
      <c r="J1603">
        <v>0.738464695022968</v>
      </c>
      <c r="K1603">
        <v>0.554651842663733</v>
      </c>
      <c r="L1603">
        <v>2247.0334102423</v>
      </c>
      <c r="M1603">
        <v>35.9286993183062</v>
      </c>
      <c r="O1603">
        <v>62.3486565601268</v>
      </c>
      <c r="P1603">
        <v>-0.06565154993218709</v>
      </c>
      <c r="Q1603">
        <v>0.54428929038989</v>
      </c>
      <c r="R1603">
        <v>0.461611925770204</v>
      </c>
      <c r="S1603" t="s">
        <v>3271</v>
      </c>
      <c r="T1603" t="s">
        <v>3312</v>
      </c>
      <c r="U1603" t="s">
        <v>3312</v>
      </c>
      <c r="V1603" t="s">
        <v>3312</v>
      </c>
      <c r="W1603" t="s">
        <v>4912</v>
      </c>
      <c r="X1603">
        <v>1</v>
      </c>
      <c r="Y1603" t="s">
        <v>6554</v>
      </c>
      <c r="Z1603" t="s">
        <v>8196</v>
      </c>
      <c r="AA1603">
        <v>0.9318839743701981</v>
      </c>
      <c r="AB1603">
        <f>HYPERLINK("Melting_Curves/meltCurve_P77791_maa.pdf", "Melting_Curves/meltCurve_P77791_maa.pdf")</f>
        <v>0</v>
      </c>
    </row>
    <row r="1604" spans="1:28">
      <c r="A1604" t="s">
        <v>1630</v>
      </c>
      <c r="B1604">
        <v>0.999984544473304</v>
      </c>
      <c r="C1604">
        <v>1.11513866556379</v>
      </c>
      <c r="D1604">
        <v>1.17670122460683</v>
      </c>
      <c r="E1604">
        <v>1.00741902084938</v>
      </c>
      <c r="F1604">
        <v>1.35651249667157</v>
      </c>
      <c r="G1604">
        <v>1.23956103625272</v>
      </c>
      <c r="H1604">
        <v>1.32391122781145</v>
      </c>
      <c r="I1604">
        <v>0.6978036541982779</v>
      </c>
      <c r="J1604">
        <v>0.352179800032532</v>
      </c>
      <c r="K1604">
        <v>0.14692410645082</v>
      </c>
      <c r="L1604">
        <v>3329.2002733612</v>
      </c>
      <c r="M1604">
        <v>53.7313349965394</v>
      </c>
      <c r="N1604">
        <v>62.4563475905335</v>
      </c>
      <c r="O1604">
        <v>61.8744846405591</v>
      </c>
      <c r="P1604">
        <v>-0.179380406928374</v>
      </c>
      <c r="Q1604">
        <v>0.173736369992534</v>
      </c>
      <c r="R1604">
        <v>0.772607958395205</v>
      </c>
      <c r="S1604" t="s">
        <v>3272</v>
      </c>
      <c r="T1604" t="s">
        <v>3312</v>
      </c>
      <c r="U1604" t="s">
        <v>3312</v>
      </c>
      <c r="V1604" t="s">
        <v>3312</v>
      </c>
      <c r="W1604" t="s">
        <v>4913</v>
      </c>
      <c r="X1604">
        <v>20</v>
      </c>
      <c r="Y1604" t="s">
        <v>6555</v>
      </c>
      <c r="Z1604" t="s">
        <v>8197</v>
      </c>
      <c r="AA1604">
        <v>0.8624706353729038</v>
      </c>
      <c r="AB1604">
        <f>HYPERLINK("Melting_Curves/meltCurve_P77804_ydgA.pdf", "Melting_Curves/meltCurve_P77804_ydgA.pdf")</f>
        <v>0</v>
      </c>
    </row>
    <row r="1605" spans="1:28">
      <c r="A1605" t="s">
        <v>1631</v>
      </c>
      <c r="B1605">
        <v>0.999984544473304</v>
      </c>
      <c r="C1605">
        <v>0.963312240311157</v>
      </c>
      <c r="D1605">
        <v>1.64693850239529</v>
      </c>
      <c r="E1605">
        <v>1.02559438980232</v>
      </c>
      <c r="F1605">
        <v>0.95766547837669</v>
      </c>
      <c r="G1605">
        <v>0.246031197062903</v>
      </c>
      <c r="H1605">
        <v>0.163311126974173</v>
      </c>
      <c r="I1605">
        <v>0.0817088520243085</v>
      </c>
      <c r="J1605">
        <v>0.0744573256666486</v>
      </c>
      <c r="K1605">
        <v>0.07764595506235181</v>
      </c>
      <c r="L1605">
        <v>3391.76327229807</v>
      </c>
      <c r="M1605">
        <v>64.6453334879352</v>
      </c>
      <c r="N1605">
        <v>52.6443757601514</v>
      </c>
      <c r="O1605">
        <v>52.4171164553999</v>
      </c>
      <c r="P1605">
        <v>-0.278188634559099</v>
      </c>
      <c r="Q1605">
        <v>0.09773276283714059</v>
      </c>
      <c r="R1605">
        <v>0.849343709669243</v>
      </c>
      <c r="S1605" t="s">
        <v>3273</v>
      </c>
      <c r="T1605" t="s">
        <v>3312</v>
      </c>
      <c r="U1605" t="s">
        <v>3312</v>
      </c>
      <c r="V1605" t="s">
        <v>3312</v>
      </c>
      <c r="W1605" t="s">
        <v>4914</v>
      </c>
      <c r="X1605">
        <v>4</v>
      </c>
      <c r="Y1605" t="s">
        <v>6556</v>
      </c>
      <c r="Z1605" t="s">
        <v>8198</v>
      </c>
      <c r="AA1605">
        <v>0.5641657264948051</v>
      </c>
      <c r="AB1605">
        <f>HYPERLINK("Melting_Curves/meltCurve_P77808_yfaY.pdf", "Melting_Curves/meltCurve_P77808_yfaY.pdf")</f>
        <v>0</v>
      </c>
    </row>
    <row r="1606" spans="1:28">
      <c r="A1606" t="s">
        <v>1632</v>
      </c>
      <c r="B1606">
        <v>0.999984544473304</v>
      </c>
      <c r="C1606">
        <v>0.906143708784106</v>
      </c>
      <c r="D1606">
        <v>0.802076390820575</v>
      </c>
      <c r="E1606">
        <v>0.763647533338528</v>
      </c>
      <c r="F1606">
        <v>0.523209701232444</v>
      </c>
      <c r="G1606">
        <v>0.285999699947423</v>
      </c>
      <c r="H1606">
        <v>0.180256117559474</v>
      </c>
      <c r="I1606">
        <v>0.115709613685609</v>
      </c>
      <c r="J1606">
        <v>0.0667720390664899</v>
      </c>
      <c r="K1606">
        <v>0.07742659601508239</v>
      </c>
      <c r="L1606">
        <v>566.153266521949</v>
      </c>
      <c r="M1606">
        <v>11.2841414474565</v>
      </c>
      <c r="N1606">
        <v>50.1724690340309</v>
      </c>
      <c r="O1606">
        <v>48.6741984787516</v>
      </c>
      <c r="P1606">
        <v>-0.0579752332882678</v>
      </c>
      <c r="Q1606">
        <v>0</v>
      </c>
      <c r="R1606">
        <v>0.989832613322322</v>
      </c>
      <c r="S1606" t="s">
        <v>3274</v>
      </c>
      <c r="T1606" t="s">
        <v>3312</v>
      </c>
      <c r="U1606" t="s">
        <v>3312</v>
      </c>
      <c r="V1606" t="s">
        <v>3312</v>
      </c>
      <c r="W1606" t="s">
        <v>4915</v>
      </c>
      <c r="X1606">
        <v>3</v>
      </c>
      <c r="Y1606" t="s">
        <v>6557</v>
      </c>
      <c r="Z1606" t="s">
        <v>8199</v>
      </c>
      <c r="AA1606">
        <v>0.4686950632547764</v>
      </c>
      <c r="AB1606">
        <f>HYPERLINK("Melting_Curves/meltCurve_P78055_fsaA.pdf", "Melting_Curves/meltCurve_P78055_fsaA.pdf")</f>
        <v>0</v>
      </c>
    </row>
    <row r="1607" spans="1:28">
      <c r="A1607" t="s">
        <v>1633</v>
      </c>
      <c r="B1607">
        <v>0.999984544473304</v>
      </c>
      <c r="C1607">
        <v>1.09382953307322</v>
      </c>
      <c r="D1607">
        <v>1.03316159416455</v>
      </c>
      <c r="E1607">
        <v>0.842878567669043</v>
      </c>
      <c r="F1607">
        <v>0.876256629545547</v>
      </c>
      <c r="G1607">
        <v>0.654560538694506</v>
      </c>
      <c r="H1607">
        <v>0.28805286373972</v>
      </c>
      <c r="I1607">
        <v>0.058041433577982</v>
      </c>
      <c r="J1607">
        <v>0.0403900551463896</v>
      </c>
      <c r="K1607">
        <v>0.040432916385297</v>
      </c>
      <c r="L1607">
        <v>1198.85562951353</v>
      </c>
      <c r="M1607">
        <v>21.7915645102943</v>
      </c>
      <c r="N1607">
        <v>55.0146747803717</v>
      </c>
      <c r="O1607">
        <v>54.5576394503318</v>
      </c>
      <c r="P1607">
        <v>-0.0998579714312791</v>
      </c>
      <c r="Q1607">
        <v>0</v>
      </c>
      <c r="R1607">
        <v>0.981014596114044</v>
      </c>
      <c r="S1607" t="s">
        <v>3275</v>
      </c>
      <c r="T1607" t="s">
        <v>3312</v>
      </c>
      <c r="U1607" t="s">
        <v>3312</v>
      </c>
      <c r="V1607" t="s">
        <v>3312</v>
      </c>
      <c r="W1607" t="s">
        <v>4916</v>
      </c>
      <c r="X1607">
        <v>11</v>
      </c>
      <c r="Y1607" t="s">
        <v>6558</v>
      </c>
      <c r="Z1607" t="s">
        <v>8200</v>
      </c>
      <c r="AA1607">
        <v>0.6107421289277866</v>
      </c>
      <c r="AB1607">
        <f>HYPERLINK("Melting_Curves/meltCurve_P78067_ynjE.pdf", "Melting_Curves/meltCurve_P78067_ynjE.pdf")</f>
        <v>0</v>
      </c>
    </row>
    <row r="1608" spans="1:28">
      <c r="A1608" t="s">
        <v>1634</v>
      </c>
      <c r="B1608">
        <v>0.999984544473304</v>
      </c>
      <c r="C1608">
        <v>1.09681811512895</v>
      </c>
      <c r="D1608">
        <v>0.958988256207026</v>
      </c>
      <c r="E1608">
        <v>0.6424950908039</v>
      </c>
      <c r="F1608">
        <v>0.189822221043335</v>
      </c>
      <c r="G1608">
        <v>0.0850528402774898</v>
      </c>
      <c r="H1608">
        <v>0.0759220522769322</v>
      </c>
      <c r="I1608">
        <v>0.0635303955387115</v>
      </c>
      <c r="J1608">
        <v>0.0397896034351646</v>
      </c>
      <c r="K1608">
        <v>0.0358937146408747</v>
      </c>
      <c r="L1608">
        <v>1488.6596560958</v>
      </c>
      <c r="M1608">
        <v>31.440803179363</v>
      </c>
      <c r="N1608">
        <v>47.522657083935</v>
      </c>
      <c r="O1608">
        <v>47.1577232037528</v>
      </c>
      <c r="P1608">
        <v>-0.157586388936242</v>
      </c>
      <c r="Q1608">
        <v>0.0545568916358372</v>
      </c>
      <c r="R1608">
        <v>0.994041935470931</v>
      </c>
      <c r="S1608" t="s">
        <v>3276</v>
      </c>
      <c r="T1608" t="s">
        <v>3312</v>
      </c>
      <c r="U1608" t="s">
        <v>3312</v>
      </c>
      <c r="V1608" t="s">
        <v>3312</v>
      </c>
      <c r="W1608" t="s">
        <v>4917</v>
      </c>
      <c r="X1608">
        <v>2</v>
      </c>
      <c r="Y1608" t="s">
        <v>6559</v>
      </c>
      <c r="Z1608" t="s">
        <v>8201</v>
      </c>
      <c r="AA1608">
        <v>0.3857038079903235</v>
      </c>
      <c r="AB1608">
        <f>HYPERLINK("Melting_Curves/meltCurve_P80668_feaB.pdf", "Melting_Curves/meltCurve_P80668_feaB.pdf")</f>
        <v>0</v>
      </c>
    </row>
    <row r="1609" spans="1:28">
      <c r="A1609" t="s">
        <v>1635</v>
      </c>
      <c r="B1609">
        <v>0.999984544473304</v>
      </c>
      <c r="C1609">
        <v>1.06787043452848</v>
      </c>
      <c r="D1609">
        <v>0.738603068374575</v>
      </c>
      <c r="E1609">
        <v>0.967131594823635</v>
      </c>
      <c r="F1609">
        <v>1.08349679198987</v>
      </c>
      <c r="G1609">
        <v>0.858132671959159</v>
      </c>
      <c r="H1609">
        <v>0.7770471012146311</v>
      </c>
      <c r="I1609">
        <v>0.84484554022915</v>
      </c>
      <c r="J1609">
        <v>0.824169460988095</v>
      </c>
      <c r="K1609">
        <v>0.870732889686865</v>
      </c>
      <c r="L1609">
        <v>295.65469350828</v>
      </c>
      <c r="M1609">
        <v>5.39680352463084</v>
      </c>
      <c r="O1609">
        <v>48.6267153576403</v>
      </c>
      <c r="P1609">
        <v>-0.00657929351301282</v>
      </c>
      <c r="Q1609">
        <v>0.763985629010566</v>
      </c>
      <c r="R1609">
        <v>0.23230840266072</v>
      </c>
      <c r="S1609" t="s">
        <v>3277</v>
      </c>
      <c r="T1609" t="s">
        <v>3312</v>
      </c>
      <c r="U1609" t="s">
        <v>3312</v>
      </c>
      <c r="V1609" t="s">
        <v>3312</v>
      </c>
      <c r="W1609" t="s">
        <v>4918</v>
      </c>
      <c r="X1609">
        <v>3</v>
      </c>
      <c r="Y1609" t="s">
        <v>6560</v>
      </c>
      <c r="Z1609" t="s">
        <v>8202</v>
      </c>
      <c r="AA1609">
        <v>0.9022821536138477</v>
      </c>
      <c r="AB1609">
        <f>HYPERLINK("Melting_Curves/meltCurve_Q2M7R5_yibT.pdf", "Melting_Curves/meltCurve_Q2M7R5_yibT.pdf")</f>
        <v>0</v>
      </c>
    </row>
    <row r="1610" spans="1:28">
      <c r="A1610" t="s">
        <v>1636</v>
      </c>
      <c r="B1610">
        <v>0.999984544473304</v>
      </c>
      <c r="C1610">
        <v>1.20651463485</v>
      </c>
      <c r="D1610">
        <v>0.872423710391356</v>
      </c>
      <c r="E1610">
        <v>0.6528281627511781</v>
      </c>
      <c r="F1610">
        <v>0.574146186083496</v>
      </c>
      <c r="G1610">
        <v>0.444288688149083</v>
      </c>
      <c r="H1610">
        <v>0.403480561988761</v>
      </c>
      <c r="I1610">
        <v>0.245991799749695</v>
      </c>
      <c r="J1610">
        <v>0.200928819473272</v>
      </c>
      <c r="K1610">
        <v>0.055540984465764</v>
      </c>
      <c r="L1610">
        <v>492.67037855993</v>
      </c>
      <c r="M1610">
        <v>9.43740448538485</v>
      </c>
      <c r="N1610">
        <v>52.5274585769798</v>
      </c>
      <c r="O1610">
        <v>50.0211005345599</v>
      </c>
      <c r="P1610">
        <v>-0.0458634835904727</v>
      </c>
      <c r="Q1610">
        <v>0.0282280419977694</v>
      </c>
      <c r="R1610">
        <v>0.923574300266277</v>
      </c>
      <c r="S1610" t="s">
        <v>3278</v>
      </c>
      <c r="T1610" t="s">
        <v>3312</v>
      </c>
      <c r="U1610" t="s">
        <v>3312</v>
      </c>
      <c r="V1610" t="s">
        <v>3312</v>
      </c>
      <c r="W1610" t="s">
        <v>4919</v>
      </c>
      <c r="X1610">
        <v>1</v>
      </c>
      <c r="Y1610" t="s">
        <v>6561</v>
      </c>
      <c r="Z1610" t="s">
        <v>8203</v>
      </c>
      <c r="AA1610">
        <v>0.5463698483949199</v>
      </c>
      <c r="AB1610">
        <f>HYPERLINK("Melting_Curves/meltCurve_Q2MB16_yobH.pdf", "Melting_Curves/meltCurve_Q2MB16_yobH.pdf")</f>
        <v>0</v>
      </c>
    </row>
    <row r="1611" spans="1:28">
      <c r="A1611" t="s">
        <v>1637</v>
      </c>
      <c r="B1611">
        <v>0.999984544473304</v>
      </c>
      <c r="C1611">
        <v>0.889977806995459</v>
      </c>
      <c r="D1611">
        <v>0.48315295196825</v>
      </c>
      <c r="E1611">
        <v>0.401186857048558</v>
      </c>
      <c r="F1611">
        <v>0.319645741344463</v>
      </c>
      <c r="G1611">
        <v>0.247899894094822</v>
      </c>
      <c r="H1611">
        <v>0.262077787601363</v>
      </c>
      <c r="I1611">
        <v>0.212955897930416</v>
      </c>
      <c r="J1611">
        <v>0.186907736117141</v>
      </c>
      <c r="K1611">
        <v>0.121470912940452</v>
      </c>
      <c r="L1611">
        <v>792.941849097181</v>
      </c>
      <c r="M1611">
        <v>18.5845075886238</v>
      </c>
      <c r="N1611">
        <v>43.9837463776776</v>
      </c>
      <c r="O1611">
        <v>42.1820187395931</v>
      </c>
      <c r="P1611">
        <v>-0.0866461382805348</v>
      </c>
      <c r="Q1611">
        <v>0.213377148212515</v>
      </c>
      <c r="R1611">
        <v>0.960036756817724</v>
      </c>
      <c r="S1611" t="s">
        <v>3279</v>
      </c>
      <c r="T1611" t="s">
        <v>3312</v>
      </c>
      <c r="U1611" t="s">
        <v>3312</v>
      </c>
      <c r="V1611" t="s">
        <v>3312</v>
      </c>
      <c r="W1611" t="s">
        <v>4920</v>
      </c>
      <c r="X1611">
        <v>1</v>
      </c>
      <c r="Y1611" t="s">
        <v>6562</v>
      </c>
      <c r="Z1611" t="s">
        <v>8204</v>
      </c>
      <c r="AA1611">
        <v>0.3752221834999788</v>
      </c>
      <c r="AB1611">
        <f>HYPERLINK("Melting_Curves/meltCurve_Q46799_xdhA.pdf", "Melting_Curves/meltCurve_Q46799_xdhA.pdf")</f>
        <v>0</v>
      </c>
    </row>
    <row r="1612" spans="1:28">
      <c r="A1612" t="s">
        <v>1638</v>
      </c>
      <c r="B1612">
        <v>0.999984544473304</v>
      </c>
      <c r="C1612">
        <v>1.28597735221943</v>
      </c>
      <c r="D1612">
        <v>0.775234548862512</v>
      </c>
      <c r="E1612">
        <v>1.07083391101583</v>
      </c>
      <c r="F1612">
        <v>0.908505813024012</v>
      </c>
      <c r="G1612">
        <v>0.734374064632106</v>
      </c>
      <c r="H1612">
        <v>0.796288901599305</v>
      </c>
      <c r="I1612">
        <v>0.768854950574397</v>
      </c>
      <c r="J1612">
        <v>0.679374163119794</v>
      </c>
      <c r="K1612">
        <v>0.682171468223756</v>
      </c>
      <c r="L1612">
        <v>12495.6162884941</v>
      </c>
      <c r="M1612">
        <v>248.260762128756</v>
      </c>
      <c r="O1612">
        <v>50.3293439441313</v>
      </c>
      <c r="P1612">
        <v>-0.330230070832811</v>
      </c>
      <c r="Q1612">
        <v>0.732212723947105</v>
      </c>
      <c r="R1612">
        <v>0.572556310283295</v>
      </c>
      <c r="S1612" t="s">
        <v>3280</v>
      </c>
      <c r="T1612" t="s">
        <v>3312</v>
      </c>
      <c r="U1612" t="s">
        <v>3312</v>
      </c>
      <c r="V1612" t="s">
        <v>3312</v>
      </c>
      <c r="W1612" t="s">
        <v>4921</v>
      </c>
      <c r="X1612">
        <v>1</v>
      </c>
      <c r="Y1612" t="s">
        <v>6563</v>
      </c>
      <c r="Z1612" t="s">
        <v>8205</v>
      </c>
      <c r="AA1612">
        <v>0.8512469714787076</v>
      </c>
      <c r="AB1612">
        <f>HYPERLINK("Melting_Curves/meltCurve_Q46801_xdhC.pdf", "Melting_Curves/meltCurve_Q46801_xdhC.pdf")</f>
        <v>0</v>
      </c>
    </row>
    <row r="1613" spans="1:28">
      <c r="A1613" t="s">
        <v>1639</v>
      </c>
      <c r="B1613">
        <v>0.999984544473304</v>
      </c>
      <c r="C1613">
        <v>1.02945789683448</v>
      </c>
      <c r="D1613">
        <v>0.901737624534338</v>
      </c>
      <c r="E1613">
        <v>0.934920477954688</v>
      </c>
      <c r="F1613">
        <v>1.419453982846</v>
      </c>
      <c r="G1613">
        <v>1.29589170123739</v>
      </c>
      <c r="H1613">
        <v>1.38295946288189</v>
      </c>
      <c r="I1613">
        <v>1.15940033292166</v>
      </c>
      <c r="J1613">
        <v>0.793277829091797</v>
      </c>
      <c r="K1613">
        <v>0.185327046648244</v>
      </c>
      <c r="L1613">
        <v>15000</v>
      </c>
      <c r="M1613">
        <v>232.930471940795</v>
      </c>
      <c r="N1613">
        <v>64.5250922725298</v>
      </c>
      <c r="O1613">
        <v>64.3921514819168</v>
      </c>
      <c r="P1613">
        <v>-0.736830734383248</v>
      </c>
      <c r="Q1613">
        <v>0.185231267882099</v>
      </c>
      <c r="R1613">
        <v>0.610348023261611</v>
      </c>
      <c r="S1613" t="s">
        <v>3281</v>
      </c>
      <c r="T1613" t="s">
        <v>3312</v>
      </c>
      <c r="U1613" t="s">
        <v>3312</v>
      </c>
      <c r="V1613" t="s">
        <v>3312</v>
      </c>
      <c r="W1613" t="s">
        <v>4922</v>
      </c>
      <c r="X1613">
        <v>5</v>
      </c>
      <c r="Y1613" t="s">
        <v>6564</v>
      </c>
      <c r="Z1613" t="s">
        <v>8206</v>
      </c>
      <c r="AA1613">
        <v>0.9294075936857508</v>
      </c>
      <c r="AB1613">
        <f>HYPERLINK("Melting_Curves/meltCurve_Q46803_ygeW.pdf", "Melting_Curves/meltCurve_Q46803_ygeW.pdf")</f>
        <v>0</v>
      </c>
    </row>
    <row r="1614" spans="1:28">
      <c r="A1614" t="s">
        <v>1640</v>
      </c>
      <c r="B1614">
        <v>0.999984544473304</v>
      </c>
      <c r="C1614">
        <v>0.989705223264153</v>
      </c>
      <c r="D1614">
        <v>0.7532704118433</v>
      </c>
      <c r="E1614">
        <v>0.472442260024659</v>
      </c>
      <c r="F1614">
        <v>0.240775300537276</v>
      </c>
      <c r="G1614">
        <v>0.123959025921642</v>
      </c>
      <c r="H1614">
        <v>0.08290691726840239</v>
      </c>
      <c r="I1614">
        <v>0.07361302718857091</v>
      </c>
      <c r="J1614">
        <v>0.06777432348881909</v>
      </c>
      <c r="K1614">
        <v>0.0332052005231655</v>
      </c>
      <c r="L1614">
        <v>802.727320478695</v>
      </c>
      <c r="M1614">
        <v>17.4571394202083</v>
      </c>
      <c r="N1614">
        <v>46.2800578388787</v>
      </c>
      <c r="O1614">
        <v>45.3920962873538</v>
      </c>
      <c r="P1614">
        <v>-0.0910515654065869</v>
      </c>
      <c r="Q1614">
        <v>0.0530428918001858</v>
      </c>
      <c r="R1614">
        <v>0.996760254933246</v>
      </c>
      <c r="S1614" t="s">
        <v>3282</v>
      </c>
      <c r="T1614" t="s">
        <v>3312</v>
      </c>
      <c r="U1614" t="s">
        <v>3312</v>
      </c>
      <c r="V1614" t="s">
        <v>3312</v>
      </c>
      <c r="W1614" t="s">
        <v>4923</v>
      </c>
      <c r="X1614">
        <v>1</v>
      </c>
      <c r="Y1614" t="s">
        <v>6565</v>
      </c>
      <c r="Z1614" t="s">
        <v>8207</v>
      </c>
      <c r="AA1614">
        <v>0.3528553780488848</v>
      </c>
      <c r="AB1614">
        <f>HYPERLINK("Melting_Curves/meltCurve_Q46807_yqeA.pdf", "Melting_Curves/meltCurve_Q46807_yqeA.pdf")</f>
        <v>0</v>
      </c>
    </row>
    <row r="1615" spans="1:28">
      <c r="A1615" t="s">
        <v>1641</v>
      </c>
      <c r="B1615">
        <v>0.999984544473304</v>
      </c>
      <c r="C1615">
        <v>1.40422875103451</v>
      </c>
      <c r="D1615">
        <v>0.831971073362988</v>
      </c>
      <c r="E1615">
        <v>0.751837131294121</v>
      </c>
      <c r="F1615">
        <v>0.510201522624555</v>
      </c>
      <c r="G1615">
        <v>0.302073987817008</v>
      </c>
      <c r="H1615">
        <v>0.154165294429073</v>
      </c>
      <c r="I1615">
        <v>0.0620441178263128</v>
      </c>
      <c r="J1615">
        <v>0.0257877715705763</v>
      </c>
      <c r="K1615">
        <v>0.017363660459316</v>
      </c>
      <c r="L1615">
        <v>775.009034581328</v>
      </c>
      <c r="M1615">
        <v>15.3694046977712</v>
      </c>
      <c r="N1615">
        <v>50.4407722453009</v>
      </c>
      <c r="O1615">
        <v>49.5949057228532</v>
      </c>
      <c r="P1615">
        <v>-0.077301332886545</v>
      </c>
      <c r="Q1615">
        <v>0.00232952930833478</v>
      </c>
      <c r="R1615">
        <v>0.907306620069</v>
      </c>
      <c r="S1615" t="s">
        <v>3283</v>
      </c>
      <c r="T1615" t="s">
        <v>3312</v>
      </c>
      <c r="U1615" t="s">
        <v>3312</v>
      </c>
      <c r="V1615" t="s">
        <v>3312</v>
      </c>
      <c r="W1615" t="s">
        <v>4924</v>
      </c>
      <c r="X1615">
        <v>4</v>
      </c>
      <c r="Y1615" t="s">
        <v>6566</v>
      </c>
      <c r="Z1615" t="s">
        <v>8208</v>
      </c>
      <c r="AA1615">
        <v>0.468661221741658</v>
      </c>
      <c r="AB1615">
        <f>HYPERLINK("Melting_Curves/meltCurve_Q46811_ygfK.pdf", "Melting_Curves/meltCurve_Q46811_ygfK.pdf")</f>
        <v>0</v>
      </c>
    </row>
    <row r="1616" spans="1:28">
      <c r="A1616" t="s">
        <v>1642</v>
      </c>
      <c r="B1616">
        <v>0.999984544473304</v>
      </c>
      <c r="C1616">
        <v>0.883482789344735</v>
      </c>
      <c r="D1616">
        <v>0.313796267514195</v>
      </c>
      <c r="E1616">
        <v>0.300786998079341</v>
      </c>
      <c r="F1616">
        <v>0.230650716559291</v>
      </c>
      <c r="G1616">
        <v>0.178808704973958</v>
      </c>
      <c r="H1616">
        <v>0.103752511131564</v>
      </c>
      <c r="I1616">
        <v>0.0970370697169792</v>
      </c>
      <c r="J1616">
        <v>0.07794376086445171</v>
      </c>
      <c r="K1616">
        <v>0.0464630013617827</v>
      </c>
      <c r="L1616">
        <v>1579.05832332012</v>
      </c>
      <c r="M1616">
        <v>37.9068642943241</v>
      </c>
      <c r="N1616">
        <v>42.0278614057167</v>
      </c>
      <c r="O1616">
        <v>41.5408440075442</v>
      </c>
      <c r="P1616">
        <v>-0.195647699083669</v>
      </c>
      <c r="Q1616">
        <v>0.142387642723226</v>
      </c>
      <c r="R1616">
        <v>0.954133092767566</v>
      </c>
      <c r="S1616" t="s">
        <v>3284</v>
      </c>
      <c r="T1616" t="s">
        <v>3312</v>
      </c>
      <c r="U1616" t="s">
        <v>3312</v>
      </c>
      <c r="V1616" t="s">
        <v>3312</v>
      </c>
      <c r="W1616" t="s">
        <v>4925</v>
      </c>
      <c r="X1616">
        <v>1</v>
      </c>
      <c r="Y1616" t="s">
        <v>6567</v>
      </c>
      <c r="Z1616" t="s">
        <v>8209</v>
      </c>
      <c r="AA1616">
        <v>0.2784498092241178</v>
      </c>
      <c r="AB1616">
        <f>HYPERLINK("Melting_Curves/meltCurve_Q46814_xdhD.pdf", "Melting_Curves/meltCurve_Q46814_xdhD.pdf")</f>
        <v>0</v>
      </c>
    </row>
    <row r="1617" spans="1:28">
      <c r="A1617" t="s">
        <v>1643</v>
      </c>
      <c r="B1617">
        <v>0.999984544473304</v>
      </c>
      <c r="C1617">
        <v>0.890575701444859</v>
      </c>
      <c r="D1617">
        <v>1.01617298026202</v>
      </c>
      <c r="E1617">
        <v>1.02382594365297</v>
      </c>
      <c r="F1617">
        <v>0.8193541510062</v>
      </c>
      <c r="G1617">
        <v>0.440084492675161</v>
      </c>
      <c r="H1617">
        <v>0.132798776520229</v>
      </c>
      <c r="I1617">
        <v>0.052965386270444</v>
      </c>
      <c r="J1617">
        <v>0.0286293370384567</v>
      </c>
      <c r="K1617">
        <v>0.0204413368645643</v>
      </c>
      <c r="L1617">
        <v>1438.62765197232</v>
      </c>
      <c r="M1617">
        <v>27.0539809898878</v>
      </c>
      <c r="N1617">
        <v>53.2530370623899</v>
      </c>
      <c r="O1617">
        <v>52.8881974369438</v>
      </c>
      <c r="P1617">
        <v>-0.125435924350256</v>
      </c>
      <c r="Q1617">
        <v>0.0191440234774629</v>
      </c>
      <c r="R1617">
        <v>0.991946720579943</v>
      </c>
      <c r="S1617" t="s">
        <v>3285</v>
      </c>
      <c r="T1617" t="s">
        <v>3312</v>
      </c>
      <c r="U1617" t="s">
        <v>3312</v>
      </c>
      <c r="V1617" t="s">
        <v>3312</v>
      </c>
      <c r="W1617" t="s">
        <v>4926</v>
      </c>
      <c r="X1617">
        <v>3</v>
      </c>
      <c r="Y1617" t="s">
        <v>6568</v>
      </c>
      <c r="Z1617" t="s">
        <v>8210</v>
      </c>
      <c r="AA1617">
        <v>0.5555717928587349</v>
      </c>
      <c r="AB1617">
        <f>HYPERLINK("Melting_Curves/meltCurve_Q46822_idi.pdf", "Melting_Curves/meltCurve_Q46822_idi.pdf")</f>
        <v>0</v>
      </c>
    </row>
    <row r="1618" spans="1:28">
      <c r="A1618" t="s">
        <v>1644</v>
      </c>
      <c r="B1618">
        <v>0.999984544473304</v>
      </c>
      <c r="C1618">
        <v>1.16166619426903</v>
      </c>
      <c r="D1618">
        <v>1.11349544885292</v>
      </c>
      <c r="E1618">
        <v>0.951283655940104</v>
      </c>
      <c r="F1618">
        <v>1.11994650412002</v>
      </c>
      <c r="G1618">
        <v>1.02738249453358</v>
      </c>
      <c r="H1618">
        <v>0.63869159248079</v>
      </c>
      <c r="I1618">
        <v>0.07485754929184101</v>
      </c>
      <c r="J1618">
        <v>0.04087462748017</v>
      </c>
      <c r="K1618">
        <v>0.0436012104815601</v>
      </c>
      <c r="L1618">
        <v>4186.02475357097</v>
      </c>
      <c r="M1618">
        <v>72.4257702392426</v>
      </c>
      <c r="N1618">
        <v>57.8740682495756</v>
      </c>
      <c r="O1618">
        <v>57.753431070332</v>
      </c>
      <c r="P1618">
        <v>-0.29918086215278</v>
      </c>
      <c r="Q1618">
        <v>0.0457143733908821</v>
      </c>
      <c r="R1618">
        <v>0.972615408864013</v>
      </c>
      <c r="S1618" t="s">
        <v>3286</v>
      </c>
      <c r="T1618" t="s">
        <v>3312</v>
      </c>
      <c r="U1618" t="s">
        <v>3312</v>
      </c>
      <c r="V1618" t="s">
        <v>3312</v>
      </c>
      <c r="W1618" t="s">
        <v>4927</v>
      </c>
      <c r="X1618">
        <v>15</v>
      </c>
      <c r="Y1618" t="s">
        <v>6569</v>
      </c>
      <c r="Z1618" t="s">
        <v>8211</v>
      </c>
      <c r="AA1618">
        <v>0.7084257035829028</v>
      </c>
      <c r="AB1618">
        <f>HYPERLINK("Melting_Curves/meltCurve_Q46829_bglA.pdf", "Melting_Curves/meltCurve_Q46829_bglA.pdf")</f>
        <v>0</v>
      </c>
    </row>
    <row r="1619" spans="1:28">
      <c r="A1619" t="s">
        <v>1645</v>
      </c>
      <c r="B1619">
        <v>0.999984544473304</v>
      </c>
      <c r="C1619">
        <v>0.793443269866927</v>
      </c>
      <c r="D1619">
        <v>1.0457212867525</v>
      </c>
      <c r="E1619">
        <v>0.5984648513177619</v>
      </c>
      <c r="F1619">
        <v>0.389398177768691</v>
      </c>
      <c r="G1619">
        <v>0.149372577219483</v>
      </c>
      <c r="H1619">
        <v>0.08593949922301029</v>
      </c>
      <c r="I1619">
        <v>0.056260691652261</v>
      </c>
      <c r="J1619">
        <v>0.0394818938022354</v>
      </c>
      <c r="K1619">
        <v>0.0303099945744683</v>
      </c>
      <c r="L1619">
        <v>863.850878107416</v>
      </c>
      <c r="M1619">
        <v>17.8928034232255</v>
      </c>
      <c r="N1619">
        <v>48.4412900982753</v>
      </c>
      <c r="O1619">
        <v>47.6882992740846</v>
      </c>
      <c r="P1619">
        <v>-0.0910804214258074</v>
      </c>
      <c r="Q1619">
        <v>0.0290507460860871</v>
      </c>
      <c r="R1619">
        <v>0.960090250103284</v>
      </c>
      <c r="S1619" t="s">
        <v>3287</v>
      </c>
      <c r="T1619" t="s">
        <v>3312</v>
      </c>
      <c r="U1619" t="s">
        <v>3312</v>
      </c>
      <c r="V1619" t="s">
        <v>3312</v>
      </c>
      <c r="W1619" t="s">
        <v>4928</v>
      </c>
      <c r="X1619">
        <v>5</v>
      </c>
      <c r="Y1619" t="s">
        <v>6570</v>
      </c>
      <c r="Z1619" t="s">
        <v>8212</v>
      </c>
      <c r="AA1619">
        <v>0.4097706977389846</v>
      </c>
      <c r="AB1619">
        <f>HYPERLINK("Melting_Curves/meltCurve_Q46845_yghU.pdf", "Melting_Curves/meltCurve_Q46845_yghU.pdf")</f>
        <v>0</v>
      </c>
    </row>
    <row r="1620" spans="1:28">
      <c r="A1620" t="s">
        <v>1646</v>
      </c>
      <c r="B1620">
        <v>0.999984544473304</v>
      </c>
      <c r="C1620">
        <v>1.10519315587861</v>
      </c>
      <c r="D1620">
        <v>1.3402930979664</v>
      </c>
      <c r="E1620">
        <v>1.14855960567179</v>
      </c>
      <c r="F1620">
        <v>0.943787063313279</v>
      </c>
      <c r="G1620">
        <v>1.12277136455042</v>
      </c>
      <c r="H1620">
        <v>0.636178717358294</v>
      </c>
      <c r="I1620">
        <v>0.513282835728331</v>
      </c>
      <c r="J1620">
        <v>0.407742167099839</v>
      </c>
      <c r="K1620">
        <v>0.406213276406213</v>
      </c>
      <c r="L1620">
        <v>14165.7168326958</v>
      </c>
      <c r="M1620">
        <v>247.419503573872</v>
      </c>
      <c r="N1620">
        <v>57.758383553189</v>
      </c>
      <c r="O1620">
        <v>57.2500999852634</v>
      </c>
      <c r="P1620">
        <v>-0.602435536735246</v>
      </c>
      <c r="Q1620">
        <v>0.4424126770065</v>
      </c>
      <c r="R1620">
        <v>0.8336867045297039</v>
      </c>
      <c r="S1620" t="s">
        <v>3288</v>
      </c>
      <c r="T1620" t="s">
        <v>3312</v>
      </c>
      <c r="U1620" t="s">
        <v>3312</v>
      </c>
      <c r="V1620" t="s">
        <v>3312</v>
      </c>
      <c r="W1620" t="s">
        <v>4929</v>
      </c>
      <c r="X1620">
        <v>9</v>
      </c>
      <c r="Y1620" t="s">
        <v>6571</v>
      </c>
      <c r="Z1620" t="s">
        <v>8213</v>
      </c>
      <c r="AA1620">
        <v>0.8189127045645525</v>
      </c>
      <c r="AB1620">
        <f>HYPERLINK("Melting_Curves/meltCurve_Q46851_gpr.pdf", "Melting_Curves/meltCurve_Q46851_gpr.pdf")</f>
        <v>0</v>
      </c>
    </row>
    <row r="1621" spans="1:28">
      <c r="A1621" t="s">
        <v>1647</v>
      </c>
      <c r="B1621">
        <v>0.999984544473304</v>
      </c>
      <c r="C1621">
        <v>0.908214978073061</v>
      </c>
      <c r="D1621">
        <v>1.1289605555421</v>
      </c>
      <c r="E1621">
        <v>0.9311448053535309</v>
      </c>
      <c r="F1621">
        <v>1.20815799376183</v>
      </c>
      <c r="G1621">
        <v>0.969264412693056</v>
      </c>
      <c r="H1621">
        <v>0.555159921619325</v>
      </c>
      <c r="I1621">
        <v>0.143048312785736</v>
      </c>
      <c r="J1621">
        <v>0.0458810726789713</v>
      </c>
      <c r="K1621">
        <v>0.0337792819078558</v>
      </c>
      <c r="L1621">
        <v>2479.93663857802</v>
      </c>
      <c r="M1621">
        <v>43.0183410958249</v>
      </c>
      <c r="N1621">
        <v>57.7605698684341</v>
      </c>
      <c r="O1621">
        <v>57.5241967157856</v>
      </c>
      <c r="P1621">
        <v>-0.179462991014083</v>
      </c>
      <c r="Q1621">
        <v>0.040088655104339</v>
      </c>
      <c r="R1621">
        <v>0.9608378940546209</v>
      </c>
      <c r="S1621" t="s">
        <v>3289</v>
      </c>
      <c r="T1621" t="s">
        <v>3312</v>
      </c>
      <c r="U1621" t="s">
        <v>3312</v>
      </c>
      <c r="V1621" t="s">
        <v>3312</v>
      </c>
      <c r="W1621" t="s">
        <v>4930</v>
      </c>
      <c r="X1621">
        <v>3</v>
      </c>
      <c r="Y1621" t="s">
        <v>6572</v>
      </c>
      <c r="Z1621" t="s">
        <v>8214</v>
      </c>
      <c r="AA1621">
        <v>0.7039279477652999</v>
      </c>
      <c r="AB1621">
        <f>HYPERLINK("Melting_Curves/meltCurve_Q46856_yqhD.pdf", "Melting_Curves/meltCurve_Q46856_yqhD.pdf")</f>
        <v>0</v>
      </c>
    </row>
    <row r="1622" spans="1:28">
      <c r="A1622" t="s">
        <v>1648</v>
      </c>
      <c r="B1622">
        <v>0.999984544473304</v>
      </c>
      <c r="C1622">
        <v>0.770974106284069</v>
      </c>
      <c r="D1622">
        <v>1.06340932193619</v>
      </c>
      <c r="E1622">
        <v>0.868475708857284</v>
      </c>
      <c r="F1622">
        <v>0.667847306076037</v>
      </c>
      <c r="G1622">
        <v>0.157347280433249</v>
      </c>
      <c r="H1622">
        <v>0.0781858588210274</v>
      </c>
      <c r="I1622">
        <v>0.0418789326283322</v>
      </c>
      <c r="J1622">
        <v>0.0256409367888314</v>
      </c>
      <c r="K1622">
        <v>0.018605717231662</v>
      </c>
      <c r="L1622">
        <v>1526.8001676823</v>
      </c>
      <c r="M1622">
        <v>29.9194974271832</v>
      </c>
      <c r="N1622">
        <v>51.1153140009461</v>
      </c>
      <c r="O1622">
        <v>50.8039547063466</v>
      </c>
      <c r="P1622">
        <v>-0.143656567273242</v>
      </c>
      <c r="Q1622">
        <v>0.0242789532775779</v>
      </c>
      <c r="R1622">
        <v>0.962223976286929</v>
      </c>
      <c r="S1622" t="s">
        <v>3290</v>
      </c>
      <c r="T1622" t="s">
        <v>3312</v>
      </c>
      <c r="U1622" t="s">
        <v>3312</v>
      </c>
      <c r="V1622" t="s">
        <v>3312</v>
      </c>
      <c r="W1622" t="s">
        <v>4931</v>
      </c>
      <c r="X1622">
        <v>16</v>
      </c>
      <c r="Y1622" t="s">
        <v>6573</v>
      </c>
      <c r="Z1622" t="s">
        <v>8215</v>
      </c>
      <c r="AA1622">
        <v>0.4867134761986162</v>
      </c>
      <c r="AB1622">
        <f>HYPERLINK("Melting_Curves/meltCurve_Q46857_dkgA.pdf", "Melting_Curves/meltCurve_Q46857_dkgA.pdf")</f>
        <v>0</v>
      </c>
    </row>
    <row r="1623" spans="1:28">
      <c r="A1623" t="s">
        <v>1649</v>
      </c>
      <c r="B1623">
        <v>0.999984544473304</v>
      </c>
      <c r="C1623">
        <v>1.08831633599144</v>
      </c>
      <c r="D1623">
        <v>1.27882330236593</v>
      </c>
      <c r="E1623">
        <v>0.968638368831313</v>
      </c>
      <c r="F1623">
        <v>0.732709874302234</v>
      </c>
      <c r="G1623">
        <v>0.1168099192226</v>
      </c>
      <c r="H1623">
        <v>0.0594110122239784</v>
      </c>
      <c r="I1623">
        <v>0.0362396459167371</v>
      </c>
      <c r="J1623">
        <v>0.0220638480120025</v>
      </c>
      <c r="K1623">
        <v>0.0181581322512084</v>
      </c>
      <c r="L1623">
        <v>2422.14920881154</v>
      </c>
      <c r="M1623">
        <v>47.2966254349444</v>
      </c>
      <c r="N1623">
        <v>51.2820776255064</v>
      </c>
      <c r="O1623">
        <v>51.1205805477295</v>
      </c>
      <c r="P1623">
        <v>-0.224050186656794</v>
      </c>
      <c r="Q1623">
        <v>0.0313420167495158</v>
      </c>
      <c r="R1623">
        <v>0.96499321765215</v>
      </c>
      <c r="S1623" t="s">
        <v>3291</v>
      </c>
      <c r="T1623" t="s">
        <v>3312</v>
      </c>
      <c r="U1623" t="s">
        <v>3312</v>
      </c>
      <c r="V1623" t="s">
        <v>3312</v>
      </c>
      <c r="W1623" t="s">
        <v>4932</v>
      </c>
      <c r="X1623">
        <v>4</v>
      </c>
      <c r="Y1623" t="s">
        <v>6574</v>
      </c>
      <c r="Z1623" t="s">
        <v>8216</v>
      </c>
      <c r="AA1623">
        <v>0.4926699648837177</v>
      </c>
      <c r="AB1623">
        <f>HYPERLINK("Melting_Curves/meltCurve_Q46863_ygiS.pdf", "Melting_Curves/meltCurve_Q46863_ygiS.pdf")</f>
        <v>0</v>
      </c>
    </row>
    <row r="1624" spans="1:28">
      <c r="A1624" t="s">
        <v>1650</v>
      </c>
      <c r="B1624">
        <v>0.999984544473304</v>
      </c>
      <c r="C1624">
        <v>1.05715166258905</v>
      </c>
      <c r="D1624">
        <v>0.759077654246718</v>
      </c>
      <c r="E1624">
        <v>0.726202164991504</v>
      </c>
      <c r="F1624">
        <v>0.509710456209815</v>
      </c>
      <c r="G1624">
        <v>0.453816926845325</v>
      </c>
      <c r="H1624">
        <v>0.331473431371219</v>
      </c>
      <c r="I1624">
        <v>0.299400096099097</v>
      </c>
      <c r="J1624">
        <v>0.153465404254873</v>
      </c>
      <c r="K1624">
        <v>0.175893074747485</v>
      </c>
      <c r="L1624">
        <v>476.807192319397</v>
      </c>
      <c r="M1624">
        <v>9.48125126445183</v>
      </c>
      <c r="N1624">
        <v>51.5777560938898</v>
      </c>
      <c r="O1624">
        <v>48.2047164148873</v>
      </c>
      <c r="P1624">
        <v>-0.0440138190987508</v>
      </c>
      <c r="Q1624">
        <v>0.105430308240482</v>
      </c>
      <c r="R1624">
        <v>0.9634309822302159</v>
      </c>
      <c r="S1624" t="s">
        <v>3292</v>
      </c>
      <c r="T1624" t="s">
        <v>3312</v>
      </c>
      <c r="U1624" t="s">
        <v>3312</v>
      </c>
      <c r="V1624" t="s">
        <v>3312</v>
      </c>
      <c r="W1624" t="s">
        <v>4933</v>
      </c>
      <c r="X1624">
        <v>1</v>
      </c>
      <c r="Y1624" t="s">
        <v>6575</v>
      </c>
      <c r="Z1624" t="s">
        <v>8217</v>
      </c>
      <c r="AA1624">
        <v>0.5325789624139957</v>
      </c>
      <c r="AB1624">
        <f>HYPERLINK("Melting_Curves/meltCurve_Q46864_mqsA.pdf", "Melting_Curves/meltCurve_Q46864_mqsA.pdf")</f>
        <v>0</v>
      </c>
    </row>
    <row r="1625" spans="1:28">
      <c r="A1625" t="s">
        <v>1651</v>
      </c>
      <c r="B1625">
        <v>0.999984544473304</v>
      </c>
      <c r="C1625">
        <v>0.958019033472693</v>
      </c>
      <c r="D1625">
        <v>0.835934344011515</v>
      </c>
      <c r="E1625">
        <v>1.02965867023665</v>
      </c>
      <c r="F1625">
        <v>0.9862020309537149</v>
      </c>
      <c r="G1625">
        <v>0.76315712386115</v>
      </c>
      <c r="H1625">
        <v>0.743522503994227</v>
      </c>
      <c r="I1625">
        <v>0.712082316300979</v>
      </c>
      <c r="J1625">
        <v>0.505862513966157</v>
      </c>
      <c r="K1625">
        <v>0.564945084623274</v>
      </c>
      <c r="L1625">
        <v>611.205142805262</v>
      </c>
      <c r="M1625">
        <v>10.3850305430531</v>
      </c>
      <c r="O1625">
        <v>56.7975948914971</v>
      </c>
      <c r="P1625">
        <v>-0.0272876613301124</v>
      </c>
      <c r="Q1625">
        <v>0.403286716175549</v>
      </c>
      <c r="R1625">
        <v>0.836727306804277</v>
      </c>
      <c r="S1625" t="s">
        <v>3293</v>
      </c>
      <c r="T1625" t="s">
        <v>3312</v>
      </c>
      <c r="U1625" t="s">
        <v>3312</v>
      </c>
      <c r="V1625" t="s">
        <v>3312</v>
      </c>
      <c r="W1625" t="s">
        <v>4934</v>
      </c>
      <c r="X1625">
        <v>5</v>
      </c>
      <c r="Y1625" t="s">
        <v>6576</v>
      </c>
      <c r="Z1625" t="s">
        <v>8218</v>
      </c>
      <c r="AA1625">
        <v>0.8296866571129368</v>
      </c>
      <c r="AB1625">
        <f>HYPERLINK("Melting_Curves/meltCurve_Q46868_yqiC.pdf", "Melting_Curves/meltCurve_Q46868_yqiC.pdf")</f>
        <v>0</v>
      </c>
    </row>
    <row r="1626" spans="1:28">
      <c r="A1626" t="s">
        <v>1652</v>
      </c>
      <c r="B1626">
        <v>0.999984544473304</v>
      </c>
      <c r="C1626">
        <v>0.938893741471979</v>
      </c>
      <c r="D1626">
        <v>0.943326806758139</v>
      </c>
      <c r="E1626">
        <v>0.926169109214929</v>
      </c>
      <c r="F1626">
        <v>1.06729247227149</v>
      </c>
      <c r="G1626">
        <v>0.926535557534883</v>
      </c>
      <c r="H1626">
        <v>1.00766215906872</v>
      </c>
      <c r="I1626">
        <v>0.879282320708744</v>
      </c>
      <c r="J1626">
        <v>0.70884261512906</v>
      </c>
      <c r="K1626">
        <v>0.431135844528446</v>
      </c>
      <c r="L1626">
        <v>1636.92685914301</v>
      </c>
      <c r="M1626">
        <v>24.6932474338773</v>
      </c>
      <c r="N1626">
        <v>66.29046524964861</v>
      </c>
      <c r="O1626">
        <v>65.8602988445505</v>
      </c>
      <c r="P1626">
        <v>-0.0937347607990356</v>
      </c>
      <c r="Q1626">
        <v>0</v>
      </c>
      <c r="R1626">
        <v>0.925073209541995</v>
      </c>
      <c r="S1626" t="s">
        <v>3294</v>
      </c>
      <c r="T1626" t="s">
        <v>3312</v>
      </c>
      <c r="U1626" t="s">
        <v>3312</v>
      </c>
      <c r="V1626" t="s">
        <v>3312</v>
      </c>
      <c r="W1626" t="s">
        <v>4935</v>
      </c>
      <c r="X1626">
        <v>4</v>
      </c>
      <c r="Y1626" t="s">
        <v>6577</v>
      </c>
      <c r="Z1626" t="s">
        <v>8219</v>
      </c>
      <c r="AA1626">
        <v>0.9306539245198024</v>
      </c>
      <c r="AB1626">
        <f>HYPERLINK("Melting_Curves/meltCurve_Q46871_yqjH.pdf", "Melting_Curves/meltCurve_Q46871_yqjH.pdf")</f>
        <v>0</v>
      </c>
    </row>
    <row r="1627" spans="1:28">
      <c r="A1627" t="s">
        <v>1653</v>
      </c>
      <c r="B1627">
        <v>0.999984544473304</v>
      </c>
      <c r="C1627">
        <v>1.16251251751597</v>
      </c>
      <c r="D1627">
        <v>0.896036898063076</v>
      </c>
      <c r="E1627">
        <v>0.87085963186989</v>
      </c>
      <c r="F1627">
        <v>1.06662009061111</v>
      </c>
      <c r="G1627">
        <v>0.884828057848755</v>
      </c>
      <c r="H1627">
        <v>0.829218635661355</v>
      </c>
      <c r="I1627">
        <v>0.592290854020372</v>
      </c>
      <c r="J1627">
        <v>0.484185381245067</v>
      </c>
      <c r="K1627">
        <v>0.389149618462729</v>
      </c>
      <c r="L1627">
        <v>1087.41995573257</v>
      </c>
      <c r="M1627">
        <v>18.0032875051327</v>
      </c>
      <c r="N1627">
        <v>63.4207266444606</v>
      </c>
      <c r="O1627">
        <v>59.6707447200257</v>
      </c>
      <c r="P1627">
        <v>-0.0537209274072548</v>
      </c>
      <c r="Q1627">
        <v>0.28781680544042</v>
      </c>
      <c r="R1627">
        <v>0.88934363620434</v>
      </c>
      <c r="S1627" t="s">
        <v>3295</v>
      </c>
      <c r="T1627" t="s">
        <v>3312</v>
      </c>
      <c r="U1627" t="s">
        <v>3312</v>
      </c>
      <c r="V1627" t="s">
        <v>3312</v>
      </c>
      <c r="W1627" t="s">
        <v>4936</v>
      </c>
      <c r="X1627">
        <v>2</v>
      </c>
      <c r="Y1627" t="s">
        <v>6578</v>
      </c>
      <c r="Z1627" t="s">
        <v>8220</v>
      </c>
      <c r="AA1627">
        <v>0.8407459166245987</v>
      </c>
      <c r="AB1627">
        <f>HYPERLINK("Melting_Curves/meltCurve_Q46893_ispD.pdf", "Melting_Curves/meltCurve_Q46893_ispD.pdf")</f>
        <v>0</v>
      </c>
    </row>
    <row r="1628" spans="1:28">
      <c r="A1628" t="s">
        <v>1654</v>
      </c>
      <c r="B1628">
        <v>0.999984544473304</v>
      </c>
      <c r="C1628">
        <v>0.874148535962505</v>
      </c>
      <c r="D1628">
        <v>1.04840877480055</v>
      </c>
      <c r="E1628">
        <v>0.680482130848157</v>
      </c>
      <c r="F1628">
        <v>0.459177487217931</v>
      </c>
      <c r="G1628">
        <v>0.366569923856652</v>
      </c>
      <c r="H1628">
        <v>0.327415695581703</v>
      </c>
      <c r="I1628">
        <v>0.237346821703786</v>
      </c>
      <c r="J1628">
        <v>0.191749827089696</v>
      </c>
      <c r="K1628">
        <v>0.142647293137393</v>
      </c>
      <c r="L1628">
        <v>755.334215639156</v>
      </c>
      <c r="M1628">
        <v>15.5206130334432</v>
      </c>
      <c r="N1628">
        <v>50.1975143401606</v>
      </c>
      <c r="O1628">
        <v>47.8800767683431</v>
      </c>
      <c r="P1628">
        <v>-0.065764888811082</v>
      </c>
      <c r="Q1628">
        <v>0.188550113964874</v>
      </c>
      <c r="R1628">
        <v>0.958946695861617</v>
      </c>
      <c r="S1628" t="s">
        <v>3296</v>
      </c>
      <c r="T1628" t="s">
        <v>3312</v>
      </c>
      <c r="U1628" t="s">
        <v>3312</v>
      </c>
      <c r="V1628" t="s">
        <v>3312</v>
      </c>
      <c r="W1628" t="s">
        <v>4937</v>
      </c>
      <c r="X1628">
        <v>7</v>
      </c>
      <c r="Y1628" t="s">
        <v>6579</v>
      </c>
      <c r="Z1628" t="s">
        <v>8221</v>
      </c>
      <c r="AA1628">
        <v>0.520761876617861</v>
      </c>
      <c r="AB1628">
        <f>HYPERLINK("Melting_Curves/meltCurve_Q46920_queF.pdf", "Melting_Curves/meltCurve_Q46920_queF.pdf")</f>
        <v>0</v>
      </c>
    </row>
    <row r="1629" spans="1:28">
      <c r="A1629" t="s">
        <v>1655</v>
      </c>
      <c r="B1629">
        <v>0.999984544473304</v>
      </c>
      <c r="C1629">
        <v>0.94205779416566</v>
      </c>
      <c r="D1629">
        <v>0.711308741158534</v>
      </c>
      <c r="E1629">
        <v>0.581818763576481</v>
      </c>
      <c r="F1629">
        <v>0.459387961088096</v>
      </c>
      <c r="G1629">
        <v>0.316327725587574</v>
      </c>
      <c r="H1629">
        <v>0.213148793708912</v>
      </c>
      <c r="I1629">
        <v>0.198020632432783</v>
      </c>
      <c r="J1629">
        <v>0.135428356492961</v>
      </c>
      <c r="K1629">
        <v>0.20973512295269</v>
      </c>
      <c r="L1629">
        <v>527.102540970582</v>
      </c>
      <c r="M1629">
        <v>11.2214664786988</v>
      </c>
      <c r="N1629">
        <v>48.3670680429599</v>
      </c>
      <c r="O1629">
        <v>45.5550264615733</v>
      </c>
      <c r="P1629">
        <v>-0.0530881826957301</v>
      </c>
      <c r="Q1629">
        <v>0.138194979614572</v>
      </c>
      <c r="R1629">
        <v>0.985085624659315</v>
      </c>
      <c r="S1629" t="s">
        <v>3297</v>
      </c>
      <c r="T1629" t="s">
        <v>3312</v>
      </c>
      <c r="U1629" t="s">
        <v>3312</v>
      </c>
      <c r="V1629" t="s">
        <v>3312</v>
      </c>
      <c r="W1629" t="s">
        <v>4938</v>
      </c>
      <c r="X1629">
        <v>1</v>
      </c>
      <c r="Y1629" t="s">
        <v>6580</v>
      </c>
      <c r="Z1629" t="s">
        <v>8222</v>
      </c>
      <c r="AA1629">
        <v>0.4561602050995385</v>
      </c>
      <c r="AB1629">
        <f>HYPERLINK("Melting_Curves/meltCurve_Q46938_kduI.pdf", "Melting_Curves/meltCurve_Q46938_kduI.pdf")</f>
        <v>0</v>
      </c>
    </row>
    <row r="1630" spans="1:28">
      <c r="A1630" t="s">
        <v>1656</v>
      </c>
      <c r="B1630">
        <v>0.999984544473304</v>
      </c>
      <c r="C1630">
        <v>0.705320372786279</v>
      </c>
      <c r="D1630">
        <v>1.20515204094136</v>
      </c>
      <c r="E1630">
        <v>0.894063897066824</v>
      </c>
      <c r="F1630">
        <v>0.935308926547413</v>
      </c>
      <c r="G1630">
        <v>0.255486734550843</v>
      </c>
      <c r="H1630">
        <v>0.0653461097191211</v>
      </c>
      <c r="I1630">
        <v>0.0205349411538943</v>
      </c>
      <c r="J1630">
        <v>0.0104660482394481</v>
      </c>
      <c r="K1630">
        <v>0.00687071686241021</v>
      </c>
      <c r="L1630">
        <v>2731.25206215596</v>
      </c>
      <c r="M1630">
        <v>51.8972204301258</v>
      </c>
      <c r="N1630">
        <v>52.6726526286311</v>
      </c>
      <c r="O1630">
        <v>52.5501312294119</v>
      </c>
      <c r="P1630">
        <v>-0.24159217601045</v>
      </c>
      <c r="Q1630">
        <v>0.0214742805660998</v>
      </c>
      <c r="R1630">
        <v>0.932541507427018</v>
      </c>
      <c r="S1630" t="s">
        <v>3298</v>
      </c>
      <c r="T1630" t="s">
        <v>3312</v>
      </c>
      <c r="U1630" t="s">
        <v>3312</v>
      </c>
      <c r="V1630" t="s">
        <v>3312</v>
      </c>
      <c r="W1630" t="s">
        <v>4939</v>
      </c>
      <c r="X1630">
        <v>4</v>
      </c>
      <c r="Y1630" t="s">
        <v>6581</v>
      </c>
      <c r="Z1630" t="s">
        <v>8223</v>
      </c>
      <c r="AA1630">
        <v>0.5333310472103449</v>
      </c>
      <c r="AB1630">
        <f>HYPERLINK("Melting_Curves/meltCurve_Q46948_yajL.pdf", "Melting_Curves/meltCurve_Q46948_yajL.pdf")</f>
        <v>0</v>
      </c>
    </row>
    <row r="1631" spans="1:28">
      <c r="A1631" t="s">
        <v>1657</v>
      </c>
      <c r="B1631">
        <v>0.999984544473304</v>
      </c>
      <c r="C1631">
        <v>1.35623650243786</v>
      </c>
      <c r="D1631">
        <v>0.756907787152938</v>
      </c>
      <c r="E1631">
        <v>0.792239590667954</v>
      </c>
      <c r="F1631">
        <v>0.467634160262651</v>
      </c>
      <c r="G1631">
        <v>0.351132650305384</v>
      </c>
      <c r="H1631">
        <v>0.247606202512682</v>
      </c>
      <c r="I1631">
        <v>0.243373007098888</v>
      </c>
      <c r="J1631">
        <v>0.10443901958773</v>
      </c>
      <c r="K1631">
        <v>0.13940662100592</v>
      </c>
      <c r="L1631">
        <v>779.973191033115</v>
      </c>
      <c r="M1631">
        <v>15.8341415173417</v>
      </c>
      <c r="N1631">
        <v>50.349490141383</v>
      </c>
      <c r="O1631">
        <v>48.4933348778025</v>
      </c>
      <c r="P1631">
        <v>-0.06978605041474779</v>
      </c>
      <c r="Q1631">
        <v>0.145168005415998</v>
      </c>
      <c r="R1631">
        <v>0.883149924021277</v>
      </c>
      <c r="S1631" t="s">
        <v>3299</v>
      </c>
      <c r="T1631" t="s">
        <v>3312</v>
      </c>
      <c r="U1631" t="s">
        <v>3312</v>
      </c>
      <c r="V1631" t="s">
        <v>3312</v>
      </c>
      <c r="W1631" t="s">
        <v>4940</v>
      </c>
      <c r="X1631">
        <v>1</v>
      </c>
      <c r="Y1631" t="s">
        <v>6582</v>
      </c>
      <c r="Z1631" t="s">
        <v>8224</v>
      </c>
      <c r="AA1631">
        <v>0.5112591884232889</v>
      </c>
      <c r="AB1631">
        <f>HYPERLINK("Melting_Curves/meltCurve_Q47146_fadE.pdf", "Melting_Curves/meltCurve_Q47146_fadE.pdf")</f>
        <v>0</v>
      </c>
    </row>
    <row r="1632" spans="1:28">
      <c r="A1632" t="s">
        <v>1658</v>
      </c>
      <c r="B1632">
        <v>0.999984544473304</v>
      </c>
      <c r="C1632">
        <v>0.750511549490957</v>
      </c>
      <c r="D1632">
        <v>0.851328480720732</v>
      </c>
      <c r="E1632">
        <v>0.655594579258059</v>
      </c>
      <c r="F1632">
        <v>0.267751286049896</v>
      </c>
      <c r="G1632">
        <v>0.06898599566465791</v>
      </c>
      <c r="H1632">
        <v>0.0453792824719504</v>
      </c>
      <c r="I1632">
        <v>0.0307611276443317</v>
      </c>
      <c r="J1632">
        <v>0.0377754798702625</v>
      </c>
      <c r="K1632">
        <v>0.0345856081265176</v>
      </c>
      <c r="L1632">
        <v>756.56663684903</v>
      </c>
      <c r="M1632">
        <v>15.9427894608563</v>
      </c>
      <c r="N1632">
        <v>47.4550881537914</v>
      </c>
      <c r="O1632">
        <v>46.7273052506869</v>
      </c>
      <c r="P1632">
        <v>-0.0853037681016641</v>
      </c>
      <c r="Q1632">
        <v>0</v>
      </c>
      <c r="R1632">
        <v>0.9611194190675409</v>
      </c>
      <c r="S1632" t="s">
        <v>3300</v>
      </c>
      <c r="T1632" t="s">
        <v>3312</v>
      </c>
      <c r="U1632" t="s">
        <v>3312</v>
      </c>
      <c r="V1632" t="s">
        <v>3312</v>
      </c>
      <c r="W1632" t="s">
        <v>4941</v>
      </c>
      <c r="X1632">
        <v>4</v>
      </c>
      <c r="Y1632" t="s">
        <v>6583</v>
      </c>
      <c r="Z1632" t="s">
        <v>8225</v>
      </c>
      <c r="AA1632">
        <v>0.3685157445300573</v>
      </c>
      <c r="AB1632">
        <f>HYPERLINK("Melting_Curves/meltCurve_Q47147_yafJ.pdf", "Melting_Curves/meltCurve_Q47147_yafJ.pdf")</f>
        <v>0</v>
      </c>
    </row>
    <row r="1633" spans="1:28">
      <c r="A1633" t="s">
        <v>1659</v>
      </c>
      <c r="B1633">
        <v>0.999984544473304</v>
      </c>
      <c r="C1633">
        <v>1.16149858809781</v>
      </c>
      <c r="D1633">
        <v>0.7055325296511989</v>
      </c>
      <c r="E1633">
        <v>0.997681024775585</v>
      </c>
      <c r="F1633">
        <v>0.717852661094914</v>
      </c>
      <c r="G1633">
        <v>0.647445694044001</v>
      </c>
      <c r="H1633">
        <v>0.51588888332518</v>
      </c>
      <c r="I1633">
        <v>0.473089520429936</v>
      </c>
      <c r="J1633">
        <v>0.346700268021697</v>
      </c>
      <c r="K1633">
        <v>0.469809822361544</v>
      </c>
      <c r="L1633">
        <v>605.721459219738</v>
      </c>
      <c r="M1633">
        <v>11.5919674167004</v>
      </c>
      <c r="N1633">
        <v>58.652127802977</v>
      </c>
      <c r="O1633">
        <v>50.7711062151928</v>
      </c>
      <c r="P1633">
        <v>-0.0366080532067288</v>
      </c>
      <c r="Q1633">
        <v>0.358825366804895</v>
      </c>
      <c r="R1633">
        <v>0.817376723041875</v>
      </c>
      <c r="S1633" t="s">
        <v>3301</v>
      </c>
      <c r="T1633" t="s">
        <v>3312</v>
      </c>
      <c r="U1633" t="s">
        <v>3312</v>
      </c>
      <c r="V1633" t="s">
        <v>3312</v>
      </c>
      <c r="W1633" t="s">
        <v>4942</v>
      </c>
      <c r="X1633">
        <v>2</v>
      </c>
      <c r="Y1633" t="s">
        <v>6584</v>
      </c>
      <c r="Z1633" t="s">
        <v>8226</v>
      </c>
      <c r="AA1633">
        <v>0.7000146400027807</v>
      </c>
      <c r="AB1633">
        <f>HYPERLINK("Melting_Curves/meltCurve_Q47150_dinJ.pdf", "Melting_Curves/meltCurve_Q47150_dinJ.pdf")</f>
        <v>0</v>
      </c>
    </row>
    <row r="1634" spans="1:28">
      <c r="A1634" t="s">
        <v>1660</v>
      </c>
      <c r="B1634">
        <v>0.999984544473304</v>
      </c>
      <c r="C1634">
        <v>1.34382102179656</v>
      </c>
      <c r="D1634">
        <v>1.00874325829153</v>
      </c>
      <c r="E1634">
        <v>1.22749538873104</v>
      </c>
      <c r="F1634">
        <v>1.01612338477592</v>
      </c>
      <c r="G1634">
        <v>1.04500329062529</v>
      </c>
      <c r="H1634">
        <v>0.919994543410193</v>
      </c>
      <c r="I1634">
        <v>1.38690389461592</v>
      </c>
      <c r="J1634">
        <v>0.959533109380124</v>
      </c>
      <c r="K1634">
        <v>0.8799196781263821</v>
      </c>
      <c r="L1634">
        <v>15000</v>
      </c>
      <c r="M1634">
        <v>233.332310202351</v>
      </c>
      <c r="O1634">
        <v>64.2812738945432</v>
      </c>
      <c r="P1634">
        <v>-0.108978002457873</v>
      </c>
      <c r="Q1634">
        <v>0.879909562810415</v>
      </c>
      <c r="R1634">
        <v>-0.162721284186284</v>
      </c>
      <c r="S1634" t="s">
        <v>3302</v>
      </c>
      <c r="T1634" t="s">
        <v>3312</v>
      </c>
      <c r="U1634" t="s">
        <v>3312</v>
      </c>
      <c r="V1634" t="s">
        <v>3312</v>
      </c>
      <c r="W1634" t="s">
        <v>4943</v>
      </c>
      <c r="X1634">
        <v>1</v>
      </c>
      <c r="Y1634" t="s">
        <v>6585</v>
      </c>
      <c r="Z1634" t="s">
        <v>8227</v>
      </c>
      <c r="AA1634">
        <v>0.9891512621787736</v>
      </c>
      <c r="AB1634">
        <f>HYPERLINK("Melting_Curves/meltCurve_Q47157_yafO.pdf", "Melting_Curves/meltCurve_Q47157_yafO.pdf")</f>
        <v>0</v>
      </c>
    </row>
    <row r="1635" spans="1:28">
      <c r="A1635" t="s">
        <v>1661</v>
      </c>
      <c r="B1635">
        <v>0.999984544473304</v>
      </c>
      <c r="C1635">
        <v>1.22179994426983</v>
      </c>
      <c r="D1635">
        <v>1.10219563953741</v>
      </c>
      <c r="E1635">
        <v>1.0024918776976</v>
      </c>
      <c r="F1635">
        <v>0.786030781271515</v>
      </c>
      <c r="G1635">
        <v>0.167496494034524</v>
      </c>
      <c r="H1635">
        <v>0.073182903958681</v>
      </c>
      <c r="I1635">
        <v>0.0546429823788639</v>
      </c>
      <c r="J1635">
        <v>0.04418211593587</v>
      </c>
      <c r="K1635">
        <v>0.0431787291146027</v>
      </c>
      <c r="L1635">
        <v>2396.78658805829</v>
      </c>
      <c r="M1635">
        <v>46.5083890014011</v>
      </c>
      <c r="N1635">
        <v>51.6547156939089</v>
      </c>
      <c r="O1635">
        <v>51.4395102775306</v>
      </c>
      <c r="P1635">
        <v>-0.214441611691614</v>
      </c>
      <c r="Q1635">
        <v>0.0512889924656821</v>
      </c>
      <c r="R1635">
        <v>0.97445184470025</v>
      </c>
      <c r="S1635" t="s">
        <v>3303</v>
      </c>
      <c r="T1635" t="s">
        <v>3312</v>
      </c>
      <c r="U1635" t="s">
        <v>3312</v>
      </c>
      <c r="V1635" t="s">
        <v>3312</v>
      </c>
      <c r="W1635" t="s">
        <v>4944</v>
      </c>
      <c r="X1635">
        <v>6</v>
      </c>
      <c r="Y1635" t="s">
        <v>6586</v>
      </c>
      <c r="Z1635" t="s">
        <v>8228</v>
      </c>
      <c r="AA1635">
        <v>0.5134170907059263</v>
      </c>
      <c r="AB1635">
        <f>HYPERLINK("Melting_Curves/meltCurve_Q47622_sapA.pdf", "Melting_Curves/meltCurve_Q47622_sapA.pdf")</f>
        <v>0</v>
      </c>
    </row>
    <row r="1636" spans="1:28">
      <c r="A1636" t="s">
        <v>1662</v>
      </c>
      <c r="B1636">
        <v>0.999984544473304</v>
      </c>
      <c r="C1636">
        <v>1.14622968826418</v>
      </c>
      <c r="D1636">
        <v>0.433817058351196</v>
      </c>
      <c r="E1636">
        <v>0.722775323585042</v>
      </c>
      <c r="F1636">
        <v>0.263014331569706</v>
      </c>
      <c r="G1636">
        <v>0.17931075315558</v>
      </c>
      <c r="H1636">
        <v>0.115686487044496</v>
      </c>
      <c r="I1636">
        <v>0.0708186988388413</v>
      </c>
      <c r="J1636">
        <v>0.045882195486844</v>
      </c>
      <c r="K1636">
        <v>0.054465161964472</v>
      </c>
      <c r="L1636">
        <v>582.70548997554</v>
      </c>
      <c r="M1636">
        <v>12.437406230732</v>
      </c>
      <c r="N1636">
        <v>47.0173558414221</v>
      </c>
      <c r="O1636">
        <v>45.689305517249</v>
      </c>
      <c r="P1636">
        <v>-0.0666036975865434</v>
      </c>
      <c r="Q1636">
        <v>0.0215199738125344</v>
      </c>
      <c r="R1636">
        <v>0.862879585597634</v>
      </c>
      <c r="S1636" t="s">
        <v>3304</v>
      </c>
      <c r="T1636" t="s">
        <v>3312</v>
      </c>
      <c r="U1636" t="s">
        <v>3312</v>
      </c>
      <c r="V1636" t="s">
        <v>3312</v>
      </c>
      <c r="W1636" t="s">
        <v>4945</v>
      </c>
      <c r="X1636">
        <v>2</v>
      </c>
      <c r="Y1636" t="s">
        <v>6587</v>
      </c>
      <c r="Z1636" t="s">
        <v>8229</v>
      </c>
      <c r="AA1636">
        <v>0.3733735701079429</v>
      </c>
      <c r="AB1636">
        <f>HYPERLINK("Melting_Curves/meltCurve_Q47679_yafV.pdf", "Melting_Curves/meltCurve_Q47679_yafV.pdf")</f>
        <v>0</v>
      </c>
    </row>
    <row r="1637" spans="1:28">
      <c r="A1637" t="s">
        <v>1663</v>
      </c>
      <c r="B1637">
        <v>0.999984544473304</v>
      </c>
      <c r="C1637">
        <v>0.70026610726755</v>
      </c>
      <c r="D1637">
        <v>0.652368884222845</v>
      </c>
      <c r="E1637">
        <v>0.286376366532097</v>
      </c>
      <c r="F1637">
        <v>0.151021656251952</v>
      </c>
      <c r="G1637">
        <v>0.0729259518485572</v>
      </c>
      <c r="H1637">
        <v>0.0594860601958375</v>
      </c>
      <c r="I1637">
        <v>0.0341732151885752</v>
      </c>
      <c r="J1637">
        <v>0.0317596763268792</v>
      </c>
      <c r="K1637">
        <v>0.0466884184547242</v>
      </c>
      <c r="L1637">
        <v>625.632793908388</v>
      </c>
      <c r="M1637">
        <v>14.2893700510283</v>
      </c>
      <c r="N1637">
        <v>43.9208091434934</v>
      </c>
      <c r="O1637">
        <v>42.9523824241631</v>
      </c>
      <c r="P1637">
        <v>-0.0813576745352175</v>
      </c>
      <c r="Q1637">
        <v>0.0219083565887302</v>
      </c>
      <c r="R1637">
        <v>0.979570538430748</v>
      </c>
      <c r="S1637" t="s">
        <v>3305</v>
      </c>
      <c r="T1637" t="s">
        <v>3312</v>
      </c>
      <c r="U1637" t="s">
        <v>3312</v>
      </c>
      <c r="V1637" t="s">
        <v>3312</v>
      </c>
      <c r="W1637" t="s">
        <v>4946</v>
      </c>
      <c r="X1637">
        <v>1</v>
      </c>
      <c r="Y1637" t="s">
        <v>6588</v>
      </c>
      <c r="Z1637" t="s">
        <v>8230</v>
      </c>
      <c r="AA1637">
        <v>0.2702380108774727</v>
      </c>
      <c r="AB1637">
        <f>HYPERLINK("Melting_Curves/meltCurve_Q47690_mmuM.pdf", "Melting_Curves/meltCurve_Q47690_mmuM.pdf")</f>
        <v>0</v>
      </c>
    </row>
    <row r="1638" spans="1:28">
      <c r="A1638" t="s">
        <v>1664</v>
      </c>
      <c r="B1638">
        <v>0.999984544473304</v>
      </c>
      <c r="C1638">
        <v>0.900764026741125</v>
      </c>
      <c r="D1638">
        <v>0.942742053208816</v>
      </c>
      <c r="E1638">
        <v>0.754320283769037</v>
      </c>
      <c r="F1638">
        <v>0.420377677994111</v>
      </c>
      <c r="G1638">
        <v>0.143364725867881</v>
      </c>
      <c r="H1638">
        <v>0.0747420744698693</v>
      </c>
      <c r="I1638">
        <v>0.0298965705512913</v>
      </c>
      <c r="J1638">
        <v>0.0210304576791343</v>
      </c>
      <c r="K1638">
        <v>0.0185334641691104</v>
      </c>
      <c r="L1638">
        <v>950.99236042413</v>
      </c>
      <c r="M1638">
        <v>19.3287545181104</v>
      </c>
      <c r="N1638">
        <v>49.2415121606025</v>
      </c>
      <c r="O1638">
        <v>48.6833477011514</v>
      </c>
      <c r="P1638">
        <v>-0.0984766054560887</v>
      </c>
      <c r="Q1638">
        <v>0.007904565239579451</v>
      </c>
      <c r="R1638">
        <v>0.994667571730363</v>
      </c>
      <c r="S1638" t="s">
        <v>3306</v>
      </c>
      <c r="T1638" t="s">
        <v>3312</v>
      </c>
      <c r="U1638" t="s">
        <v>3312</v>
      </c>
      <c r="V1638" t="s">
        <v>3312</v>
      </c>
      <c r="W1638" t="s">
        <v>4947</v>
      </c>
      <c r="X1638">
        <v>7</v>
      </c>
      <c r="Y1638" t="s">
        <v>6589</v>
      </c>
      <c r="Z1638" t="s">
        <v>8231</v>
      </c>
      <c r="AA1638">
        <v>0.4252875077827075</v>
      </c>
      <c r="AB1638">
        <f>HYPERLINK("Melting_Curves/meltCurve_Q57261_truD.pdf", "Melting_Curves/meltCurve_Q57261_truD.pdf")</f>
        <v>0</v>
      </c>
    </row>
    <row r="1639" spans="1:28">
      <c r="A1639" t="s">
        <v>1665</v>
      </c>
      <c r="B1639">
        <v>0.999984544473304</v>
      </c>
      <c r="C1639">
        <v>1.12290774762197</v>
      </c>
      <c r="D1639">
        <v>0.650555435601881</v>
      </c>
      <c r="E1639">
        <v>0.82040935387795</v>
      </c>
      <c r="F1639">
        <v>0.669631657287951</v>
      </c>
      <c r="G1639">
        <v>0.49457032887583</v>
      </c>
      <c r="H1639">
        <v>0.419721080024917</v>
      </c>
      <c r="I1639">
        <v>0.36893352161688</v>
      </c>
      <c r="J1639">
        <v>0.228522123253777</v>
      </c>
      <c r="K1639">
        <v>0.267150631730263</v>
      </c>
      <c r="L1639">
        <v>420.902879336173</v>
      </c>
      <c r="M1639">
        <v>7.99541879377109</v>
      </c>
      <c r="N1639">
        <v>54.3482345088005</v>
      </c>
      <c r="O1639">
        <v>49.655949031765</v>
      </c>
      <c r="P1639">
        <v>-0.0358290069080366</v>
      </c>
      <c r="Q1639">
        <v>0.110935919910279</v>
      </c>
      <c r="R1639">
        <v>0.887187119522768</v>
      </c>
      <c r="S1639" t="s">
        <v>3307</v>
      </c>
      <c r="T1639" t="s">
        <v>3312</v>
      </c>
      <c r="U1639" t="s">
        <v>3312</v>
      </c>
      <c r="V1639" t="s">
        <v>3312</v>
      </c>
      <c r="W1639" t="s">
        <v>4948</v>
      </c>
      <c r="X1639">
        <v>9</v>
      </c>
      <c r="Y1639" t="s">
        <v>6590</v>
      </c>
      <c r="Z1639" t="s">
        <v>8232</v>
      </c>
      <c r="AA1639">
        <v>0.5961183861254977</v>
      </c>
      <c r="AB1639">
        <f>HYPERLINK("Melting_Curves/meltCurve_Q59385_copA.pdf", "Melting_Curves/meltCurve_Q59385_copA.pdf")</f>
        <v>0</v>
      </c>
    </row>
    <row r="1640" spans="1:28">
      <c r="A1640" t="s">
        <v>1666</v>
      </c>
      <c r="B1640">
        <v>0.999984544473304</v>
      </c>
      <c r="C1640">
        <v>0.893091796317845</v>
      </c>
      <c r="D1640">
        <v>0.940510304249593</v>
      </c>
      <c r="E1640">
        <v>0.986334925234329</v>
      </c>
      <c r="F1640">
        <v>0.940796670959791</v>
      </c>
      <c r="G1640">
        <v>0.779083004002434</v>
      </c>
      <c r="H1640">
        <v>0.5053297677035981</v>
      </c>
      <c r="I1640">
        <v>0.156552978385646</v>
      </c>
      <c r="J1640">
        <v>0.0393758716636384</v>
      </c>
      <c r="K1640">
        <v>0.0227769993576797</v>
      </c>
      <c r="L1640">
        <v>1346.65055266764</v>
      </c>
      <c r="M1640">
        <v>23.6057918035814</v>
      </c>
      <c r="N1640">
        <v>57.04745009266</v>
      </c>
      <c r="O1640">
        <v>56.6427844874101</v>
      </c>
      <c r="P1640">
        <v>-0.104188855087642</v>
      </c>
      <c r="Q1640">
        <v>0</v>
      </c>
      <c r="R1640">
        <v>0.9872020611141</v>
      </c>
      <c r="S1640" t="s">
        <v>3308</v>
      </c>
      <c r="T1640" t="s">
        <v>3312</v>
      </c>
      <c r="U1640" t="s">
        <v>3312</v>
      </c>
      <c r="V1640" t="s">
        <v>3312</v>
      </c>
      <c r="W1640" t="s">
        <v>4949</v>
      </c>
      <c r="X1640">
        <v>3</v>
      </c>
      <c r="Y1640" t="s">
        <v>6591</v>
      </c>
      <c r="Z1640" t="s">
        <v>8233</v>
      </c>
      <c r="AA1640">
        <v>0.6760950385462046</v>
      </c>
      <c r="AB1640">
        <f>HYPERLINK("Melting_Curves/meltCurve_Q93K97_nudF.pdf", "Melting_Curves/meltCurve_Q93K97_nudF.pdf")</f>
        <v>0</v>
      </c>
    </row>
    <row r="1641" spans="1:28">
      <c r="A1641" t="s">
        <v>1667</v>
      </c>
      <c r="B1641">
        <v>0.999984544473304</v>
      </c>
      <c r="C1641">
        <v>1.38774354980284</v>
      </c>
      <c r="D1641">
        <v>0.553148153017875</v>
      </c>
      <c r="E1641">
        <v>0.399756506159601</v>
      </c>
      <c r="F1641">
        <v>0.162798599286634</v>
      </c>
      <c r="G1641">
        <v>0.0961420968258547</v>
      </c>
      <c r="H1641">
        <v>0.0492141160300862</v>
      </c>
      <c r="I1641">
        <v>0.0165378236837816</v>
      </c>
      <c r="J1641">
        <v>0.0107497603658908</v>
      </c>
      <c r="K1641">
        <v>0.008366560658125889</v>
      </c>
      <c r="L1641">
        <v>1039.05296920716</v>
      </c>
      <c r="M1641">
        <v>23.103212360492</v>
      </c>
      <c r="N1641">
        <v>45.1393764728211</v>
      </c>
      <c r="O1641">
        <v>44.6415024406435</v>
      </c>
      <c r="P1641">
        <v>-0.124145646978523</v>
      </c>
      <c r="Q1641">
        <v>0.0404890111764484</v>
      </c>
      <c r="R1641">
        <v>0.884268339705005</v>
      </c>
      <c r="S1641" t="s">
        <v>3309</v>
      </c>
      <c r="T1641" t="s">
        <v>3312</v>
      </c>
      <c r="U1641" t="s">
        <v>3312</v>
      </c>
      <c r="V1641" t="s">
        <v>3312</v>
      </c>
      <c r="W1641" t="s">
        <v>4950</v>
      </c>
      <c r="X1641">
        <v>1</v>
      </c>
      <c r="Y1641" t="s">
        <v>6592</v>
      </c>
      <c r="Z1641" t="s">
        <v>8234</v>
      </c>
      <c r="AA1641">
        <v>0.3048396518992683</v>
      </c>
      <c r="AB1641">
        <f>HYPERLINK("Melting_Curves/meltCurve_Q9LBU0_kgtP.pdf", "Melting_Curves/meltCurve_Q9LBU0_kgtP.pdf")</f>
        <v>0</v>
      </c>
    </row>
    <row r="1642" spans="1:28">
      <c r="A1642" t="s">
        <v>1668</v>
      </c>
      <c r="B1642">
        <v>0.999984544473304</v>
      </c>
      <c r="C1642">
        <v>1.00228281899232</v>
      </c>
      <c r="D1642">
        <v>0.977656599790941</v>
      </c>
      <c r="E1642">
        <v>1.05785964449758</v>
      </c>
      <c r="F1642">
        <v>0.941253787788034</v>
      </c>
      <c r="G1642">
        <v>0.7899291988227291</v>
      </c>
      <c r="H1642">
        <v>0.737677466291811</v>
      </c>
      <c r="I1642">
        <v>0.687860859853725</v>
      </c>
      <c r="J1642">
        <v>0.5633211128811429</v>
      </c>
      <c r="K1642">
        <v>0.626609719088978</v>
      </c>
      <c r="L1642">
        <v>1038.81328037039</v>
      </c>
      <c r="M1642">
        <v>19.0126250167847</v>
      </c>
      <c r="O1642">
        <v>54.0443946367276</v>
      </c>
      <c r="P1642">
        <v>-0.035285095577688</v>
      </c>
      <c r="Q1642">
        <v>0.598816949095095</v>
      </c>
      <c r="R1642">
        <v>0.954408141079349</v>
      </c>
      <c r="S1642" t="s">
        <v>3310</v>
      </c>
      <c r="T1642" t="s">
        <v>3312</v>
      </c>
      <c r="U1642" t="s">
        <v>3312</v>
      </c>
      <c r="V1642" t="s">
        <v>3312</v>
      </c>
      <c r="W1642" t="s">
        <v>4951</v>
      </c>
      <c r="X1642">
        <v>4</v>
      </c>
      <c r="Y1642" t="s">
        <v>6593</v>
      </c>
      <c r="Z1642" t="s">
        <v>8235</v>
      </c>
      <c r="AA1642">
        <v>0.8396315511562048</v>
      </c>
      <c r="AB1642">
        <f>HYPERLINK("Melting_Curves/meltCurve_Q9LBU5_yrdA.pdf", "Melting_Curves/meltCurve_Q9LBU5_yrdA.pdf")</f>
        <v>0</v>
      </c>
    </row>
    <row r="1643" spans="1:28">
      <c r="A1643" t="s">
        <v>1669</v>
      </c>
      <c r="B1643">
        <v>0.999984544473304</v>
      </c>
      <c r="C1643">
        <v>1.02782760625383</v>
      </c>
      <c r="D1643">
        <v>1.09528347195859</v>
      </c>
      <c r="E1643">
        <v>0.989672969410054</v>
      </c>
      <c r="F1643">
        <v>0.933642518946097</v>
      </c>
      <c r="G1643">
        <v>0.654718620799527</v>
      </c>
      <c r="H1643">
        <v>0.589991997033591</v>
      </c>
      <c r="I1643">
        <v>0.5350217491306249</v>
      </c>
      <c r="J1643">
        <v>0.2977120475147</v>
      </c>
      <c r="K1643">
        <v>0.126970926584095</v>
      </c>
      <c r="L1643">
        <v>696.687801958048</v>
      </c>
      <c r="M1643">
        <v>11.7450813199455</v>
      </c>
      <c r="N1643">
        <v>59.3174098556036</v>
      </c>
      <c r="O1643">
        <v>57.676153822363</v>
      </c>
      <c r="P1643">
        <v>-0.0509229391617428</v>
      </c>
      <c r="Q1643">
        <v>0</v>
      </c>
      <c r="R1643">
        <v>0.953266273889921</v>
      </c>
      <c r="S1643" t="s">
        <v>3311</v>
      </c>
      <c r="T1643" t="s">
        <v>3312</v>
      </c>
      <c r="U1643" t="s">
        <v>3312</v>
      </c>
      <c r="V1643" t="s">
        <v>3312</v>
      </c>
      <c r="W1643" t="s">
        <v>4952</v>
      </c>
      <c r="X1643">
        <v>1</v>
      </c>
      <c r="Y1643" t="s">
        <v>6594</v>
      </c>
      <c r="Z1643" t="s">
        <v>8236</v>
      </c>
      <c r="AA1643">
        <v>0.7322270278931587</v>
      </c>
      <c r="AB1643">
        <f>HYPERLINK("Melting_Curves/meltCurve_Q9LBV1_mobB.pdf", "Melting_Curves/meltCurve_Q9LBV1_mobB.pdf")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2019-09-16T15:35:34Z</dcterms:created>
  <dcterms:modified xsi:type="dcterms:W3CDTF">2019-09-16T15:35:34Z</dcterms:modified>
</cp:coreProperties>
</file>